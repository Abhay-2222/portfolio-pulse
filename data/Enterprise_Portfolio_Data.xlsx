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6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17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rojects" sheetId="3" state="visible" r:id="rId5"/>
    <sheet name="Resources" sheetId="4" state="visible" r:id="rId6"/>
    <sheet name="Allocations" sheetId="5" state="visible" r:id="rId7"/>
    <sheet name="Estimates" sheetId="6" state="visible" r:id="rId8"/>
    <sheet name="Budget" sheetId="7" state="visible" r:id="rId9"/>
    <sheet name="Actuals" sheetId="8" state="visible" r:id="rId10"/>
    <sheet name="Milestones" sheetId="9" state="visible" r:id="rId11"/>
    <sheet name="Invoices" sheetId="10" state="visible" r:id="rId12"/>
    <sheet name="RAID" sheetId="11" state="visible" r:id="rId13"/>
    <sheet name="ChangeRequests" sheetId="12" state="visible" r:id="rId14"/>
    <sheet name="Snapshots" sheetId="13" state="visible" r:id="rId15"/>
    <sheet name="Clients" sheetId="14" state="visible" r:id="rId16"/>
    <sheet name="Settings" sheetId="15" state="visible" r:id="rId17"/>
    <sheet name="DataDictionary" sheetId="16" state="visible" r:id="rId18"/>
  </sheets>
  <definedNames>
    <definedName function="false" hidden="false" name="ActualsCutoff" vbProcedure="false">Settings!$B$3</definedName>
    <definedName function="false" hidden="false" name="AsOfDate" vbProcedure="false">Settings!$B$2</definedName>
    <definedName function="false" hidden="false" name="AutoRefreshMinutes" vbProcedure="false">Settings!$B$21</definedName>
    <definedName function="false" hidden="false" name="BudgetNearLimit" vbProcedure="false">Settings!$B$16</definedName>
    <definedName function="false" hidden="false" name="Contingency_High" vbProcedure="false">Settings!$B$17</definedName>
    <definedName function="false" hidden="false" name="Contingency_Low" vbProcedure="false">Settings!$B$19</definedName>
    <definedName function="false" hidden="false" name="Contingency_Medium" vbProcedure="false">Settings!$B$18</definedName>
    <definedName function="false" hidden="false" name="Currency" vbProcedure="false">Settings!$B$20</definedName>
    <definedName function="false" hidden="false" name="MarginFloor" vbProcedure="false">Settings!$B$8</definedName>
    <definedName function="false" hidden="false" name="MarginTolerance" vbProcedure="false">Settings!$B$9</definedName>
    <definedName function="false" hidden="false" name="MilestoneAtRiskDays" vbProcedure="false">Settings!$B$15</definedName>
    <definedName function="false" hidden="false" name="OverallocationThreshold" vbProcedure="false">Settings!$B$10</definedName>
    <definedName function="false" hidden="false" name="RAG_CostAmber" vbProcedure="false">Settings!$B$4</definedName>
    <definedName function="false" hidden="false" name="RAG_CostRed" vbProcedure="false">Settings!$B$5</definedName>
    <definedName function="false" hidden="false" name="RAG_ScheduleAmberDays" vbProcedure="false">Settings!$B$6</definedName>
    <definedName function="false" hidden="false" name="RAG_ScheduleRedDays" vbProcedure="false">Settings!$B$7</definedName>
    <definedName function="false" hidden="false" name="RiskCriticalScore" vbProcedure="false">Settings!$B$12</definedName>
    <definedName function="false" hidden="false" name="RiskHighScore" vbProcedure="false">Settings!$B$13</definedName>
    <definedName function="false" hidden="false" name="RiskMediumScore" vbProcedure="false">Settings!$B$14</definedName>
    <definedName function="false" hidden="false" name="UnderutilizationThreshold" vbProcedure="false">Settings!$B$11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<sst xmlns="http://schemas.openxmlformats.org/spreadsheetml/2006/main" count="16352" uniqueCount="3224">
  <si>
    <t xml:space="preserve">Enterprise project portfolio dataset</t>
  </si>
  <si>
    <t xml:space="preserve">Source workbook for the portfolio web app. Twelve related tables, one per sheet, all joined on stable IDs.</t>
  </si>
  <si>
    <t xml:space="preserve">How to read it</t>
  </si>
  <si>
    <t xml:space="preserve">Blue text</t>
  </si>
  <si>
    <t xml:space="preserve">Inputs. Safe to edit; the app and every formula update from them.</t>
  </si>
  <si>
    <t xml:space="preserve">Green text</t>
  </si>
  <si>
    <t xml:space="preserve">Lookups pulled from another table by ID (INDEX/MATCH).</t>
  </si>
  <si>
    <t xml:space="preserve">Black text</t>
  </si>
  <si>
    <t xml:space="preserve">Calculated. Do not overwrite; change the inputs or Settings instead.</t>
  </si>
  <si>
    <t xml:space="preserve">Yellow fill</t>
  </si>
  <si>
    <t xml:space="preserve">Key assumptions in Settings (RAG thresholds, contingency, as-of date).</t>
  </si>
  <si>
    <t xml:space="preserve">Tables</t>
  </si>
  <si>
    <t xml:space="preserve">tbl_Projects</t>
  </si>
  <si>
    <t xml:space="preserve">One row per project. Contract, schedule, earned value (EV, PV, CPI, SPI, EAC), margin, cash and RAG status.</t>
  </si>
  <si>
    <t xml:space="preserve">tbl_Resources</t>
  </si>
  <si>
    <t xml:space="preserve">People, rates, capacity and live utilization.</t>
  </si>
  <si>
    <t xml:space="preserve">tbl_Allocations</t>
  </si>
  <si>
    <t xml:space="preserve">Who is assigned to which project, when, and at what %. Planned vs actual hours.</t>
  </si>
  <si>
    <t xml:space="preserve">tbl_Estimates</t>
  </si>
  <si>
    <t xml:space="preserve">Effort estimates by phase. v1 Baseline for all; v2 Re-forecast where a project was re-planned.</t>
  </si>
  <si>
    <t xml:space="preserve">tbl_Budget</t>
  </si>
  <si>
    <t xml:space="preserve">Approved budget by project and cost category, with burn against actuals.</t>
  </si>
  <si>
    <t xml:space="preserve">tbl_Actuals</t>
  </si>
  <si>
    <t xml:space="preserve">Monthly cost ledger: timesheets, supplier invoices, expenses.</t>
  </si>
  <si>
    <t xml:space="preserve">tbl_Milestones</t>
  </si>
  <si>
    <t xml:space="preserve">Five milestones per project; Fixed Price milestones trigger billing.</t>
  </si>
  <si>
    <t xml:space="preserve">tbl_Invoices</t>
  </si>
  <si>
    <t xml:space="preserve">Invoices raised, payment status and aging.</t>
  </si>
  <si>
    <t xml:space="preserve">tbl_RAID</t>
  </si>
  <si>
    <t xml:space="preserve">Risks, issues, assumptions and dependencies with scoring and exposure.</t>
  </si>
  <si>
    <t xml:space="preserve">tbl_ChangeRequests</t>
  </si>
  <si>
    <t xml:space="preserve">Scope and budget changes. Only Approved CRs flow into project value and budget.</t>
  </si>
  <si>
    <t xml:space="preserve">tbl_Snapshots</t>
  </si>
  <si>
    <t xml:space="preserve">Month-end history (Jan-Aug 2026) for trend charts. Append-only static values.</t>
  </si>
  <si>
    <t xml:space="preserve">tbl_Clients</t>
  </si>
  <si>
    <t xml:space="preserve">Client accounts and payment terms.</t>
  </si>
  <si>
    <t xml:space="preserve">tbl_KPIs / roll-ups</t>
  </si>
  <si>
    <t xml:space="preserve">Summary sheet: headline KPIs with drill targets, portfolio roll-up and monthly trend.</t>
  </si>
  <si>
    <t xml:space="preserve">tbl_Settings</t>
  </si>
  <si>
    <t xml:space="preserve">Thresholds and the AsOfDate. Named ranges make formulas readable (e.g. RAG_CostRed).</t>
  </si>
  <si>
    <t xml:space="preserve">Relationships</t>
  </si>
  <si>
    <t xml:space="preserve">ProjectID</t>
  </si>
  <si>
    <t xml:space="preserve">Projects -&gt; Allocations, Estimates, Budget, Actuals, Milestones, Invoices, RAID, ChangeRequests, Snapshots</t>
  </si>
  <si>
    <t xml:space="preserve">EmployeeID</t>
  </si>
  <si>
    <t xml:space="preserve">Resources -&gt; Allocations, Actuals, Projects.ProjectManagerID, RAID.OwnerID, ChangeRequests.RaisedByID</t>
  </si>
  <si>
    <t xml:space="preserve">ClientID</t>
  </si>
  <si>
    <t xml:space="preserve">Clients -&gt; Projects (Invoices reach Clients through Projects)</t>
  </si>
  <si>
    <t xml:space="preserve">MilestoneID</t>
  </si>
  <si>
    <t xml:space="preserve">Milestones -&gt; Invoices (Fixed Price billing)</t>
  </si>
  <si>
    <t xml:space="preserve">Built-in test scenarios</t>
  </si>
  <si>
    <t xml:space="preserve">Healthy</t>
  </si>
  <si>
    <t xml:space="preserve">P-1001, P-1004, P-1007, P-1009, P-1011, P-1012, P-1014, P-1016 - on budget and on time.</t>
  </si>
  <si>
    <t xml:space="preserve">Cost overrun</t>
  </si>
  <si>
    <t xml:space="preserve">P-1002 (severe - margin now Red), P-1013 (mild) - burning budget faster than progress.</t>
  </si>
  <si>
    <t xml:space="preserve">Schedule slip</t>
  </si>
  <si>
    <t xml:space="preserve">P-1003 (late), P-1010 (past baseline end, still open).</t>
  </si>
  <si>
    <t xml:space="preserve">Everything at risk</t>
  </si>
  <si>
    <t xml:space="preserve">P-1005, P-1017 (P-1017 forecasts a negative margin).</t>
  </si>
  <si>
    <t xml:space="preserve">Margin squeeze</t>
  </si>
  <si>
    <t xml:space="preserve">P-1006 (margin Amber). P-1015 has a CR that costs more than it earns but is still Green - a leading indicator to watch in trends.</t>
  </si>
  <si>
    <t xml:space="preserve">Other states</t>
  </si>
  <si>
    <t xml:space="preserve">P-1018 to P-1020 Completed (P-1019 finished 6 weeks late and over budget), P-1021 On Hold, P-1022 to P-1024 Planned.</t>
  </si>
  <si>
    <t xml:space="preserve">People</t>
  </si>
  <si>
    <t xml:space="preserve">A handful of people are overallocated (&gt;100%) and some sit on the bench, to exercise the resource heatmap.</t>
  </si>
  <si>
    <t xml:space="preserve">Cash</t>
  </si>
  <si>
    <t xml:space="preserve">Aurora Retail and Bluewater Municipal have disputed invoices and Harbourview pays late, so every aging bucket is populated.</t>
  </si>
  <si>
    <t xml:space="preserve">For the app</t>
  </si>
  <si>
    <t xml:space="preserve">Read tables by name</t>
  </si>
  <si>
    <t xml:space="preserve">Read each tbl_* by name, not by sheet or cell range, so inserting rows or moving columns never breaks the sync.</t>
  </si>
  <si>
    <t xml:space="preserve">AsOfDate</t>
  </si>
  <si>
    <t xml:space="preserve">Fixed at 2026-09-11 so results are reproducible. Set it to =TODAY() for live use.</t>
  </si>
  <si>
    <t xml:space="preserve">Formula results</t>
  </si>
  <si>
    <t xml:space="preserve">Calculated values (EAC, RAG, HealthScore) are computed in the workbook, so the app can display them directly or recompute them itself.</t>
  </si>
  <si>
    <t xml:space="preserve">Data volume</t>
  </si>
  <si>
    <t xml:space="preserve">24 projects, 63 people, ~1,400 ledger lines, ~100 invoices, ~70 RAID items.</t>
  </si>
  <si>
    <t xml:space="preserve">Portfolio summary</t>
  </si>
  <si>
    <t xml:space="preserve">Every value is a live formula. DrillTarget describes the filter the app should open when the number is tapped.</t>
  </si>
  <si>
    <t xml:space="preserve">KPI</t>
  </si>
  <si>
    <t xml:space="preserve">Value</t>
  </si>
  <si>
    <t xml:space="preserve">DrillTarget</t>
  </si>
  <si>
    <t xml:space="preserve">Active projects</t>
  </si>
  <si>
    <t xml:space="preserve">Projects | Status = Active</t>
  </si>
  <si>
    <t xml:space="preserve">Active contract value</t>
  </si>
  <si>
    <t xml:space="preserve">Projects | Status = Active | sort CurrentContractValue desc</t>
  </si>
  <si>
    <t xml:space="preserve">Active budget (BAC)</t>
  </si>
  <si>
    <t xml:space="preserve">Actual cost to date (active)</t>
  </si>
  <si>
    <t xml:space="preserve">Actuals | Project.Status = Active</t>
  </si>
  <si>
    <t xml:space="preserve">Estimate at completion (active)</t>
  </si>
  <si>
    <t xml:space="preserve">Projects | Status = Active | sort VAC asc</t>
  </si>
  <si>
    <t xml:space="preserve">Forecast margin % (active)</t>
  </si>
  <si>
    <t xml:space="preserve">Projects | Status = Active | sort ForecastMarginPct asc</t>
  </si>
  <si>
    <t xml:space="preserve">Target margin % (weighted)</t>
  </si>
  <si>
    <t xml:space="preserve">Red projects</t>
  </si>
  <si>
    <t xml:space="preserve">Projects | Status = Active AND OverallRAG = Red</t>
  </si>
  <si>
    <t xml:space="preserve">Amber projects</t>
  </si>
  <si>
    <t xml:space="preserve">Projects | Status = Active AND OverallRAG = Amber</t>
  </si>
  <si>
    <t xml:space="preserve">Green projects</t>
  </si>
  <si>
    <t xml:space="preserve">Projects | Status = Active AND OverallRAG = Green</t>
  </si>
  <si>
    <t xml:space="preserve">Average health score</t>
  </si>
  <si>
    <t xml:space="preserve">Projects | Status = Active | sort HealthScore asc</t>
  </si>
  <si>
    <t xml:space="preserve">Average schedule slip (days)</t>
  </si>
  <si>
    <t xml:space="preserve">Projects | Status = Active | sort ScheduleSlipDays desc</t>
  </si>
  <si>
    <t xml:space="preserve">Overallocated people</t>
  </si>
  <si>
    <t xml:space="preserve">Resources | UtilizationStatus = Overallocated</t>
  </si>
  <si>
    <t xml:space="preserve">Under-utilized people</t>
  </si>
  <si>
    <t xml:space="preserve">Resources | UtilizationStatus = Under-utilized</t>
  </si>
  <si>
    <t xml:space="preserve">Bench capacity (hrs/week)</t>
  </si>
  <si>
    <t xml:space="preserve">Resources | AvailableHrsPerWeek &gt; 0</t>
  </si>
  <si>
    <t xml:space="preserve">Outstanding receivables</t>
  </si>
  <si>
    <t xml:space="preserve">Invoices | Status &lt;&gt; Paid</t>
  </si>
  <si>
    <t xml:space="preserve">Overdue receivables</t>
  </si>
  <si>
    <t xml:space="preserve">Invoices | Status = Overdue | sort DaysOverdue desc</t>
  </si>
  <si>
    <t xml:space="preserve">Unbilled WIP (active)</t>
  </si>
  <si>
    <t xml:space="preserve">Projects | Status = Active | sort UnbilledWIP desc</t>
  </si>
  <si>
    <t xml:space="preserve">Open critical risks</t>
  </si>
  <si>
    <t xml:space="preserve">RAID | Severity = Critical AND Status &lt;&gt; Closed</t>
  </si>
  <si>
    <t xml:space="preserve">Open risk exposure (weighted)</t>
  </si>
  <si>
    <t xml:space="preserve">RAID | Status &lt;&gt; Closed | sort ExpectedExposure desc</t>
  </si>
  <si>
    <t xml:space="preserve">Pending change requests</t>
  </si>
  <si>
    <t xml:space="preserve">ChangeRequests | IsPending = Yes</t>
  </si>
  <si>
    <t xml:space="preserve">Pending CR cost impact</t>
  </si>
  <si>
    <t xml:space="preserve">Overdue milestones</t>
  </si>
  <si>
    <t xml:space="preserve">Milestones | Status = Overdue</t>
  </si>
  <si>
    <t xml:space="preserve">By portfolio (active projects)</t>
  </si>
  <si>
    <t xml:space="preserve">Portfolio</t>
  </si>
  <si>
    <t xml:space="preserve">ActiveProjects</t>
  </si>
  <si>
    <t xml:space="preserve">ContractValue</t>
  </si>
  <si>
    <t xml:space="preserve">Budget</t>
  </si>
  <si>
    <t xml:space="preserve">ActualCost</t>
  </si>
  <si>
    <t xml:space="preserve">EAC</t>
  </si>
  <si>
    <t xml:space="preserve">ForecastMarginPct</t>
  </si>
  <si>
    <t xml:space="preserve">RedProjects</t>
  </si>
  <si>
    <t xml:space="preserve">AvgHealthScore</t>
  </si>
  <si>
    <t xml:space="preserve">Customer Experience</t>
  </si>
  <si>
    <t xml:space="preserve">Data &amp; AI</t>
  </si>
  <si>
    <t xml:space="preserve">Cloud &amp; Infrastructure</t>
  </si>
  <si>
    <t xml:space="preserve">Digital Transformation</t>
  </si>
  <si>
    <t xml:space="preserve">Operational Excellence</t>
  </si>
  <si>
    <t xml:space="preserve">Monthly trend (all projects)</t>
  </si>
  <si>
    <t xml:space="preserve">MonthEnd</t>
  </si>
  <si>
    <t xml:space="preserve">LabourCost</t>
  </si>
  <si>
    <t xml:space="preserve">NonLabourCost</t>
  </si>
  <si>
    <t xml:space="preserve">TotalCost</t>
  </si>
  <si>
    <t xml:space="preserve">HoursLogged</t>
  </si>
  <si>
    <t xml:space="preserve">BillableValue</t>
  </si>
  <si>
    <t xml:space="preserve">Invoiced</t>
  </si>
  <si>
    <t xml:space="preserve">Collected</t>
  </si>
  <si>
    <t xml:space="preserve">ProjectName</t>
  </si>
  <si>
    <t xml:space="preserve">ClientName</t>
  </si>
  <si>
    <t xml:space="preserve">BusinessUnit</t>
  </si>
  <si>
    <t xml:space="preserve">ProjectManagerID</t>
  </si>
  <si>
    <t xml:space="preserve">ProjectManager</t>
  </si>
  <si>
    <t xml:space="preserve">ExecutiveSponsor</t>
  </si>
  <si>
    <t xml:space="preserve">Status</t>
  </si>
  <si>
    <t xml:space="preserve">Phase</t>
  </si>
  <si>
    <t xml:space="preserve">Priority</t>
  </si>
  <si>
    <t xml:space="preserve">ContractType</t>
  </si>
  <si>
    <t xml:space="preserve">StrategicScore</t>
  </si>
  <si>
    <t xml:space="preserve">BaselineStart</t>
  </si>
  <si>
    <t xml:space="preserve">BaselineEnd</t>
  </si>
  <si>
    <t xml:space="preserve">ForecastEnd</t>
  </si>
  <si>
    <t xml:space="preserve">OriginalContractValue</t>
  </si>
  <si>
    <t xml:space="preserve">TargetMarginPct</t>
  </si>
  <si>
    <t xml:space="preserve">PctComplete</t>
  </si>
  <si>
    <t xml:space="preserve">LastStatusUpdate</t>
  </si>
  <si>
    <t xml:space="preserve">ApprovedCRRevenue</t>
  </si>
  <si>
    <t xml:space="preserve">CurrentContractValue</t>
  </si>
  <si>
    <t xml:space="preserve">BaselineBudget</t>
  </si>
  <si>
    <t xml:space="preserve">ApprovedCRCost</t>
  </si>
  <si>
    <t xml:space="preserve">CurrentBudget</t>
  </si>
  <si>
    <t xml:space="preserve">ActualHours</t>
  </si>
  <si>
    <t xml:space="preserve">ElapsedPct</t>
  </si>
  <si>
    <t xml:space="preserve">EarnedValue</t>
  </si>
  <si>
    <t xml:space="preserve">PlannedValue</t>
  </si>
  <si>
    <t xml:space="preserve">CPI</t>
  </si>
  <si>
    <t xml:space="preserve">SPI</t>
  </si>
  <si>
    <t xml:space="preserve">ETC</t>
  </si>
  <si>
    <t xml:space="preserve">VAC</t>
  </si>
  <si>
    <t xml:space="preserve">BudgetBurnPct</t>
  </si>
  <si>
    <t xml:space="preserve">ForecastMarginAmt</t>
  </si>
  <si>
    <t xml:space="preserve">MarginVsTarget</t>
  </si>
  <si>
    <t xml:space="preserve">ScheduleSlipDays</t>
  </si>
  <si>
    <t xml:space="preserve">DaysRemaining</t>
  </si>
  <si>
    <t xml:space="preserve">InvoicedToDate</t>
  </si>
  <si>
    <t xml:space="preserve">CollectedToDate</t>
  </si>
  <si>
    <t xml:space="preserve">UnbilledWIP</t>
  </si>
  <si>
    <t xml:space="preserve">OpenRisks</t>
  </si>
  <si>
    <t xml:space="preserve">OpenIssues</t>
  </si>
  <si>
    <t xml:space="preserve">OpenRiskExposure</t>
  </si>
  <si>
    <t xml:space="preserve">PendingCRs</t>
  </si>
  <si>
    <t xml:space="preserve">TeamSize</t>
  </si>
  <si>
    <t xml:space="preserve">NextMilestoneDate</t>
  </si>
  <si>
    <t xml:space="preserve">CostRAG</t>
  </si>
  <si>
    <t xml:space="preserve">ScheduleRAG</t>
  </si>
  <si>
    <t xml:space="preserve">MarginRAG</t>
  </si>
  <si>
    <t xml:space="preserve">OverallRAG</t>
  </si>
  <si>
    <t xml:space="preserve">HealthScore</t>
  </si>
  <si>
    <t xml:space="preserve">P-1001</t>
  </si>
  <si>
    <t xml:space="preserve">Patient Portal Modernization</t>
  </si>
  <si>
    <t xml:space="preserve">C-101</t>
  </si>
  <si>
    <t xml:space="preserve">Health &amp; Public</t>
  </si>
  <si>
    <t xml:space="preserve">E-0003</t>
  </si>
  <si>
    <t xml:space="preserve">Dr. Anne Keller</t>
  </si>
  <si>
    <t xml:space="preserve">Active</t>
  </si>
  <si>
    <t xml:space="preserve">Test &amp; Deploy</t>
  </si>
  <si>
    <t xml:space="preserve">P2</t>
  </si>
  <si>
    <t xml:space="preserve">Fixed Price</t>
  </si>
  <si>
    <t xml:space="preserve">P-1002</t>
  </si>
  <si>
    <t xml:space="preserve">Claims Automation Engine</t>
  </si>
  <si>
    <t xml:space="preserve">C-102</t>
  </si>
  <si>
    <t xml:space="preserve">Financial Services</t>
  </si>
  <si>
    <t xml:space="preserve">E-0004</t>
  </si>
  <si>
    <t xml:space="preserve">Robert Lindqvist</t>
  </si>
  <si>
    <t xml:space="preserve">Execute</t>
  </si>
  <si>
    <t xml:space="preserve">P1</t>
  </si>
  <si>
    <t xml:space="preserve">P-1003</t>
  </si>
  <si>
    <t xml:space="preserve">Enterprise Data Lakehouse</t>
  </si>
  <si>
    <t xml:space="preserve">C-103</t>
  </si>
  <si>
    <t xml:space="preserve">E-0005</t>
  </si>
  <si>
    <t xml:space="preserve">Janet Osei</t>
  </si>
  <si>
    <t xml:space="preserve">P3</t>
  </si>
  <si>
    <t xml:space="preserve">Time &amp; Materials</t>
  </si>
  <si>
    <t xml:space="preserve">P-1004</t>
  </si>
  <si>
    <t xml:space="preserve">Cloud Migration Wave 2</t>
  </si>
  <si>
    <t xml:space="preserve">C-104</t>
  </si>
  <si>
    <t xml:space="preserve">Industrial</t>
  </si>
  <si>
    <t xml:space="preserve">E-0006</t>
  </si>
  <si>
    <t xml:space="preserve">Paul Moreau</t>
  </si>
  <si>
    <t xml:space="preserve">P-1005</t>
  </si>
  <si>
    <t xml:space="preserve">Fraud Detection ML Platform</t>
  </si>
  <si>
    <t xml:space="preserve">C-105</t>
  </si>
  <si>
    <t xml:space="preserve">E-0007</t>
  </si>
  <si>
    <t xml:space="preserve">Karen Whitfield</t>
  </si>
  <si>
    <t xml:space="preserve">P-1006</t>
  </si>
  <si>
    <t xml:space="preserve">Omnichannel Commerce Replatform</t>
  </si>
  <si>
    <t xml:space="preserve">C-106</t>
  </si>
  <si>
    <t xml:space="preserve">Consumer</t>
  </si>
  <si>
    <t xml:space="preserve">E-0009</t>
  </si>
  <si>
    <t xml:space="preserve">Luc Bergeron</t>
  </si>
  <si>
    <t xml:space="preserve">P-1007</t>
  </si>
  <si>
    <t xml:space="preserve">Student Information System Upgrade</t>
  </si>
  <si>
    <t xml:space="preserve">C-107</t>
  </si>
  <si>
    <t xml:space="preserve">E-0008</t>
  </si>
  <si>
    <t xml:space="preserve">Prof. Ellen Shaw</t>
  </si>
  <si>
    <t xml:space="preserve">P-1008</t>
  </si>
  <si>
    <t xml:space="preserve">Network Operations Centre Refresh</t>
  </si>
  <si>
    <t xml:space="preserve">C-108</t>
  </si>
  <si>
    <t xml:space="preserve">E-0010</t>
  </si>
  <si>
    <t xml:space="preserve">Trevor Nakamura</t>
  </si>
  <si>
    <t xml:space="preserve">P-1009</t>
  </si>
  <si>
    <t xml:space="preserve">Smart Factory IoT Pilot</t>
  </si>
  <si>
    <t xml:space="preserve">C-109</t>
  </si>
  <si>
    <t xml:space="preserve">Greg Kowalski</t>
  </si>
  <si>
    <t xml:space="preserve">P-1010</t>
  </si>
  <si>
    <t xml:space="preserve">311 Citizen Services App</t>
  </si>
  <si>
    <t xml:space="preserve">C-110</t>
  </si>
  <si>
    <t xml:space="preserve">Mayor's Office - D. Price</t>
  </si>
  <si>
    <t xml:space="preserve">P-1011</t>
  </si>
  <si>
    <t xml:space="preserve">Clinical Trials Data Hub</t>
  </si>
  <si>
    <t xml:space="preserve">C-111</t>
  </si>
  <si>
    <t xml:space="preserve">Dr. Mira Castellano</t>
  </si>
  <si>
    <t xml:space="preserve">P-1012</t>
  </si>
  <si>
    <t xml:space="preserve">Grid Analytics Dashboard</t>
  </si>
  <si>
    <t xml:space="preserve">C-112</t>
  </si>
  <si>
    <t xml:space="preserve">Alan Fortier</t>
  </si>
  <si>
    <t xml:space="preserve">P-1013</t>
  </si>
  <si>
    <t xml:space="preserve">Core Banking API Layer</t>
  </si>
  <si>
    <t xml:space="preserve">P-1014</t>
  </si>
  <si>
    <t xml:space="preserve">Managed Cloud Operations</t>
  </si>
  <si>
    <t xml:space="preserve">Retainer</t>
  </si>
  <si>
    <t xml:space="preserve">P-1015</t>
  </si>
  <si>
    <t xml:space="preserve">Policy Admin Consolidation</t>
  </si>
  <si>
    <t xml:space="preserve">P-1016</t>
  </si>
  <si>
    <t xml:space="preserve">Warehouse Robotics Integration</t>
  </si>
  <si>
    <t xml:space="preserve">Susan Tran</t>
  </si>
  <si>
    <t xml:space="preserve">P-1017</t>
  </si>
  <si>
    <t xml:space="preserve">Loyalty Program Relaunch</t>
  </si>
  <si>
    <t xml:space="preserve">P-1018</t>
  </si>
  <si>
    <t xml:space="preserve">Cybersecurity Posture Assessment</t>
  </si>
  <si>
    <t xml:space="preserve">Completed</t>
  </si>
  <si>
    <t xml:space="preserve">Close</t>
  </si>
  <si>
    <t xml:space="preserve">P-1019</t>
  </si>
  <si>
    <t xml:space="preserve">HR Self-Service Portal</t>
  </si>
  <si>
    <t xml:space="preserve">P-1020</t>
  </si>
  <si>
    <t xml:space="preserve">Demand Forecasting Model</t>
  </si>
  <si>
    <t xml:space="preserve">P-1021</t>
  </si>
  <si>
    <t xml:space="preserve">Field Service Mobile App</t>
  </si>
  <si>
    <t xml:space="preserve">On Hold</t>
  </si>
  <si>
    <t xml:space="preserve">P-1022</t>
  </si>
  <si>
    <t xml:space="preserve">Regulatory Reporting Automation</t>
  </si>
  <si>
    <t xml:space="preserve">Planned</t>
  </si>
  <si>
    <t xml:space="preserve">Initiate</t>
  </si>
  <si>
    <t xml:space="preserve">P-1023</t>
  </si>
  <si>
    <t xml:space="preserve">GenAI Knowledge Assistant</t>
  </si>
  <si>
    <t xml:space="preserve">P-1024</t>
  </si>
  <si>
    <t xml:space="preserve">Municipal Asset Management</t>
  </si>
  <si>
    <t xml:space="preserve">FullName</t>
  </si>
  <si>
    <t xml:space="preserve">Role</t>
  </si>
  <si>
    <t xml:space="preserve">Department</t>
  </si>
  <si>
    <t xml:space="preserve">Level</t>
  </si>
  <si>
    <t xml:space="preserve">Location</t>
  </si>
  <si>
    <t xml:space="preserve">EmploymentType</t>
  </si>
  <si>
    <t xml:space="preserve">CostRateHr</t>
  </si>
  <si>
    <t xml:space="preserve">BillRateHr</t>
  </si>
  <si>
    <t xml:space="preserve">WeeklyCapacityHrs</t>
  </si>
  <si>
    <t xml:space="preserve">ManagerID</t>
  </si>
  <si>
    <t xml:space="preserve">ManagerName</t>
  </si>
  <si>
    <t xml:space="preserve">PrimarySkill</t>
  </si>
  <si>
    <t xml:space="preserve">StartDate</t>
  </si>
  <si>
    <t xml:space="preserve">CurrentAllocationPct</t>
  </si>
  <si>
    <t xml:space="preserve">ActiveAssignments</t>
  </si>
  <si>
    <t xml:space="preserve">AvailableHrsPerWeek</t>
  </si>
  <si>
    <t xml:space="preserve">UtilizationStatus</t>
  </si>
  <si>
    <t xml:space="preserve">HoursLoggedYTD</t>
  </si>
  <si>
    <t xml:space="preserve">BillableHoursYTD</t>
  </si>
  <si>
    <t xml:space="preserve">BillableRatioYTD</t>
  </si>
  <si>
    <t xml:space="preserve">E-0001</t>
  </si>
  <si>
    <t xml:space="preserve">Helena Marsh</t>
  </si>
  <si>
    <t xml:space="preserve">Director, Delivery</t>
  </si>
  <si>
    <t xml:space="preserve">PMO</t>
  </si>
  <si>
    <t xml:space="preserve">L7</t>
  </si>
  <si>
    <t xml:space="preserve">Toronto</t>
  </si>
  <si>
    <t xml:space="preserve">FTE</t>
  </si>
  <si>
    <t xml:space="preserve">Portfolio governance</t>
  </si>
  <si>
    <t xml:space="preserve">E-0002</t>
  </si>
  <si>
    <t xml:space="preserve">Gordon Achebe</t>
  </si>
  <si>
    <t xml:space="preserve">Director, Engineering</t>
  </si>
  <si>
    <t xml:space="preserve">Engineering</t>
  </si>
  <si>
    <t xml:space="preserve">Engineering leadership</t>
  </si>
  <si>
    <t xml:space="preserve">Aisha Tremblay</t>
  </si>
  <si>
    <t xml:space="preserve">Project Manager</t>
  </si>
  <si>
    <t xml:space="preserve">L6</t>
  </si>
  <si>
    <t xml:space="preserve">Stakeholder mgmt</t>
  </si>
  <si>
    <t xml:space="preserve">Liam Roy</t>
  </si>
  <si>
    <t xml:space="preserve">Ottawa</t>
  </si>
  <si>
    <t xml:space="preserve">Mei Fraser</t>
  </si>
  <si>
    <t xml:space="preserve">L2</t>
  </si>
  <si>
    <t xml:space="preserve">Remote</t>
  </si>
  <si>
    <t xml:space="preserve">Noah Rahimi</t>
  </si>
  <si>
    <t xml:space="preserve">L4</t>
  </si>
  <si>
    <t xml:space="preserve">Vancouver</t>
  </si>
  <si>
    <t xml:space="preserve">Fatima Cohen</t>
  </si>
  <si>
    <t xml:space="preserve">PRINCE2</t>
  </si>
  <si>
    <t xml:space="preserve">Ethan Park</t>
  </si>
  <si>
    <t xml:space="preserve">L5</t>
  </si>
  <si>
    <t xml:space="preserve">Agile delivery</t>
  </si>
  <si>
    <t xml:space="preserve">Olivia Silva</t>
  </si>
  <si>
    <t xml:space="preserve">Arjun Baptiste</t>
  </si>
  <si>
    <t xml:space="preserve">E-0011</t>
  </si>
  <si>
    <t xml:space="preserve">Chloe Reyes</t>
  </si>
  <si>
    <t xml:space="preserve">Solution Architect</t>
  </si>
  <si>
    <t xml:space="preserve">Architecture</t>
  </si>
  <si>
    <t xml:space="preserve">Mississauga</t>
  </si>
  <si>
    <t xml:space="preserve">Salesforce</t>
  </si>
  <si>
    <t xml:space="preserve">E-0012</t>
  </si>
  <si>
    <t xml:space="preserve">Mateo Bianchi</t>
  </si>
  <si>
    <t xml:space="preserve">Montreal</t>
  </si>
  <si>
    <t xml:space="preserve">E-0013</t>
  </si>
  <si>
    <t xml:space="preserve">Hana Clarke</t>
  </si>
  <si>
    <t xml:space="preserve">Integration</t>
  </si>
  <si>
    <t xml:space="preserve">E-0014</t>
  </si>
  <si>
    <t xml:space="preserve">Lucas Okoro</t>
  </si>
  <si>
    <t xml:space="preserve">L3</t>
  </si>
  <si>
    <t xml:space="preserve">E-0015</t>
  </si>
  <si>
    <t xml:space="preserve">Zara Vasquez</t>
  </si>
  <si>
    <t xml:space="preserve">Business Analyst</t>
  </si>
  <si>
    <t xml:space="preserve">Delivery</t>
  </si>
  <si>
    <t xml:space="preserve">Process mapping</t>
  </si>
  <si>
    <t xml:space="preserve">E-0016</t>
  </si>
  <si>
    <t xml:space="preserve">Owen Bennett</t>
  </si>
  <si>
    <t xml:space="preserve">Requirements</t>
  </si>
  <si>
    <t xml:space="preserve">E-0017</t>
  </si>
  <si>
    <t xml:space="preserve">Amara Martin</t>
  </si>
  <si>
    <t xml:space="preserve">E-0018</t>
  </si>
  <si>
    <t xml:space="preserve">Ravi Gagnon</t>
  </si>
  <si>
    <t xml:space="preserve">E-0019</t>
  </si>
  <si>
    <t xml:space="preserve">Emma Leblanc</t>
  </si>
  <si>
    <t xml:space="preserve">Contractor</t>
  </si>
  <si>
    <t xml:space="preserve">SQL</t>
  </si>
  <si>
    <t xml:space="preserve">E-0020</t>
  </si>
  <si>
    <t xml:space="preserve">Diego Costa</t>
  </si>
  <si>
    <t xml:space="preserve">UX Designer</t>
  </si>
  <si>
    <t xml:space="preserve">Design</t>
  </si>
  <si>
    <t xml:space="preserve">Accessibility</t>
  </si>
  <si>
    <t xml:space="preserve">E-0021</t>
  </si>
  <si>
    <t xml:space="preserve">Nadia Aziz</t>
  </si>
  <si>
    <t xml:space="preserve">Research</t>
  </si>
  <si>
    <t xml:space="preserve">E-0022</t>
  </si>
  <si>
    <t xml:space="preserve">Samuel Mehta</t>
  </si>
  <si>
    <t xml:space="preserve">E-0023</t>
  </si>
  <si>
    <t xml:space="preserve">Yuki Wright</t>
  </si>
  <si>
    <t xml:space="preserve">Senior Developer</t>
  </si>
  <si>
    <t xml:space="preserve">Java</t>
  </si>
  <si>
    <t xml:space="preserve">E-0024</t>
  </si>
  <si>
    <t xml:space="preserve">Isabel Gill</t>
  </si>
  <si>
    <t xml:space="preserve">E-0025</t>
  </si>
  <si>
    <t xml:space="preserve">Kwame Malik</t>
  </si>
  <si>
    <t xml:space="preserve">.NET</t>
  </si>
  <si>
    <t xml:space="preserve">E-0026</t>
  </si>
  <si>
    <t xml:space="preserve">Leah Haddad</t>
  </si>
  <si>
    <t xml:space="preserve">E-0027</t>
  </si>
  <si>
    <t xml:space="preserve">Omar Bose</t>
  </si>
  <si>
    <t xml:space="preserve">React</t>
  </si>
  <si>
    <t xml:space="preserve">E-0028</t>
  </si>
  <si>
    <t xml:space="preserve">Grace Chowdhury</t>
  </si>
  <si>
    <t xml:space="preserve">E-0029</t>
  </si>
  <si>
    <t xml:space="preserve">Tariq Obi</t>
  </si>
  <si>
    <t xml:space="preserve">E-0030</t>
  </si>
  <si>
    <t xml:space="preserve">Sofia Hassan</t>
  </si>
  <si>
    <t xml:space="preserve">E-0031</t>
  </si>
  <si>
    <t xml:space="preserve">Jin Alvarez</t>
  </si>
  <si>
    <t xml:space="preserve">Developer</t>
  </si>
  <si>
    <t xml:space="preserve">E-0032</t>
  </si>
  <si>
    <t xml:space="preserve">Maya Osei</t>
  </si>
  <si>
    <t xml:space="preserve">E-0033</t>
  </si>
  <si>
    <t xml:space="preserve">Elijah Adeyemi</t>
  </si>
  <si>
    <t xml:space="preserve">Node.js</t>
  </si>
  <si>
    <t xml:space="preserve">E-0034</t>
  </si>
  <si>
    <t xml:space="preserve">Anika Farouk</t>
  </si>
  <si>
    <t xml:space="preserve">Python</t>
  </si>
  <si>
    <t xml:space="preserve">E-0035</t>
  </si>
  <si>
    <t xml:space="preserve">Felix Singh</t>
  </si>
  <si>
    <t xml:space="preserve">E-0036</t>
  </si>
  <si>
    <t xml:space="preserve">Rosa Qureshi</t>
  </si>
  <si>
    <t xml:space="preserve">E-0037</t>
  </si>
  <si>
    <t xml:space="preserve">Imran Ivanova</t>
  </si>
  <si>
    <t xml:space="preserve">E-0038</t>
  </si>
  <si>
    <t xml:space="preserve">Clara Boateng</t>
  </si>
  <si>
    <t xml:space="preserve">E-0039</t>
  </si>
  <si>
    <t xml:space="preserve">Theo Siddiqui</t>
  </si>
  <si>
    <t xml:space="preserve">E-0040</t>
  </si>
  <si>
    <t xml:space="preserve">Leila Nguyen</t>
  </si>
  <si>
    <t xml:space="preserve">E-0041</t>
  </si>
  <si>
    <t xml:space="preserve">Andre Fontaine</t>
  </si>
  <si>
    <t xml:space="preserve">E-0042</t>
  </si>
  <si>
    <t xml:space="preserve">Nina Yilmaz</t>
  </si>
  <si>
    <t xml:space="preserve">QA Analyst</t>
  </si>
  <si>
    <t xml:space="preserve">Quality</t>
  </si>
  <si>
    <t xml:space="preserve">Automation</t>
  </si>
  <si>
    <t xml:space="preserve">E-0043</t>
  </si>
  <si>
    <t xml:space="preserve">Victor Chen</t>
  </si>
  <si>
    <t xml:space="preserve">Selenium</t>
  </si>
  <si>
    <t xml:space="preserve">E-0044</t>
  </si>
  <si>
    <t xml:space="preserve">Simran Patel</t>
  </si>
  <si>
    <t xml:space="preserve">E-0045</t>
  </si>
  <si>
    <t xml:space="preserve">Hugo Ahmed</t>
  </si>
  <si>
    <t xml:space="preserve">E-0046</t>
  </si>
  <si>
    <t xml:space="preserve">Ines Morales</t>
  </si>
  <si>
    <t xml:space="preserve">E-0047</t>
  </si>
  <si>
    <t xml:space="preserve">Kofi Mensah</t>
  </si>
  <si>
    <t xml:space="preserve">E-0048</t>
  </si>
  <si>
    <t xml:space="preserve">Tessa Rossi</t>
  </si>
  <si>
    <t xml:space="preserve">Data Engineer</t>
  </si>
  <si>
    <t xml:space="preserve">dbt</t>
  </si>
  <si>
    <t xml:space="preserve">E-0049</t>
  </si>
  <si>
    <t xml:space="preserve">Bilal Novak</t>
  </si>
  <si>
    <t xml:space="preserve">Spark</t>
  </si>
  <si>
    <t xml:space="preserve">E-0050</t>
  </si>
  <si>
    <t xml:space="preserve">Julia Karimi</t>
  </si>
  <si>
    <t xml:space="preserve">E-0051</t>
  </si>
  <si>
    <t xml:space="preserve">Marco Laurent</t>
  </si>
  <si>
    <t xml:space="preserve">Databricks</t>
  </si>
  <si>
    <t xml:space="preserve">E-0052</t>
  </si>
  <si>
    <t xml:space="preserve">Ayesha Schmidt</t>
  </si>
  <si>
    <t xml:space="preserve">Data Scientist</t>
  </si>
  <si>
    <t xml:space="preserve">ML</t>
  </si>
  <si>
    <t xml:space="preserve">E-0053</t>
  </si>
  <si>
    <t xml:space="preserve">Declan Iyer</t>
  </si>
  <si>
    <t xml:space="preserve">E-0054</t>
  </si>
  <si>
    <t xml:space="preserve">Lina Lindgren</t>
  </si>
  <si>
    <t xml:space="preserve">E-0055</t>
  </si>
  <si>
    <t xml:space="preserve">Rohan Keller</t>
  </si>
  <si>
    <t xml:space="preserve">Cloud Engineer</t>
  </si>
  <si>
    <t xml:space="preserve">Infrastructure</t>
  </si>
  <si>
    <t xml:space="preserve">AWS</t>
  </si>
  <si>
    <t xml:space="preserve">E-0056</t>
  </si>
  <si>
    <t xml:space="preserve">Esme Khan</t>
  </si>
  <si>
    <t xml:space="preserve">E-0057</t>
  </si>
  <si>
    <t xml:space="preserve">Caleb Walsh</t>
  </si>
  <si>
    <t xml:space="preserve">Terraform</t>
  </si>
  <si>
    <t xml:space="preserve">E-0058</t>
  </si>
  <si>
    <t xml:space="preserve">Noor Sato</t>
  </si>
  <si>
    <t xml:space="preserve">Azure</t>
  </si>
  <si>
    <t xml:space="preserve">E-0059</t>
  </si>
  <si>
    <t xml:space="preserve">Adrian Kapoor</t>
  </si>
  <si>
    <t xml:space="preserve">DevOps Engineer</t>
  </si>
  <si>
    <t xml:space="preserve">CI/CD</t>
  </si>
  <si>
    <t xml:space="preserve">E-0060</t>
  </si>
  <si>
    <t xml:space="preserve">Priyanka Tanaka</t>
  </si>
  <si>
    <t xml:space="preserve">E-0061</t>
  </si>
  <si>
    <t xml:space="preserve">Jonah Lee</t>
  </si>
  <si>
    <t xml:space="preserve">Kubernetes</t>
  </si>
  <si>
    <t xml:space="preserve">E-0062</t>
  </si>
  <si>
    <t xml:space="preserve">Mariam Brooks</t>
  </si>
  <si>
    <t xml:space="preserve">Change Manager</t>
  </si>
  <si>
    <t xml:space="preserve">Training</t>
  </si>
  <si>
    <t xml:space="preserve">E-0063</t>
  </si>
  <si>
    <t xml:space="preserve">Callum Dubois</t>
  </si>
  <si>
    <t xml:space="preserve">Comms</t>
  </si>
  <si>
    <t xml:space="preserve">AllocationID</t>
  </si>
  <si>
    <t xml:space="preserve">EmployeeName</t>
  </si>
  <si>
    <t xml:space="preserve">ProjectRole</t>
  </si>
  <si>
    <t xml:space="preserve">Billable</t>
  </si>
  <si>
    <t xml:space="preserve">EndDate</t>
  </si>
  <si>
    <t xml:space="preserve">AllocationPct</t>
  </si>
  <si>
    <t xml:space="preserve">IsActive</t>
  </si>
  <si>
    <t xml:space="preserve">WorkingDays</t>
  </si>
  <si>
    <t xml:space="preserve">PlannedHours</t>
  </si>
  <si>
    <t xml:space="preserve">PlannedCost</t>
  </si>
  <si>
    <t xml:space="preserve">PlannedRevenue</t>
  </si>
  <si>
    <t xml:space="preserve">HoursBurnPct</t>
  </si>
  <si>
    <t xml:space="preserve">A-0001</t>
  </si>
  <si>
    <t xml:space="preserve">Delivery Lead</t>
  </si>
  <si>
    <t xml:space="preserve">Yes</t>
  </si>
  <si>
    <t xml:space="preserve">A-0002</t>
  </si>
  <si>
    <t xml:space="preserve">A-0003</t>
  </si>
  <si>
    <t xml:space="preserve">Tech Lead</t>
  </si>
  <si>
    <t xml:space="preserve">A-0004</t>
  </si>
  <si>
    <t xml:space="preserve">A-0005</t>
  </si>
  <si>
    <t xml:space="preserve">A-0006</t>
  </si>
  <si>
    <t xml:space="preserve">A-0007</t>
  </si>
  <si>
    <t xml:space="preserve">A-0008</t>
  </si>
  <si>
    <t xml:space="preserve">A-0009</t>
  </si>
  <si>
    <t xml:space="preserve">A-0010</t>
  </si>
  <si>
    <t xml:space="preserve">A-0011</t>
  </si>
  <si>
    <t xml:space="preserve">A-0012</t>
  </si>
  <si>
    <t xml:space="preserve">A-0013</t>
  </si>
  <si>
    <t xml:space="preserve">No</t>
  </si>
  <si>
    <t xml:space="preserve">A-0014</t>
  </si>
  <si>
    <t xml:space="preserve">A-0015</t>
  </si>
  <si>
    <t xml:space="preserve">A-0016</t>
  </si>
  <si>
    <t xml:space="preserve">A-0017</t>
  </si>
  <si>
    <t xml:space="preserve">A-0018</t>
  </si>
  <si>
    <t xml:space="preserve">A-0019</t>
  </si>
  <si>
    <t xml:space="preserve">A-0020</t>
  </si>
  <si>
    <t xml:space="preserve">A-0021</t>
  </si>
  <si>
    <t xml:space="preserve">A-0022</t>
  </si>
  <si>
    <t xml:space="preserve">A-0023</t>
  </si>
  <si>
    <t xml:space="preserve">A-0024</t>
  </si>
  <si>
    <t xml:space="preserve">A-0025</t>
  </si>
  <si>
    <t xml:space="preserve">A-0026</t>
  </si>
  <si>
    <t xml:space="preserve">A-0027</t>
  </si>
  <si>
    <t xml:space="preserve">A-0028</t>
  </si>
  <si>
    <t xml:space="preserve">A-0029</t>
  </si>
  <si>
    <t xml:space="preserve">A-0030</t>
  </si>
  <si>
    <t xml:space="preserve">A-0031</t>
  </si>
  <si>
    <t xml:space="preserve">A-0032</t>
  </si>
  <si>
    <t xml:space="preserve">A-0033</t>
  </si>
  <si>
    <t xml:space="preserve">A-0034</t>
  </si>
  <si>
    <t xml:space="preserve">A-0035</t>
  </si>
  <si>
    <t xml:space="preserve">A-0036</t>
  </si>
  <si>
    <t xml:space="preserve">A-0037</t>
  </si>
  <si>
    <t xml:space="preserve">A-0038</t>
  </si>
  <si>
    <t xml:space="preserve">A-0039</t>
  </si>
  <si>
    <t xml:space="preserve">A-0040</t>
  </si>
  <si>
    <t xml:space="preserve">A-0041</t>
  </si>
  <si>
    <t xml:space="preserve">A-0042</t>
  </si>
  <si>
    <t xml:space="preserve">A-0043</t>
  </si>
  <si>
    <t xml:space="preserve">A-0044</t>
  </si>
  <si>
    <t xml:space="preserve">A-0045</t>
  </si>
  <si>
    <t xml:space="preserve">A-0046</t>
  </si>
  <si>
    <t xml:space="preserve">A-0047</t>
  </si>
  <si>
    <t xml:space="preserve">A-0048</t>
  </si>
  <si>
    <t xml:space="preserve">A-0049</t>
  </si>
  <si>
    <t xml:space="preserve">A-0050</t>
  </si>
  <si>
    <t xml:space="preserve">A-0051</t>
  </si>
  <si>
    <t xml:space="preserve">A-0052</t>
  </si>
  <si>
    <t xml:space="preserve">A-0053</t>
  </si>
  <si>
    <t xml:space="preserve">A-0054</t>
  </si>
  <si>
    <t xml:space="preserve">A-0055</t>
  </si>
  <si>
    <t xml:space="preserve">A-0056</t>
  </si>
  <si>
    <t xml:space="preserve">A-0057</t>
  </si>
  <si>
    <t xml:space="preserve">A-0058</t>
  </si>
  <si>
    <t xml:space="preserve">A-0059</t>
  </si>
  <si>
    <t xml:space="preserve">A-0060</t>
  </si>
  <si>
    <t xml:space="preserve">A-0061</t>
  </si>
  <si>
    <t xml:space="preserve">A-0062</t>
  </si>
  <si>
    <t xml:space="preserve">A-0063</t>
  </si>
  <si>
    <t xml:space="preserve">A-0064</t>
  </si>
  <si>
    <t xml:space="preserve">A-0065</t>
  </si>
  <si>
    <t xml:space="preserve">A-0066</t>
  </si>
  <si>
    <t xml:space="preserve">A-0067</t>
  </si>
  <si>
    <t xml:space="preserve">A-0068</t>
  </si>
  <si>
    <t xml:space="preserve">A-0069</t>
  </si>
  <si>
    <t xml:space="preserve">A-0070</t>
  </si>
  <si>
    <t xml:space="preserve">A-0071</t>
  </si>
  <si>
    <t xml:space="preserve">A-0072</t>
  </si>
  <si>
    <t xml:space="preserve">A-0073</t>
  </si>
  <si>
    <t xml:space="preserve">A-0074</t>
  </si>
  <si>
    <t xml:space="preserve">A-0075</t>
  </si>
  <si>
    <t xml:space="preserve">A-0076</t>
  </si>
  <si>
    <t xml:space="preserve">A-0077</t>
  </si>
  <si>
    <t xml:space="preserve">A-0078</t>
  </si>
  <si>
    <t xml:space="preserve">A-0079</t>
  </si>
  <si>
    <t xml:space="preserve">A-0080</t>
  </si>
  <si>
    <t xml:space="preserve">A-0081</t>
  </si>
  <si>
    <t xml:space="preserve">A-0082</t>
  </si>
  <si>
    <t xml:space="preserve">A-0083</t>
  </si>
  <si>
    <t xml:space="preserve">A-0084</t>
  </si>
  <si>
    <t xml:space="preserve">A-0085</t>
  </si>
  <si>
    <t xml:space="preserve">A-0086</t>
  </si>
  <si>
    <t xml:space="preserve">A-0087</t>
  </si>
  <si>
    <t xml:space="preserve">A-0088</t>
  </si>
  <si>
    <t xml:space="preserve">A-0089</t>
  </si>
  <si>
    <t xml:space="preserve">A-0090</t>
  </si>
  <si>
    <t xml:space="preserve">A-0091</t>
  </si>
  <si>
    <t xml:space="preserve">A-0092</t>
  </si>
  <si>
    <t xml:space="preserve">A-0093</t>
  </si>
  <si>
    <t xml:space="preserve">A-0094</t>
  </si>
  <si>
    <t xml:space="preserve">A-0095</t>
  </si>
  <si>
    <t xml:space="preserve">A-0096</t>
  </si>
  <si>
    <t xml:space="preserve">A-0097</t>
  </si>
  <si>
    <t xml:space="preserve">A-0098</t>
  </si>
  <si>
    <t xml:space="preserve">A-0099</t>
  </si>
  <si>
    <t xml:space="preserve">A-0100</t>
  </si>
  <si>
    <t xml:space="preserve">A-0101</t>
  </si>
  <si>
    <t xml:space="preserve">A-0102</t>
  </si>
  <si>
    <t xml:space="preserve">A-0103</t>
  </si>
  <si>
    <t xml:space="preserve">A-0104</t>
  </si>
  <si>
    <t xml:space="preserve">A-0105</t>
  </si>
  <si>
    <t xml:space="preserve">A-0106</t>
  </si>
  <si>
    <t xml:space="preserve">A-0107</t>
  </si>
  <si>
    <t xml:space="preserve">A-0108</t>
  </si>
  <si>
    <t xml:space="preserve">A-0109</t>
  </si>
  <si>
    <t xml:space="preserve">A-0110</t>
  </si>
  <si>
    <t xml:space="preserve">A-0111</t>
  </si>
  <si>
    <t xml:space="preserve">A-0112</t>
  </si>
  <si>
    <t xml:space="preserve">A-0113</t>
  </si>
  <si>
    <t xml:space="preserve">A-0114</t>
  </si>
  <si>
    <t xml:space="preserve">A-0115</t>
  </si>
  <si>
    <t xml:space="preserve">A-0116</t>
  </si>
  <si>
    <t xml:space="preserve">A-0117</t>
  </si>
  <si>
    <t xml:space="preserve">A-0118</t>
  </si>
  <si>
    <t xml:space="preserve">A-0119</t>
  </si>
  <si>
    <t xml:space="preserve">A-0120</t>
  </si>
  <si>
    <t xml:space="preserve">A-0121</t>
  </si>
  <si>
    <t xml:space="preserve">A-0122</t>
  </si>
  <si>
    <t xml:space="preserve">A-0123</t>
  </si>
  <si>
    <t xml:space="preserve">A-0124</t>
  </si>
  <si>
    <t xml:space="preserve">A-0125</t>
  </si>
  <si>
    <t xml:space="preserve">A-0126</t>
  </si>
  <si>
    <t xml:space="preserve">A-0127</t>
  </si>
  <si>
    <t xml:space="preserve">A-0128</t>
  </si>
  <si>
    <t xml:space="preserve">A-0129</t>
  </si>
  <si>
    <t xml:space="preserve">A-0130</t>
  </si>
  <si>
    <t xml:space="preserve">A-0131</t>
  </si>
  <si>
    <t xml:space="preserve">A-0132</t>
  </si>
  <si>
    <t xml:space="preserve">A-0133</t>
  </si>
  <si>
    <t xml:space="preserve">A-0134</t>
  </si>
  <si>
    <t xml:space="preserve">A-0135</t>
  </si>
  <si>
    <t xml:space="preserve">A-0136</t>
  </si>
  <si>
    <t xml:space="preserve">A-0137</t>
  </si>
  <si>
    <t xml:space="preserve">A-0138</t>
  </si>
  <si>
    <t xml:space="preserve">A-0139</t>
  </si>
  <si>
    <t xml:space="preserve">A-0140</t>
  </si>
  <si>
    <t xml:space="preserve">A-0141</t>
  </si>
  <si>
    <t xml:space="preserve">A-0142</t>
  </si>
  <si>
    <t xml:space="preserve">A-0143</t>
  </si>
  <si>
    <t xml:space="preserve">A-0144</t>
  </si>
  <si>
    <t xml:space="preserve">A-0145</t>
  </si>
  <si>
    <t xml:space="preserve">EstimateLineID</t>
  </si>
  <si>
    <t xml:space="preserve">EstimateVersion</t>
  </si>
  <si>
    <t xml:space="preserve">IsCurrent</t>
  </si>
  <si>
    <t xml:space="preserve">WBSCode</t>
  </si>
  <si>
    <t xml:space="preserve">Workstream</t>
  </si>
  <si>
    <t xml:space="preserve">EstimatedHours</t>
  </si>
  <si>
    <t xml:space="preserve">BlendedCostRate</t>
  </si>
  <si>
    <t xml:space="preserve">Confidence</t>
  </si>
  <si>
    <t xml:space="preserve">EstimatedByID</t>
  </si>
  <si>
    <t xml:space="preserve">EstimateDate</t>
  </si>
  <si>
    <t xml:space="preserve">EstimatedBy</t>
  </si>
  <si>
    <t xml:space="preserve">ContingencyPct</t>
  </si>
  <si>
    <t xml:space="preserve">BaseCost</t>
  </si>
  <si>
    <t xml:space="preserve">ContingencyAmt</t>
  </si>
  <si>
    <t xml:space="preserve">TotalEstimate</t>
  </si>
  <si>
    <t xml:space="preserve">EST-0001</t>
  </si>
  <si>
    <t xml:space="preserve">v1 Baseline</t>
  </si>
  <si>
    <t xml:space="preserve">1.0</t>
  </si>
  <si>
    <t xml:space="preserve">Discovery</t>
  </si>
  <si>
    <t xml:space="preserve">Business &amp; Analysis</t>
  </si>
  <si>
    <t xml:space="preserve">High</t>
  </si>
  <si>
    <t xml:space="preserve">EST-0002</t>
  </si>
  <si>
    <t xml:space="preserve">2.0</t>
  </si>
  <si>
    <t xml:space="preserve">Experience &amp; Architecture</t>
  </si>
  <si>
    <t xml:space="preserve">EST-0003</t>
  </si>
  <si>
    <t xml:space="preserve">3.0</t>
  </si>
  <si>
    <t xml:space="preserve">Build</t>
  </si>
  <si>
    <t xml:space="preserve">Medium</t>
  </si>
  <si>
    <t xml:space="preserve">EST-0004</t>
  </si>
  <si>
    <t xml:space="preserve">4.0</t>
  </si>
  <si>
    <t xml:space="preserve">Test</t>
  </si>
  <si>
    <t xml:space="preserve">Quality Assurance</t>
  </si>
  <si>
    <t xml:space="preserve">EST-0005</t>
  </si>
  <si>
    <t xml:space="preserve">5.0</t>
  </si>
  <si>
    <t xml:space="preserve">Deploy</t>
  </si>
  <si>
    <t xml:space="preserve">Release &amp; Change</t>
  </si>
  <si>
    <t xml:space="preserve">EST-0006</t>
  </si>
  <si>
    <t xml:space="preserve">Low</t>
  </si>
  <si>
    <t xml:space="preserve">EST-0007</t>
  </si>
  <si>
    <t xml:space="preserve">EST-0008</t>
  </si>
  <si>
    <t xml:space="preserve">EST-0009</t>
  </si>
  <si>
    <t xml:space="preserve">EST-0010</t>
  </si>
  <si>
    <t xml:space="preserve">EST-0011</t>
  </si>
  <si>
    <t xml:space="preserve">v2 Re-forecast</t>
  </si>
  <si>
    <t xml:space="preserve">EST-0012</t>
  </si>
  <si>
    <t xml:space="preserve">EST-0013</t>
  </si>
  <si>
    <t xml:space="preserve">EST-0014</t>
  </si>
  <si>
    <t xml:space="preserve">EST-0015</t>
  </si>
  <si>
    <t xml:space="preserve">EST-0016</t>
  </si>
  <si>
    <t xml:space="preserve">EST-0017</t>
  </si>
  <si>
    <t xml:space="preserve">EST-0018</t>
  </si>
  <si>
    <t xml:space="preserve">EST-0019</t>
  </si>
  <si>
    <t xml:space="preserve">EST-0020</t>
  </si>
  <si>
    <t xml:space="preserve">EST-0021</t>
  </si>
  <si>
    <t xml:space="preserve">EST-0022</t>
  </si>
  <si>
    <t xml:space="preserve">EST-0023</t>
  </si>
  <si>
    <t xml:space="preserve">EST-0024</t>
  </si>
  <si>
    <t xml:space="preserve">EST-0025</t>
  </si>
  <si>
    <t xml:space="preserve">EST-0026</t>
  </si>
  <si>
    <t xml:space="preserve">EST-0027</t>
  </si>
  <si>
    <t xml:space="preserve">EST-0028</t>
  </si>
  <si>
    <t xml:space="preserve">EST-0029</t>
  </si>
  <si>
    <t xml:space="preserve">EST-0030</t>
  </si>
  <si>
    <t xml:space="preserve">EST-0031</t>
  </si>
  <si>
    <t xml:space="preserve">EST-0032</t>
  </si>
  <si>
    <t xml:space="preserve">EST-0033</t>
  </si>
  <si>
    <t xml:space="preserve">EST-0034</t>
  </si>
  <si>
    <t xml:space="preserve">EST-0035</t>
  </si>
  <si>
    <t xml:space="preserve">EST-0036</t>
  </si>
  <si>
    <t xml:space="preserve">EST-0037</t>
  </si>
  <si>
    <t xml:space="preserve">EST-0038</t>
  </si>
  <si>
    <t xml:space="preserve">EST-0039</t>
  </si>
  <si>
    <t xml:space="preserve">EST-0040</t>
  </si>
  <si>
    <t xml:space="preserve">EST-0041</t>
  </si>
  <si>
    <t xml:space="preserve">EST-0042</t>
  </si>
  <si>
    <t xml:space="preserve">EST-0043</t>
  </si>
  <si>
    <t xml:space="preserve">EST-0044</t>
  </si>
  <si>
    <t xml:space="preserve">EST-0045</t>
  </si>
  <si>
    <t xml:space="preserve">EST-0046</t>
  </si>
  <si>
    <t xml:space="preserve">EST-0047</t>
  </si>
  <si>
    <t xml:space="preserve">EST-0048</t>
  </si>
  <si>
    <t xml:space="preserve">EST-0049</t>
  </si>
  <si>
    <t xml:space="preserve">EST-0050</t>
  </si>
  <si>
    <t xml:space="preserve">EST-0051</t>
  </si>
  <si>
    <t xml:space="preserve">EST-0052</t>
  </si>
  <si>
    <t xml:space="preserve">EST-0053</t>
  </si>
  <si>
    <t xml:space="preserve">EST-0054</t>
  </si>
  <si>
    <t xml:space="preserve">EST-0055</t>
  </si>
  <si>
    <t xml:space="preserve">EST-0056</t>
  </si>
  <si>
    <t xml:space="preserve">EST-0057</t>
  </si>
  <si>
    <t xml:space="preserve">EST-0058</t>
  </si>
  <si>
    <t xml:space="preserve">EST-0059</t>
  </si>
  <si>
    <t xml:space="preserve">EST-0060</t>
  </si>
  <si>
    <t xml:space="preserve">EST-0061</t>
  </si>
  <si>
    <t xml:space="preserve">EST-0062</t>
  </si>
  <si>
    <t xml:space="preserve">EST-0063</t>
  </si>
  <si>
    <t xml:space="preserve">EST-0064</t>
  </si>
  <si>
    <t xml:space="preserve">EST-0065</t>
  </si>
  <si>
    <t xml:space="preserve">EST-0066</t>
  </si>
  <si>
    <t xml:space="preserve">EST-0067</t>
  </si>
  <si>
    <t xml:space="preserve">EST-0068</t>
  </si>
  <si>
    <t xml:space="preserve">EST-0069</t>
  </si>
  <si>
    <t xml:space="preserve">EST-0070</t>
  </si>
  <si>
    <t xml:space="preserve">EST-0071</t>
  </si>
  <si>
    <t xml:space="preserve">EST-0072</t>
  </si>
  <si>
    <t xml:space="preserve">EST-0073</t>
  </si>
  <si>
    <t xml:space="preserve">EST-0074</t>
  </si>
  <si>
    <t xml:space="preserve">EST-0075</t>
  </si>
  <si>
    <t xml:space="preserve">EST-0076</t>
  </si>
  <si>
    <t xml:space="preserve">EST-0077</t>
  </si>
  <si>
    <t xml:space="preserve">EST-0078</t>
  </si>
  <si>
    <t xml:space="preserve">EST-0079</t>
  </si>
  <si>
    <t xml:space="preserve">EST-0080</t>
  </si>
  <si>
    <t xml:space="preserve">EST-0081</t>
  </si>
  <si>
    <t xml:space="preserve">EST-0082</t>
  </si>
  <si>
    <t xml:space="preserve">EST-0083</t>
  </si>
  <si>
    <t xml:space="preserve">EST-0084</t>
  </si>
  <si>
    <t xml:space="preserve">EST-0085</t>
  </si>
  <si>
    <t xml:space="preserve">EST-0086</t>
  </si>
  <si>
    <t xml:space="preserve">EST-0087</t>
  </si>
  <si>
    <t xml:space="preserve">EST-0088</t>
  </si>
  <si>
    <t xml:space="preserve">EST-0089</t>
  </si>
  <si>
    <t xml:space="preserve">EST-0090</t>
  </si>
  <si>
    <t xml:space="preserve">EST-0091</t>
  </si>
  <si>
    <t xml:space="preserve">EST-0092</t>
  </si>
  <si>
    <t xml:space="preserve">EST-0093</t>
  </si>
  <si>
    <t xml:space="preserve">EST-0094</t>
  </si>
  <si>
    <t xml:space="preserve">EST-0095</t>
  </si>
  <si>
    <t xml:space="preserve">EST-0096</t>
  </si>
  <si>
    <t xml:space="preserve">EST-0097</t>
  </si>
  <si>
    <t xml:space="preserve">EST-0098</t>
  </si>
  <si>
    <t xml:space="preserve">EST-0099</t>
  </si>
  <si>
    <t xml:space="preserve">EST-0100</t>
  </si>
  <si>
    <t xml:space="preserve">EST-0101</t>
  </si>
  <si>
    <t xml:space="preserve">EST-0102</t>
  </si>
  <si>
    <t xml:space="preserve">EST-0103</t>
  </si>
  <si>
    <t xml:space="preserve">EST-0104</t>
  </si>
  <si>
    <t xml:space="preserve">EST-0105</t>
  </si>
  <si>
    <t xml:space="preserve">EST-0106</t>
  </si>
  <si>
    <t xml:space="preserve">EST-0107</t>
  </si>
  <si>
    <t xml:space="preserve">EST-0108</t>
  </si>
  <si>
    <t xml:space="preserve">EST-0109</t>
  </si>
  <si>
    <t xml:space="preserve">EST-0110</t>
  </si>
  <si>
    <t xml:space="preserve">EST-0111</t>
  </si>
  <si>
    <t xml:space="preserve">EST-0112</t>
  </si>
  <si>
    <t xml:space="preserve">EST-0113</t>
  </si>
  <si>
    <t xml:space="preserve">EST-0114</t>
  </si>
  <si>
    <t xml:space="preserve">EST-0115</t>
  </si>
  <si>
    <t xml:space="preserve">EST-0116</t>
  </si>
  <si>
    <t xml:space="preserve">EST-0117</t>
  </si>
  <si>
    <t xml:space="preserve">EST-0118</t>
  </si>
  <si>
    <t xml:space="preserve">EST-0119</t>
  </si>
  <si>
    <t xml:space="preserve">EST-0120</t>
  </si>
  <si>
    <t xml:space="preserve">EST-0121</t>
  </si>
  <si>
    <t xml:space="preserve">EST-0122</t>
  </si>
  <si>
    <t xml:space="preserve">EST-0123</t>
  </si>
  <si>
    <t xml:space="preserve">EST-0124</t>
  </si>
  <si>
    <t xml:space="preserve">EST-0125</t>
  </si>
  <si>
    <t xml:space="preserve">EST-0126</t>
  </si>
  <si>
    <t xml:space="preserve">EST-0127</t>
  </si>
  <si>
    <t xml:space="preserve">EST-0128</t>
  </si>
  <si>
    <t xml:space="preserve">EST-0129</t>
  </si>
  <si>
    <t xml:space="preserve">EST-0130</t>
  </si>
  <si>
    <t xml:space="preserve">EST-0131</t>
  </si>
  <si>
    <t xml:space="preserve">EST-0132</t>
  </si>
  <si>
    <t xml:space="preserve">EST-0133</t>
  </si>
  <si>
    <t xml:space="preserve">EST-0134</t>
  </si>
  <si>
    <t xml:space="preserve">EST-0135</t>
  </si>
  <si>
    <t xml:space="preserve">EST-0136</t>
  </si>
  <si>
    <t xml:space="preserve">EST-0137</t>
  </si>
  <si>
    <t xml:space="preserve">EST-0138</t>
  </si>
  <si>
    <t xml:space="preserve">EST-0139</t>
  </si>
  <si>
    <t xml:space="preserve">EST-0140</t>
  </si>
  <si>
    <t xml:space="preserve">EST-0141</t>
  </si>
  <si>
    <t xml:space="preserve">EST-0142</t>
  </si>
  <si>
    <t xml:space="preserve">EST-0143</t>
  </si>
  <si>
    <t xml:space="preserve">EST-0144</t>
  </si>
  <si>
    <t xml:space="preserve">EST-0145</t>
  </si>
  <si>
    <t xml:space="preserve">EST-0146</t>
  </si>
  <si>
    <t xml:space="preserve">EST-0147</t>
  </si>
  <si>
    <t xml:space="preserve">EST-0148</t>
  </si>
  <si>
    <t xml:space="preserve">EST-0149</t>
  </si>
  <si>
    <t xml:space="preserve">EST-0150</t>
  </si>
  <si>
    <t xml:space="preserve">EST-0151</t>
  </si>
  <si>
    <t xml:space="preserve">EST-0152</t>
  </si>
  <si>
    <t xml:space="preserve">EST-0153</t>
  </si>
  <si>
    <t xml:space="preserve">EST-0154</t>
  </si>
  <si>
    <t xml:space="preserve">EST-0155</t>
  </si>
  <si>
    <t xml:space="preserve">EST-0156</t>
  </si>
  <si>
    <t xml:space="preserve">EST-0157</t>
  </si>
  <si>
    <t xml:space="preserve">EST-0158</t>
  </si>
  <si>
    <t xml:space="preserve">EST-0159</t>
  </si>
  <si>
    <t xml:space="preserve">EST-0160</t>
  </si>
  <si>
    <t xml:space="preserve">EST-0161</t>
  </si>
  <si>
    <t xml:space="preserve">EST-0162</t>
  </si>
  <si>
    <t xml:space="preserve">EST-0163</t>
  </si>
  <si>
    <t xml:space="preserve">EST-0164</t>
  </si>
  <si>
    <t xml:space="preserve">EST-0165</t>
  </si>
  <si>
    <t xml:space="preserve">BudgetLineID</t>
  </si>
  <si>
    <t xml:space="preserve">CostCategory</t>
  </si>
  <si>
    <t xml:space="preserve">BudgetAmount</t>
  </si>
  <si>
    <t xml:space="preserve">ApprovedDate</t>
  </si>
  <si>
    <t xml:space="preserve">ApprovedBy</t>
  </si>
  <si>
    <t xml:space="preserve">Notes</t>
  </si>
  <si>
    <t xml:space="preserve">ActualToDate</t>
  </si>
  <si>
    <t xml:space="preserve">Remaining</t>
  </si>
  <si>
    <t xml:space="preserve">BurnPct</t>
  </si>
  <si>
    <t xml:space="preserve">LineStatus</t>
  </si>
  <si>
    <t xml:space="preserve">B-0001</t>
  </si>
  <si>
    <t xml:space="preserve">Labour</t>
  </si>
  <si>
    <t xml:space="preserve">From v1 baseline estimate</t>
  </si>
  <si>
    <t xml:space="preserve">B-0002</t>
  </si>
  <si>
    <t xml:space="preserve">Software &amp; Licences</t>
  </si>
  <si>
    <t xml:space="preserve">B-0003</t>
  </si>
  <si>
    <t xml:space="preserve">Subcontractors</t>
  </si>
  <si>
    <t xml:space="preserve">B-0004</t>
  </si>
  <si>
    <t xml:space="preserve">Travel &amp; Expenses</t>
  </si>
  <si>
    <t xml:space="preserve">B-0005</t>
  </si>
  <si>
    <t xml:space="preserve">Contingency</t>
  </si>
  <si>
    <t xml:space="preserve">Management reserve; drawn via CR</t>
  </si>
  <si>
    <t xml:space="preserve">B-0006</t>
  </si>
  <si>
    <t xml:space="preserve">B-0007</t>
  </si>
  <si>
    <t xml:space="preserve">Hardware</t>
  </si>
  <si>
    <t xml:space="preserve">B-0008</t>
  </si>
  <si>
    <t xml:space="preserve">B-0009</t>
  </si>
  <si>
    <t xml:space="preserve">B-0010</t>
  </si>
  <si>
    <t xml:space="preserve">B-0011</t>
  </si>
  <si>
    <t xml:space="preserve">B-0012</t>
  </si>
  <si>
    <t xml:space="preserve">B-0013</t>
  </si>
  <si>
    <t xml:space="preserve">Cloud Hosting</t>
  </si>
  <si>
    <t xml:space="preserve">B-0014</t>
  </si>
  <si>
    <t xml:space="preserve">B-0015</t>
  </si>
  <si>
    <t xml:space="preserve">B-0016</t>
  </si>
  <si>
    <t xml:space="preserve">B-0017</t>
  </si>
  <si>
    <t xml:space="preserve">B-0018</t>
  </si>
  <si>
    <t xml:space="preserve">B-0019</t>
  </si>
  <si>
    <t xml:space="preserve">B-0020</t>
  </si>
  <si>
    <t xml:space="preserve">B-0021</t>
  </si>
  <si>
    <t xml:space="preserve">B-0022</t>
  </si>
  <si>
    <t xml:space="preserve">B-0023</t>
  </si>
  <si>
    <t xml:space="preserve">B-0024</t>
  </si>
  <si>
    <t xml:space="preserve">B-0025</t>
  </si>
  <si>
    <t xml:space="preserve">B-0026</t>
  </si>
  <si>
    <t xml:space="preserve">B-0027</t>
  </si>
  <si>
    <t xml:space="preserve">B-0028</t>
  </si>
  <si>
    <t xml:space="preserve">B-0029</t>
  </si>
  <si>
    <t xml:space="preserve">B-0030</t>
  </si>
  <si>
    <t xml:space="preserve">B-0031</t>
  </si>
  <si>
    <t xml:space="preserve">B-0032</t>
  </si>
  <si>
    <t xml:space="preserve">B-0033</t>
  </si>
  <si>
    <t xml:space="preserve">B-0034</t>
  </si>
  <si>
    <t xml:space="preserve">B-0035</t>
  </si>
  <si>
    <t xml:space="preserve">B-0036</t>
  </si>
  <si>
    <t xml:space="preserve">B-0037</t>
  </si>
  <si>
    <t xml:space="preserve">B-0038</t>
  </si>
  <si>
    <t xml:space="preserve">B-0039</t>
  </si>
  <si>
    <t xml:space="preserve">B-0040</t>
  </si>
  <si>
    <t xml:space="preserve">B-0041</t>
  </si>
  <si>
    <t xml:space="preserve">B-0042</t>
  </si>
  <si>
    <t xml:space="preserve">B-0043</t>
  </si>
  <si>
    <t xml:space="preserve">B-0044</t>
  </si>
  <si>
    <t xml:space="preserve">B-0045</t>
  </si>
  <si>
    <t xml:space="preserve">B-0046</t>
  </si>
  <si>
    <t xml:space="preserve">B-0047</t>
  </si>
  <si>
    <t xml:space="preserve">B-0048</t>
  </si>
  <si>
    <t xml:space="preserve">B-0049</t>
  </si>
  <si>
    <t xml:space="preserve">B-0050</t>
  </si>
  <si>
    <t xml:space="preserve">B-0051</t>
  </si>
  <si>
    <t xml:space="preserve">B-0052</t>
  </si>
  <si>
    <t xml:space="preserve">B-0053</t>
  </si>
  <si>
    <t xml:space="preserve">B-0054</t>
  </si>
  <si>
    <t xml:space="preserve">B-0055</t>
  </si>
  <si>
    <t xml:space="preserve">B-0056</t>
  </si>
  <si>
    <t xml:space="preserve">B-0057</t>
  </si>
  <si>
    <t xml:space="preserve">B-0058</t>
  </si>
  <si>
    <t xml:space="preserve">B-0059</t>
  </si>
  <si>
    <t xml:space="preserve">B-0060</t>
  </si>
  <si>
    <t xml:space="preserve">B-0061</t>
  </si>
  <si>
    <t xml:space="preserve">B-0062</t>
  </si>
  <si>
    <t xml:space="preserve">B-0063</t>
  </si>
  <si>
    <t xml:space="preserve">B-0064</t>
  </si>
  <si>
    <t xml:space="preserve">B-0065</t>
  </si>
  <si>
    <t xml:space="preserve">B-0066</t>
  </si>
  <si>
    <t xml:space="preserve">B-0067</t>
  </si>
  <si>
    <t xml:space="preserve">B-0068</t>
  </si>
  <si>
    <t xml:space="preserve">B-0069</t>
  </si>
  <si>
    <t xml:space="preserve">B-0070</t>
  </si>
  <si>
    <t xml:space="preserve">B-0071</t>
  </si>
  <si>
    <t xml:space="preserve">B-0072</t>
  </si>
  <si>
    <t xml:space="preserve">B-0073</t>
  </si>
  <si>
    <t xml:space="preserve">B-0074</t>
  </si>
  <si>
    <t xml:space="preserve">B-0075</t>
  </si>
  <si>
    <t xml:space="preserve">B-0076</t>
  </si>
  <si>
    <t xml:space="preserve">B-0077</t>
  </si>
  <si>
    <t xml:space="preserve">B-0078</t>
  </si>
  <si>
    <t xml:space="preserve">B-0079</t>
  </si>
  <si>
    <t xml:space="preserve">B-0080</t>
  </si>
  <si>
    <t xml:space="preserve">B-0081</t>
  </si>
  <si>
    <t xml:space="preserve">B-0082</t>
  </si>
  <si>
    <t xml:space="preserve">B-0083</t>
  </si>
  <si>
    <t xml:space="preserve">B-0084</t>
  </si>
  <si>
    <t xml:space="preserve">B-0085</t>
  </si>
  <si>
    <t xml:space="preserve">B-0086</t>
  </si>
  <si>
    <t xml:space="preserve">B-0087</t>
  </si>
  <si>
    <t xml:space="preserve">B-0088</t>
  </si>
  <si>
    <t xml:space="preserve">B-0089</t>
  </si>
  <si>
    <t xml:space="preserve">B-0090</t>
  </si>
  <si>
    <t xml:space="preserve">B-0091</t>
  </si>
  <si>
    <t xml:space="preserve">B-0092</t>
  </si>
  <si>
    <t xml:space="preserve">B-0093</t>
  </si>
  <si>
    <t xml:space="preserve">B-0094</t>
  </si>
  <si>
    <t xml:space="preserve">B-0095</t>
  </si>
  <si>
    <t xml:space="preserve">B-0096</t>
  </si>
  <si>
    <t xml:space="preserve">B-0097</t>
  </si>
  <si>
    <t xml:space="preserve">B-0098</t>
  </si>
  <si>
    <t xml:space="preserve">B-0099</t>
  </si>
  <si>
    <t xml:space="preserve">B-0100</t>
  </si>
  <si>
    <t xml:space="preserve">B-0101</t>
  </si>
  <si>
    <t xml:space="preserve">B-0102</t>
  </si>
  <si>
    <t xml:space="preserve">B-0103</t>
  </si>
  <si>
    <t xml:space="preserve">B-0104</t>
  </si>
  <si>
    <t xml:space="preserve">B-0105</t>
  </si>
  <si>
    <t xml:space="preserve">B-0106</t>
  </si>
  <si>
    <t xml:space="preserve">B-0107</t>
  </si>
  <si>
    <t xml:space="preserve">B-0108</t>
  </si>
  <si>
    <t xml:space="preserve">B-0109</t>
  </si>
  <si>
    <t xml:space="preserve">B-0110</t>
  </si>
  <si>
    <t xml:space="preserve">B-0111</t>
  </si>
  <si>
    <t xml:space="preserve">B-0112</t>
  </si>
  <si>
    <t xml:space="preserve">B-0113</t>
  </si>
  <si>
    <t xml:space="preserve">B-0114</t>
  </si>
  <si>
    <t xml:space="preserve">B-0115</t>
  </si>
  <si>
    <t xml:space="preserve">B-0116</t>
  </si>
  <si>
    <t xml:space="preserve">B-0117</t>
  </si>
  <si>
    <t xml:space="preserve">B-0118</t>
  </si>
  <si>
    <t xml:space="preserve">B-0119</t>
  </si>
  <si>
    <t xml:space="preserve">B-0120</t>
  </si>
  <si>
    <t xml:space="preserve">B-0121</t>
  </si>
  <si>
    <t xml:space="preserve">B-0122</t>
  </si>
  <si>
    <t xml:space="preserve">B-0123</t>
  </si>
  <si>
    <t xml:space="preserve">B-0124</t>
  </si>
  <si>
    <t xml:space="preserve">B-0125</t>
  </si>
  <si>
    <t xml:space="preserve">B-0126</t>
  </si>
  <si>
    <t xml:space="preserve">B-0127</t>
  </si>
  <si>
    <t xml:space="preserve">B-0128</t>
  </si>
  <si>
    <t xml:space="preserve">B-0129</t>
  </si>
  <si>
    <t xml:space="preserve">B-0130</t>
  </si>
  <si>
    <t xml:space="preserve">B-0131</t>
  </si>
  <si>
    <t xml:space="preserve">B-0132</t>
  </si>
  <si>
    <t xml:space="preserve">B-0133</t>
  </si>
  <si>
    <t xml:space="preserve">B-0134</t>
  </si>
  <si>
    <t xml:space="preserve">ActualID</t>
  </si>
  <si>
    <t xml:space="preserve">Period</t>
  </si>
  <si>
    <t xml:space="preserve">Vendor</t>
  </si>
  <si>
    <t xml:space="preserve">Source</t>
  </si>
  <si>
    <t xml:space="preserve">Hours</t>
  </si>
  <si>
    <t xml:space="preserve">Amount</t>
  </si>
  <si>
    <t xml:space="preserve">PeriodLabel</t>
  </si>
  <si>
    <t xml:space="preserve">ACT-00001</t>
  </si>
  <si>
    <t xml:space="preserve">Timesheet</t>
  </si>
  <si>
    <t xml:space="preserve">ACT-00002</t>
  </si>
  <si>
    <t xml:space="preserve">ACT-00003</t>
  </si>
  <si>
    <t xml:space="preserve">ACT-00004</t>
  </si>
  <si>
    <t xml:space="preserve">ACT-00005</t>
  </si>
  <si>
    <t xml:space="preserve">ACT-00006</t>
  </si>
  <si>
    <t xml:space="preserve">Figma Inc.</t>
  </si>
  <si>
    <t xml:space="preserve">AP Invoice</t>
  </si>
  <si>
    <t xml:space="preserve">ACT-00007</t>
  </si>
  <si>
    <t xml:space="preserve">NorthByte Testing</t>
  </si>
  <si>
    <t xml:space="preserve">ACT-00008</t>
  </si>
  <si>
    <t xml:space="preserve">Learning Tree</t>
  </si>
  <si>
    <t xml:space="preserve">ACT-00009</t>
  </si>
  <si>
    <t xml:space="preserve">Corporate Travel (Navan)</t>
  </si>
  <si>
    <t xml:space="preserve">Expense Claim</t>
  </si>
  <si>
    <t xml:space="preserve">ACT-00010</t>
  </si>
  <si>
    <t xml:space="preserve">Microsoft Azure</t>
  </si>
  <si>
    <t xml:space="preserve">ACT-00011</t>
  </si>
  <si>
    <t xml:space="preserve">ACT-00012</t>
  </si>
  <si>
    <t xml:space="preserve">ACT-00013</t>
  </si>
  <si>
    <t xml:space="preserve">ACT-00014</t>
  </si>
  <si>
    <t xml:space="preserve">ACT-00015</t>
  </si>
  <si>
    <t xml:space="preserve">ACT-00016</t>
  </si>
  <si>
    <t xml:space="preserve">ACT-00017</t>
  </si>
  <si>
    <t xml:space="preserve">ACT-00018</t>
  </si>
  <si>
    <t xml:space="preserve">ACT-00019</t>
  </si>
  <si>
    <t xml:space="preserve">ACT-00020</t>
  </si>
  <si>
    <t xml:space="preserve">ACT-00021</t>
  </si>
  <si>
    <t xml:space="preserve">ACT-00022</t>
  </si>
  <si>
    <t xml:space="preserve">ACT-00023</t>
  </si>
  <si>
    <t xml:space="preserve">ACT-00024</t>
  </si>
  <si>
    <t xml:space="preserve">ACT-00025</t>
  </si>
  <si>
    <t xml:space="preserve">ACT-00026</t>
  </si>
  <si>
    <t xml:space="preserve">ACT-00027</t>
  </si>
  <si>
    <t xml:space="preserve">ACT-00028</t>
  </si>
  <si>
    <t xml:space="preserve">ACT-00029</t>
  </si>
  <si>
    <t xml:space="preserve">ACT-00030</t>
  </si>
  <si>
    <t xml:space="preserve">ACT-00031</t>
  </si>
  <si>
    <t xml:space="preserve">ACT-00032</t>
  </si>
  <si>
    <t xml:space="preserve">ACT-00033</t>
  </si>
  <si>
    <t xml:space="preserve">Microsoft</t>
  </si>
  <si>
    <t xml:space="preserve">ACT-00034</t>
  </si>
  <si>
    <t xml:space="preserve">ACT-00035</t>
  </si>
  <si>
    <t xml:space="preserve">ACT-00036</t>
  </si>
  <si>
    <t xml:space="preserve">Cisco Systems</t>
  </si>
  <si>
    <t xml:space="preserve">ACT-00037</t>
  </si>
  <si>
    <t xml:space="preserve">ACT-00038</t>
  </si>
  <si>
    <t xml:space="preserve">ACT-00039</t>
  </si>
  <si>
    <t xml:space="preserve">ACT-00040</t>
  </si>
  <si>
    <t xml:space="preserve">ACT-00041</t>
  </si>
  <si>
    <t xml:space="preserve">ACT-00042</t>
  </si>
  <si>
    <t xml:space="preserve">ACT-00043</t>
  </si>
  <si>
    <t xml:space="preserve">Expense claims</t>
  </si>
  <si>
    <t xml:space="preserve">ACT-00044</t>
  </si>
  <si>
    <t xml:space="preserve">ACT-00045</t>
  </si>
  <si>
    <t xml:space="preserve">ACT-00046</t>
  </si>
  <si>
    <t xml:space="preserve">ACT-00047</t>
  </si>
  <si>
    <t xml:space="preserve">ACT-00048</t>
  </si>
  <si>
    <t xml:space="preserve">ACT-00049</t>
  </si>
  <si>
    <t xml:space="preserve">ACT-00050</t>
  </si>
  <si>
    <t xml:space="preserve">ACT-00051</t>
  </si>
  <si>
    <t xml:space="preserve">ACT-00052</t>
  </si>
  <si>
    <t xml:space="preserve">ACT-00053</t>
  </si>
  <si>
    <t xml:space="preserve">ACT-00054</t>
  </si>
  <si>
    <t xml:space="preserve">ACT-00055</t>
  </si>
  <si>
    <t xml:space="preserve">ACT-00056</t>
  </si>
  <si>
    <t xml:space="preserve">ACT-00057</t>
  </si>
  <si>
    <t xml:space="preserve">ACT-00058</t>
  </si>
  <si>
    <t xml:space="preserve">ACT-00059</t>
  </si>
  <si>
    <t xml:space="preserve">ACT-00060</t>
  </si>
  <si>
    <t xml:space="preserve">ACT-00061</t>
  </si>
  <si>
    <t xml:space="preserve">ACT-00062</t>
  </si>
  <si>
    <t xml:space="preserve">ACT-00063</t>
  </si>
  <si>
    <t xml:space="preserve">ACT-00064</t>
  </si>
  <si>
    <t xml:space="preserve">ACT-00065</t>
  </si>
  <si>
    <t xml:space="preserve">ACT-00066</t>
  </si>
  <si>
    <t xml:space="preserve">ACT-00067</t>
  </si>
  <si>
    <t xml:space="preserve">ACT-00068</t>
  </si>
  <si>
    <t xml:space="preserve">ACT-00069</t>
  </si>
  <si>
    <t xml:space="preserve">ACT-00070</t>
  </si>
  <si>
    <t xml:space="preserve">ACT-00071</t>
  </si>
  <si>
    <t xml:space="preserve">ACT-00072</t>
  </si>
  <si>
    <t xml:space="preserve">ACT-00073</t>
  </si>
  <si>
    <t xml:space="preserve">ACT-00074</t>
  </si>
  <si>
    <t xml:space="preserve">ACT-00075</t>
  </si>
  <si>
    <t xml:space="preserve">ACT-00076</t>
  </si>
  <si>
    <t xml:space="preserve">ACT-00077</t>
  </si>
  <si>
    <t xml:space="preserve">ACT-00078</t>
  </si>
  <si>
    <t xml:space="preserve">ACT-00079</t>
  </si>
  <si>
    <t xml:space="preserve">ACT-00080</t>
  </si>
  <si>
    <t xml:space="preserve">ACT-00081</t>
  </si>
  <si>
    <t xml:space="preserve">ACT-00082</t>
  </si>
  <si>
    <t xml:space="preserve">ACT-00083</t>
  </si>
  <si>
    <t xml:space="preserve">ACT-00084</t>
  </si>
  <si>
    <t xml:space="preserve">ACT-00085</t>
  </si>
  <si>
    <t xml:space="preserve">ACT-00086</t>
  </si>
  <si>
    <t xml:space="preserve">ACT-00087</t>
  </si>
  <si>
    <t xml:space="preserve">ACT-00088</t>
  </si>
  <si>
    <t xml:space="preserve">ACT-00089</t>
  </si>
  <si>
    <t xml:space="preserve">ACT-00090</t>
  </si>
  <si>
    <t xml:space="preserve">ACT-00091</t>
  </si>
  <si>
    <t xml:space="preserve">ACT-00092</t>
  </si>
  <si>
    <t xml:space="preserve">ACT-00093</t>
  </si>
  <si>
    <t xml:space="preserve">ACT-00094</t>
  </si>
  <si>
    <t xml:space="preserve">ACT-00095</t>
  </si>
  <si>
    <t xml:space="preserve">ACT-00096</t>
  </si>
  <si>
    <t xml:space="preserve">ACT-00097</t>
  </si>
  <si>
    <t xml:space="preserve">ACT-00098</t>
  </si>
  <si>
    <t xml:space="preserve">ACT-00099</t>
  </si>
  <si>
    <t xml:space="preserve">ACT-00100</t>
  </si>
  <si>
    <t xml:space="preserve">ACT-00101</t>
  </si>
  <si>
    <t xml:space="preserve">ACT-00102</t>
  </si>
  <si>
    <t xml:space="preserve">ACT-00103</t>
  </si>
  <si>
    <t xml:space="preserve">ACT-00104</t>
  </si>
  <si>
    <t xml:space="preserve">ACT-00105</t>
  </si>
  <si>
    <t xml:space="preserve">ACT-00106</t>
  </si>
  <si>
    <t xml:space="preserve">ACT-00107</t>
  </si>
  <si>
    <t xml:space="preserve">ACT-00108</t>
  </si>
  <si>
    <t xml:space="preserve">ACT-00109</t>
  </si>
  <si>
    <t xml:space="preserve">ACT-00110</t>
  </si>
  <si>
    <t xml:space="preserve">ACT-00111</t>
  </si>
  <si>
    <t xml:space="preserve">ACT-00112</t>
  </si>
  <si>
    <t xml:space="preserve">ACT-00113</t>
  </si>
  <si>
    <t xml:space="preserve">ACT-00114</t>
  </si>
  <si>
    <t xml:space="preserve">ACT-00115</t>
  </si>
  <si>
    <t xml:space="preserve">ACT-00116</t>
  </si>
  <si>
    <t xml:space="preserve">ACT-00117</t>
  </si>
  <si>
    <t xml:space="preserve">ACT-00118</t>
  </si>
  <si>
    <t xml:space="preserve">ACT-00119</t>
  </si>
  <si>
    <t xml:space="preserve">ACT-00120</t>
  </si>
  <si>
    <t xml:space="preserve">ACT-00121</t>
  </si>
  <si>
    <t xml:space="preserve">ACT-00122</t>
  </si>
  <si>
    <t xml:space="preserve">ACT-00123</t>
  </si>
  <si>
    <t xml:space="preserve">ACT-00124</t>
  </si>
  <si>
    <t xml:space="preserve">ACT-00125</t>
  </si>
  <si>
    <t xml:space="preserve">ACT-00126</t>
  </si>
  <si>
    <t xml:space="preserve">ACT-00127</t>
  </si>
  <si>
    <t xml:space="preserve">ACT-00128</t>
  </si>
  <si>
    <t xml:space="preserve">ACT-00129</t>
  </si>
  <si>
    <t xml:space="preserve">ACT-00130</t>
  </si>
  <si>
    <t xml:space="preserve">ACT-00131</t>
  </si>
  <si>
    <t xml:space="preserve">ACT-00132</t>
  </si>
  <si>
    <t xml:space="preserve">ACT-00133</t>
  </si>
  <si>
    <t xml:space="preserve">ACT-00134</t>
  </si>
  <si>
    <t xml:space="preserve">ACT-00135</t>
  </si>
  <si>
    <t xml:space="preserve">ACT-00136</t>
  </si>
  <si>
    <t xml:space="preserve">ACT-00137</t>
  </si>
  <si>
    <t xml:space="preserve">ACT-00138</t>
  </si>
  <si>
    <t xml:space="preserve">ACT-00139</t>
  </si>
  <si>
    <t xml:space="preserve">ACT-00140</t>
  </si>
  <si>
    <t xml:space="preserve">ACT-00141</t>
  </si>
  <si>
    <t xml:space="preserve">ACT-00142</t>
  </si>
  <si>
    <t xml:space="preserve">ACT-00143</t>
  </si>
  <si>
    <t xml:space="preserve">ACT-00144</t>
  </si>
  <si>
    <t xml:space="preserve">ACT-00145</t>
  </si>
  <si>
    <t xml:space="preserve">ACT-00146</t>
  </si>
  <si>
    <t xml:space="preserve">ACT-00147</t>
  </si>
  <si>
    <t xml:space="preserve">ACT-00148</t>
  </si>
  <si>
    <t xml:space="preserve">ACT-00149</t>
  </si>
  <si>
    <t xml:space="preserve">ACT-00150</t>
  </si>
  <si>
    <t xml:space="preserve">ACT-00151</t>
  </si>
  <si>
    <t xml:space="preserve">ACT-00152</t>
  </si>
  <si>
    <t xml:space="preserve">ACT-00153</t>
  </si>
  <si>
    <t xml:space="preserve">ACT-00154</t>
  </si>
  <si>
    <t xml:space="preserve">ACT-00155</t>
  </si>
  <si>
    <t xml:space="preserve">ACT-00156</t>
  </si>
  <si>
    <t xml:space="preserve">ACT-00157</t>
  </si>
  <si>
    <t xml:space="preserve">ACT-00158</t>
  </si>
  <si>
    <t xml:space="preserve">ACT-00159</t>
  </si>
  <si>
    <t xml:space="preserve">ACT-00160</t>
  </si>
  <si>
    <t xml:space="preserve">ACT-00161</t>
  </si>
  <si>
    <t xml:space="preserve">ACT-00162</t>
  </si>
  <si>
    <t xml:space="preserve">ACT-00163</t>
  </si>
  <si>
    <t xml:space="preserve">ACT-00164</t>
  </si>
  <si>
    <t xml:space="preserve">ACT-00165</t>
  </si>
  <si>
    <t xml:space="preserve">ACT-00166</t>
  </si>
  <si>
    <t xml:space="preserve">ACT-00167</t>
  </si>
  <si>
    <t xml:space="preserve">ACT-00168</t>
  </si>
  <si>
    <t xml:space="preserve">ACT-00169</t>
  </si>
  <si>
    <t xml:space="preserve">ACT-00170</t>
  </si>
  <si>
    <t xml:space="preserve">ACT-00171</t>
  </si>
  <si>
    <t xml:space="preserve">ACT-00172</t>
  </si>
  <si>
    <t xml:space="preserve">ACT-00173</t>
  </si>
  <si>
    <t xml:space="preserve">ACT-00174</t>
  </si>
  <si>
    <t xml:space="preserve">ACT-00175</t>
  </si>
  <si>
    <t xml:space="preserve">ACT-00176</t>
  </si>
  <si>
    <t xml:space="preserve">ACT-00177</t>
  </si>
  <si>
    <t xml:space="preserve">ACT-00178</t>
  </si>
  <si>
    <t xml:space="preserve">ACT-00179</t>
  </si>
  <si>
    <t xml:space="preserve">ACT-00180</t>
  </si>
  <si>
    <t xml:space="preserve">ACT-00181</t>
  </si>
  <si>
    <t xml:space="preserve">Google Cloud</t>
  </si>
  <si>
    <t xml:space="preserve">ACT-00182</t>
  </si>
  <si>
    <t xml:space="preserve">ACT-00183</t>
  </si>
  <si>
    <t xml:space="preserve">ACT-00184</t>
  </si>
  <si>
    <t xml:space="preserve">ACT-00185</t>
  </si>
  <si>
    <t xml:space="preserve">ACT-00186</t>
  </si>
  <si>
    <t xml:space="preserve">ACT-00187</t>
  </si>
  <si>
    <t xml:space="preserve">ACT-00188</t>
  </si>
  <si>
    <t xml:space="preserve">ACT-00189</t>
  </si>
  <si>
    <t xml:space="preserve">ACT-00190</t>
  </si>
  <si>
    <t xml:space="preserve">ACT-00191</t>
  </si>
  <si>
    <t xml:space="preserve">ACT-00192</t>
  </si>
  <si>
    <t xml:space="preserve">ACT-00193</t>
  </si>
  <si>
    <t xml:space="preserve">ACT-00194</t>
  </si>
  <si>
    <t xml:space="preserve">Cedar Integration Partners</t>
  </si>
  <si>
    <t xml:space="preserve">ACT-00195</t>
  </si>
  <si>
    <t xml:space="preserve">ACT-00196</t>
  </si>
  <si>
    <t xml:space="preserve">ACT-00197</t>
  </si>
  <si>
    <t xml:space="preserve">ACT-00198</t>
  </si>
  <si>
    <t xml:space="preserve">ACT-00199</t>
  </si>
  <si>
    <t xml:space="preserve">ACT-00200</t>
  </si>
  <si>
    <t xml:space="preserve">ACT-00201</t>
  </si>
  <si>
    <t xml:space="preserve">ACT-00202</t>
  </si>
  <si>
    <t xml:space="preserve">ACT-00203</t>
  </si>
  <si>
    <t xml:space="preserve">ACT-00204</t>
  </si>
  <si>
    <t xml:space="preserve">ACT-00205</t>
  </si>
  <si>
    <t xml:space="preserve">ACT-00206</t>
  </si>
  <si>
    <t xml:space="preserve">ACT-00207</t>
  </si>
  <si>
    <t xml:space="preserve">ACT-00208</t>
  </si>
  <si>
    <t xml:space="preserve">ACT-00209</t>
  </si>
  <si>
    <t xml:space="preserve">ACT-00210</t>
  </si>
  <si>
    <t xml:space="preserve">ACT-00211</t>
  </si>
  <si>
    <t xml:space="preserve">ACT-00212</t>
  </si>
  <si>
    <t xml:space="preserve">ACT-00213</t>
  </si>
  <si>
    <t xml:space="preserve">ACT-00214</t>
  </si>
  <si>
    <t xml:space="preserve">ACT-00215</t>
  </si>
  <si>
    <t xml:space="preserve">ACT-00216</t>
  </si>
  <si>
    <t xml:space="preserve">ACT-00217</t>
  </si>
  <si>
    <t xml:space="preserve">ACT-00218</t>
  </si>
  <si>
    <t xml:space="preserve">ACT-00219</t>
  </si>
  <si>
    <t xml:space="preserve">ACT-00220</t>
  </si>
  <si>
    <t xml:space="preserve">ACT-00221</t>
  </si>
  <si>
    <t xml:space="preserve">Dell Technologies</t>
  </si>
  <si>
    <t xml:space="preserve">ACT-00222</t>
  </si>
  <si>
    <t xml:space="preserve">ACT-00223</t>
  </si>
  <si>
    <t xml:space="preserve">ACT-00224</t>
  </si>
  <si>
    <t xml:space="preserve">ACT-00225</t>
  </si>
  <si>
    <t xml:space="preserve">ACT-00226</t>
  </si>
  <si>
    <t xml:space="preserve">ACT-00227</t>
  </si>
  <si>
    <t xml:space="preserve">ACT-00228</t>
  </si>
  <si>
    <t xml:space="preserve">ACT-00229</t>
  </si>
  <si>
    <t xml:space="preserve">ACT-00230</t>
  </si>
  <si>
    <t xml:space="preserve">ACT-00231</t>
  </si>
  <si>
    <t xml:space="preserve">ACT-00232</t>
  </si>
  <si>
    <t xml:space="preserve">ACT-00233</t>
  </si>
  <si>
    <t xml:space="preserve">ACT-00234</t>
  </si>
  <si>
    <t xml:space="preserve">ACT-00235</t>
  </si>
  <si>
    <t xml:space="preserve">ACT-00236</t>
  </si>
  <si>
    <t xml:space="preserve">ACT-00237</t>
  </si>
  <si>
    <t xml:space="preserve">ACT-00238</t>
  </si>
  <si>
    <t xml:space="preserve">ACT-00239</t>
  </si>
  <si>
    <t xml:space="preserve">ACT-00240</t>
  </si>
  <si>
    <t xml:space="preserve">ACT-00241</t>
  </si>
  <si>
    <t xml:space="preserve">ACT-00242</t>
  </si>
  <si>
    <t xml:space="preserve">ACT-00243</t>
  </si>
  <si>
    <t xml:space="preserve">ACT-00244</t>
  </si>
  <si>
    <t xml:space="preserve">ACT-00245</t>
  </si>
  <si>
    <t xml:space="preserve">ACT-00246</t>
  </si>
  <si>
    <t xml:space="preserve">ACT-00247</t>
  </si>
  <si>
    <t xml:space="preserve">ACT-00248</t>
  </si>
  <si>
    <t xml:space="preserve">ACT-00249</t>
  </si>
  <si>
    <t xml:space="preserve">ACT-00250</t>
  </si>
  <si>
    <t xml:space="preserve">ACT-00251</t>
  </si>
  <si>
    <t xml:space="preserve">ACT-00252</t>
  </si>
  <si>
    <t xml:space="preserve">ACT-00253</t>
  </si>
  <si>
    <t xml:space="preserve">ACT-00254</t>
  </si>
  <si>
    <t xml:space="preserve">ACT-00255</t>
  </si>
  <si>
    <t xml:space="preserve">ACT-00256</t>
  </si>
  <si>
    <t xml:space="preserve">ACT-00257</t>
  </si>
  <si>
    <t xml:space="preserve">ACT-00258</t>
  </si>
  <si>
    <t xml:space="preserve">ACT-00259</t>
  </si>
  <si>
    <t xml:space="preserve">ACT-00260</t>
  </si>
  <si>
    <t xml:space="preserve">ACT-00261</t>
  </si>
  <si>
    <t xml:space="preserve">ACT-00262</t>
  </si>
  <si>
    <t xml:space="preserve">ACT-00263</t>
  </si>
  <si>
    <t xml:space="preserve">ACT-00264</t>
  </si>
  <si>
    <t xml:space="preserve">ACT-00265</t>
  </si>
  <si>
    <t xml:space="preserve">ACT-00266</t>
  </si>
  <si>
    <t xml:space="preserve">ACT-00267</t>
  </si>
  <si>
    <t xml:space="preserve">ACT-00268</t>
  </si>
  <si>
    <t xml:space="preserve">ACT-00269</t>
  </si>
  <si>
    <t xml:space="preserve">ACT-00270</t>
  </si>
  <si>
    <t xml:space="preserve">ACT-00271</t>
  </si>
  <si>
    <t xml:space="preserve">ACT-00272</t>
  </si>
  <si>
    <t xml:space="preserve">ACT-00273</t>
  </si>
  <si>
    <t xml:space="preserve">ACT-00274</t>
  </si>
  <si>
    <t xml:space="preserve">ACT-00275</t>
  </si>
  <si>
    <t xml:space="preserve">ACT-00276</t>
  </si>
  <si>
    <t xml:space="preserve">ACT-00277</t>
  </si>
  <si>
    <t xml:space="preserve">ACT-00278</t>
  </si>
  <si>
    <t xml:space="preserve">ACT-00279</t>
  </si>
  <si>
    <t xml:space="preserve">ACT-00280</t>
  </si>
  <si>
    <t xml:space="preserve">ACT-00281</t>
  </si>
  <si>
    <t xml:space="preserve">ACT-00282</t>
  </si>
  <si>
    <t xml:space="preserve">ACT-00283</t>
  </si>
  <si>
    <t xml:space="preserve">ACT-00284</t>
  </si>
  <si>
    <t xml:space="preserve">ACT-00285</t>
  </si>
  <si>
    <t xml:space="preserve">ACT-00286</t>
  </si>
  <si>
    <t xml:space="preserve">ACT-00287</t>
  </si>
  <si>
    <t xml:space="preserve">ACT-00288</t>
  </si>
  <si>
    <t xml:space="preserve">ACT-00289</t>
  </si>
  <si>
    <t xml:space="preserve">ACT-00290</t>
  </si>
  <si>
    <t xml:space="preserve">ACT-00291</t>
  </si>
  <si>
    <t xml:space="preserve">ACT-00292</t>
  </si>
  <si>
    <t xml:space="preserve">ACT-00293</t>
  </si>
  <si>
    <t xml:space="preserve">ACT-00294</t>
  </si>
  <si>
    <t xml:space="preserve">ACT-00295</t>
  </si>
  <si>
    <t xml:space="preserve">ACT-00296</t>
  </si>
  <si>
    <t xml:space="preserve">ACT-00297</t>
  </si>
  <si>
    <t xml:space="preserve">ACT-00298</t>
  </si>
  <si>
    <t xml:space="preserve">ACT-00299</t>
  </si>
  <si>
    <t xml:space="preserve">ACT-00300</t>
  </si>
  <si>
    <t xml:space="preserve">ACT-00301</t>
  </si>
  <si>
    <t xml:space="preserve">ACT-00302</t>
  </si>
  <si>
    <t xml:space="preserve">ACT-00303</t>
  </si>
  <si>
    <t xml:space="preserve">ACT-00304</t>
  </si>
  <si>
    <t xml:space="preserve">ACT-00305</t>
  </si>
  <si>
    <t xml:space="preserve">ACT-00306</t>
  </si>
  <si>
    <t xml:space="preserve">ACT-00307</t>
  </si>
  <si>
    <t xml:space="preserve">ACT-00308</t>
  </si>
  <si>
    <t xml:space="preserve">ACT-00309</t>
  </si>
  <si>
    <t xml:space="preserve">ACT-00310</t>
  </si>
  <si>
    <t xml:space="preserve">ACT-00311</t>
  </si>
  <si>
    <t xml:space="preserve">ACT-00312</t>
  </si>
  <si>
    <t xml:space="preserve">ACT-00313</t>
  </si>
  <si>
    <t xml:space="preserve">ACT-00314</t>
  </si>
  <si>
    <t xml:space="preserve">ACT-00315</t>
  </si>
  <si>
    <t xml:space="preserve">ACT-00316</t>
  </si>
  <si>
    <t xml:space="preserve">ACT-00317</t>
  </si>
  <si>
    <t xml:space="preserve">ACT-00318</t>
  </si>
  <si>
    <t xml:space="preserve">ACT-00319</t>
  </si>
  <si>
    <t xml:space="preserve">ACT-00320</t>
  </si>
  <si>
    <t xml:space="preserve">ACT-00321</t>
  </si>
  <si>
    <t xml:space="preserve">ACT-00322</t>
  </si>
  <si>
    <t xml:space="preserve">ACT-00323</t>
  </si>
  <si>
    <t xml:space="preserve">ACT-00324</t>
  </si>
  <si>
    <t xml:space="preserve">ACT-00325</t>
  </si>
  <si>
    <t xml:space="preserve">ACT-00326</t>
  </si>
  <si>
    <t xml:space="preserve">ACT-00327</t>
  </si>
  <si>
    <t xml:space="preserve">ACT-00328</t>
  </si>
  <si>
    <t xml:space="preserve">ACT-00329</t>
  </si>
  <si>
    <t xml:space="preserve">ACT-00330</t>
  </si>
  <si>
    <t xml:space="preserve">ACT-00331</t>
  </si>
  <si>
    <t xml:space="preserve">ACT-00332</t>
  </si>
  <si>
    <t xml:space="preserve">ACT-00333</t>
  </si>
  <si>
    <t xml:space="preserve">ACT-00334</t>
  </si>
  <si>
    <t xml:space="preserve">ACT-00335</t>
  </si>
  <si>
    <t xml:space="preserve">ACT-00336</t>
  </si>
  <si>
    <t xml:space="preserve">ACT-00337</t>
  </si>
  <si>
    <t xml:space="preserve">ACT-00338</t>
  </si>
  <si>
    <t xml:space="preserve">ACT-00339</t>
  </si>
  <si>
    <t xml:space="preserve">ACT-00340</t>
  </si>
  <si>
    <t xml:space="preserve">ACT-00341</t>
  </si>
  <si>
    <t xml:space="preserve">Internal L&amp;D</t>
  </si>
  <si>
    <t xml:space="preserve">ACT-00342</t>
  </si>
  <si>
    <t xml:space="preserve">ACT-00343</t>
  </si>
  <si>
    <t xml:space="preserve">ACT-00344</t>
  </si>
  <si>
    <t xml:space="preserve">ACT-00345</t>
  </si>
  <si>
    <t xml:space="preserve">ACT-00346</t>
  </si>
  <si>
    <t xml:space="preserve">ACT-00347</t>
  </si>
  <si>
    <t xml:space="preserve">ACT-00348</t>
  </si>
  <si>
    <t xml:space="preserve">ACT-00349</t>
  </si>
  <si>
    <t xml:space="preserve">ACT-00350</t>
  </si>
  <si>
    <t xml:space="preserve">ACT-00351</t>
  </si>
  <si>
    <t xml:space="preserve">ACT-00352</t>
  </si>
  <si>
    <t xml:space="preserve">ACT-00353</t>
  </si>
  <si>
    <t xml:space="preserve">ACT-00354</t>
  </si>
  <si>
    <t xml:space="preserve">ACT-00355</t>
  </si>
  <si>
    <t xml:space="preserve">ACT-00356</t>
  </si>
  <si>
    <t xml:space="preserve">ACT-00357</t>
  </si>
  <si>
    <t xml:space="preserve">ACT-00358</t>
  </si>
  <si>
    <t xml:space="preserve">ACT-00359</t>
  </si>
  <si>
    <t xml:space="preserve">ACT-00360</t>
  </si>
  <si>
    <t xml:space="preserve">ACT-00361</t>
  </si>
  <si>
    <t xml:space="preserve">ACT-00362</t>
  </si>
  <si>
    <t xml:space="preserve">ACT-00363</t>
  </si>
  <si>
    <t xml:space="preserve">ACT-00364</t>
  </si>
  <si>
    <t xml:space="preserve">ACT-00365</t>
  </si>
  <si>
    <t xml:space="preserve">ACT-00366</t>
  </si>
  <si>
    <t xml:space="preserve">ACT-00367</t>
  </si>
  <si>
    <t xml:space="preserve">ACT-00368</t>
  </si>
  <si>
    <t xml:space="preserve">ACT-00369</t>
  </si>
  <si>
    <t xml:space="preserve">ACT-00370</t>
  </si>
  <si>
    <t xml:space="preserve">ACT-00371</t>
  </si>
  <si>
    <t xml:space="preserve">ACT-00372</t>
  </si>
  <si>
    <t xml:space="preserve">ACT-00373</t>
  </si>
  <si>
    <t xml:space="preserve">ACT-00374</t>
  </si>
  <si>
    <t xml:space="preserve">ACT-00375</t>
  </si>
  <si>
    <t xml:space="preserve">ACT-00376</t>
  </si>
  <si>
    <t xml:space="preserve">ACT-00377</t>
  </si>
  <si>
    <t xml:space="preserve">ACT-00378</t>
  </si>
  <si>
    <t xml:space="preserve">ACT-00379</t>
  </si>
  <si>
    <t xml:space="preserve">ACT-00380</t>
  </si>
  <si>
    <t xml:space="preserve">ACT-00381</t>
  </si>
  <si>
    <t xml:space="preserve">ACT-00382</t>
  </si>
  <si>
    <t xml:space="preserve">ACT-00383</t>
  </si>
  <si>
    <t xml:space="preserve">ACT-00384</t>
  </si>
  <si>
    <t xml:space="preserve">ACT-00385</t>
  </si>
  <si>
    <t xml:space="preserve">ACT-00386</t>
  </si>
  <si>
    <t xml:space="preserve">ACT-00387</t>
  </si>
  <si>
    <t xml:space="preserve">ACT-00388</t>
  </si>
  <si>
    <t xml:space="preserve">ACT-00389</t>
  </si>
  <si>
    <t xml:space="preserve">ACT-00390</t>
  </si>
  <si>
    <t xml:space="preserve">ACT-00391</t>
  </si>
  <si>
    <t xml:space="preserve">ACT-00392</t>
  </si>
  <si>
    <t xml:space="preserve">ACT-00393</t>
  </si>
  <si>
    <t xml:space="preserve">ACT-00394</t>
  </si>
  <si>
    <t xml:space="preserve">ACT-00395</t>
  </si>
  <si>
    <t xml:space="preserve">ACT-00396</t>
  </si>
  <si>
    <t xml:space="preserve">ACT-00397</t>
  </si>
  <si>
    <t xml:space="preserve">ACT-00398</t>
  </si>
  <si>
    <t xml:space="preserve">ACT-00399</t>
  </si>
  <si>
    <t xml:space="preserve">ACT-00400</t>
  </si>
  <si>
    <t xml:space="preserve">ACT-00401</t>
  </si>
  <si>
    <t xml:space="preserve">ACT-00402</t>
  </si>
  <si>
    <t xml:space="preserve">ACT-00403</t>
  </si>
  <si>
    <t xml:space="preserve">ACT-00404</t>
  </si>
  <si>
    <t xml:space="preserve">ACT-00405</t>
  </si>
  <si>
    <t xml:space="preserve">ACT-00406</t>
  </si>
  <si>
    <t xml:space="preserve">ACT-00407</t>
  </si>
  <si>
    <t xml:space="preserve">ACT-00408</t>
  </si>
  <si>
    <t xml:space="preserve">ACT-00409</t>
  </si>
  <si>
    <t xml:space="preserve">ACT-00410</t>
  </si>
  <si>
    <t xml:space="preserve">ACT-00411</t>
  </si>
  <si>
    <t xml:space="preserve">ACT-00412</t>
  </si>
  <si>
    <t xml:space="preserve">ACT-00413</t>
  </si>
  <si>
    <t xml:space="preserve">ACT-00414</t>
  </si>
  <si>
    <t xml:space="preserve">ACT-00415</t>
  </si>
  <si>
    <t xml:space="preserve">ACT-00416</t>
  </si>
  <si>
    <t xml:space="preserve">ACT-00417</t>
  </si>
  <si>
    <t xml:space="preserve">ACT-00418</t>
  </si>
  <si>
    <t xml:space="preserve">ACT-00419</t>
  </si>
  <si>
    <t xml:space="preserve">ACT-00420</t>
  </si>
  <si>
    <t xml:space="preserve">ACT-00421</t>
  </si>
  <si>
    <t xml:space="preserve">ACT-00422</t>
  </si>
  <si>
    <t xml:space="preserve">ACT-00423</t>
  </si>
  <si>
    <t xml:space="preserve">ACT-00424</t>
  </si>
  <si>
    <t xml:space="preserve">ACT-00425</t>
  </si>
  <si>
    <t xml:space="preserve">ACT-00426</t>
  </si>
  <si>
    <t xml:space="preserve">ACT-00427</t>
  </si>
  <si>
    <t xml:space="preserve">ACT-00428</t>
  </si>
  <si>
    <t xml:space="preserve">ACT-00429</t>
  </si>
  <si>
    <t xml:space="preserve">ACT-00430</t>
  </si>
  <si>
    <t xml:space="preserve">ACT-00431</t>
  </si>
  <si>
    <t xml:space="preserve">ACT-00432</t>
  </si>
  <si>
    <t xml:space="preserve">ACT-00433</t>
  </si>
  <si>
    <t xml:space="preserve">ACT-00434</t>
  </si>
  <si>
    <t xml:space="preserve">ACT-00435</t>
  </si>
  <si>
    <t xml:space="preserve">ACT-00436</t>
  </si>
  <si>
    <t xml:space="preserve">ACT-00437</t>
  </si>
  <si>
    <t xml:space="preserve">ACT-00438</t>
  </si>
  <si>
    <t xml:space="preserve">ACT-00439</t>
  </si>
  <si>
    <t xml:space="preserve">ACT-00440</t>
  </si>
  <si>
    <t xml:space="preserve">ACT-00441</t>
  </si>
  <si>
    <t xml:space="preserve">ACT-00442</t>
  </si>
  <si>
    <t xml:space="preserve">ACT-00443</t>
  </si>
  <si>
    <t xml:space="preserve">ACT-00444</t>
  </si>
  <si>
    <t xml:space="preserve">ACT-00445</t>
  </si>
  <si>
    <t xml:space="preserve">ACT-00446</t>
  </si>
  <si>
    <t xml:space="preserve">ACT-00447</t>
  </si>
  <si>
    <t xml:space="preserve">ACT-00448</t>
  </si>
  <si>
    <t xml:space="preserve">ACT-00449</t>
  </si>
  <si>
    <t xml:space="preserve">ACT-00450</t>
  </si>
  <si>
    <t xml:space="preserve">ACT-00451</t>
  </si>
  <si>
    <t xml:space="preserve">ACT-00452</t>
  </si>
  <si>
    <t xml:space="preserve">ACT-00453</t>
  </si>
  <si>
    <t xml:space="preserve">ACT-00454</t>
  </si>
  <si>
    <t xml:space="preserve">ACT-00455</t>
  </si>
  <si>
    <t xml:space="preserve">ACT-00456</t>
  </si>
  <si>
    <t xml:space="preserve">ACT-00457</t>
  </si>
  <si>
    <t xml:space="preserve">ACT-00458</t>
  </si>
  <si>
    <t xml:space="preserve">ACT-00459</t>
  </si>
  <si>
    <t xml:space="preserve">ACT-00460</t>
  </si>
  <si>
    <t xml:space="preserve">ACT-00461</t>
  </si>
  <si>
    <t xml:space="preserve">ACT-00462</t>
  </si>
  <si>
    <t xml:space="preserve">ACT-00463</t>
  </si>
  <si>
    <t xml:space="preserve">ACT-00464</t>
  </si>
  <si>
    <t xml:space="preserve">ACT-00465</t>
  </si>
  <si>
    <t xml:space="preserve">ACT-00466</t>
  </si>
  <si>
    <t xml:space="preserve">ACT-00467</t>
  </si>
  <si>
    <t xml:space="preserve">ACT-00468</t>
  </si>
  <si>
    <t xml:space="preserve">ACT-00469</t>
  </si>
  <si>
    <t xml:space="preserve">ACT-00470</t>
  </si>
  <si>
    <t xml:space="preserve">ACT-00471</t>
  </si>
  <si>
    <t xml:space="preserve">ACT-00472</t>
  </si>
  <si>
    <t xml:space="preserve">ACT-00473</t>
  </si>
  <si>
    <t xml:space="preserve">ACT-00474</t>
  </si>
  <si>
    <t xml:space="preserve">ACT-00475</t>
  </si>
  <si>
    <t xml:space="preserve">ACT-00476</t>
  </si>
  <si>
    <t xml:space="preserve">ACT-00477</t>
  </si>
  <si>
    <t xml:space="preserve">ACT-00478</t>
  </si>
  <si>
    <t xml:space="preserve">ACT-00479</t>
  </si>
  <si>
    <t xml:space="preserve">ACT-00480</t>
  </si>
  <si>
    <t xml:space="preserve">ACT-00481</t>
  </si>
  <si>
    <t xml:space="preserve">ACT-00482</t>
  </si>
  <si>
    <t xml:space="preserve">ACT-00483</t>
  </si>
  <si>
    <t xml:space="preserve">ACT-00484</t>
  </si>
  <si>
    <t xml:space="preserve">ACT-00485</t>
  </si>
  <si>
    <t xml:space="preserve">ACT-00486</t>
  </si>
  <si>
    <t xml:space="preserve">ACT-00487</t>
  </si>
  <si>
    <t xml:space="preserve">ACT-00488</t>
  </si>
  <si>
    <t xml:space="preserve">ACT-00489</t>
  </si>
  <si>
    <t xml:space="preserve">ACT-00490</t>
  </si>
  <si>
    <t xml:space="preserve">ACT-00491</t>
  </si>
  <si>
    <t xml:space="preserve">ACT-00492</t>
  </si>
  <si>
    <t xml:space="preserve">ACT-00493</t>
  </si>
  <si>
    <t xml:space="preserve">ACT-00494</t>
  </si>
  <si>
    <t xml:space="preserve">ACT-00495</t>
  </si>
  <si>
    <t xml:space="preserve">ACT-00496</t>
  </si>
  <si>
    <t xml:space="preserve">ACT-00497</t>
  </si>
  <si>
    <t xml:space="preserve">ACT-00498</t>
  </si>
  <si>
    <t xml:space="preserve">ACT-00499</t>
  </si>
  <si>
    <t xml:space="preserve">ACT-00500</t>
  </si>
  <si>
    <t xml:space="preserve">ACT-00501</t>
  </si>
  <si>
    <t xml:space="preserve">ACT-00502</t>
  </si>
  <si>
    <t xml:space="preserve">ACT-00503</t>
  </si>
  <si>
    <t xml:space="preserve">ACT-00504</t>
  </si>
  <si>
    <t xml:space="preserve">ACT-00505</t>
  </si>
  <si>
    <t xml:space="preserve">ACT-00506</t>
  </si>
  <si>
    <t xml:space="preserve">ACT-00507</t>
  </si>
  <si>
    <t xml:space="preserve">ACT-00508</t>
  </si>
  <si>
    <t xml:space="preserve">ACT-00509</t>
  </si>
  <si>
    <t xml:space="preserve">ACT-00510</t>
  </si>
  <si>
    <t xml:space="preserve">ACT-00511</t>
  </si>
  <si>
    <t xml:space="preserve">ACT-00512</t>
  </si>
  <si>
    <t xml:space="preserve">ACT-00513</t>
  </si>
  <si>
    <t xml:space="preserve">ACT-00514</t>
  </si>
  <si>
    <t xml:space="preserve">ACT-00515</t>
  </si>
  <si>
    <t xml:space="preserve">ACT-00516</t>
  </si>
  <si>
    <t xml:space="preserve">ACT-00517</t>
  </si>
  <si>
    <t xml:space="preserve">ACT-00518</t>
  </si>
  <si>
    <t xml:space="preserve">ACT-00519</t>
  </si>
  <si>
    <t xml:space="preserve">ACT-00520</t>
  </si>
  <si>
    <t xml:space="preserve">ACT-00521</t>
  </si>
  <si>
    <t xml:space="preserve">ACT-00522</t>
  </si>
  <si>
    <t xml:space="preserve">ACT-00523</t>
  </si>
  <si>
    <t xml:space="preserve">ACT-00524</t>
  </si>
  <si>
    <t xml:space="preserve">ACT-00525</t>
  </si>
  <si>
    <t xml:space="preserve">ACT-00526</t>
  </si>
  <si>
    <t xml:space="preserve">ACT-00527</t>
  </si>
  <si>
    <t xml:space="preserve">ACT-00528</t>
  </si>
  <si>
    <t xml:space="preserve">ACT-00529</t>
  </si>
  <si>
    <t xml:space="preserve">ACT-00530</t>
  </si>
  <si>
    <t xml:space="preserve">ACT-00531</t>
  </si>
  <si>
    <t xml:space="preserve">ACT-00532</t>
  </si>
  <si>
    <t xml:space="preserve">ACT-00533</t>
  </si>
  <si>
    <t xml:space="preserve">ACT-00534</t>
  </si>
  <si>
    <t xml:space="preserve">ACT-00535</t>
  </si>
  <si>
    <t xml:space="preserve">ACT-00536</t>
  </si>
  <si>
    <t xml:space="preserve">ACT-00537</t>
  </si>
  <si>
    <t xml:space="preserve">ACT-00538</t>
  </si>
  <si>
    <t xml:space="preserve">ACT-00539</t>
  </si>
  <si>
    <t xml:space="preserve">ACT-00540</t>
  </si>
  <si>
    <t xml:space="preserve">ACT-00541</t>
  </si>
  <si>
    <t xml:space="preserve">ACT-00542</t>
  </si>
  <si>
    <t xml:space="preserve">ACT-00543</t>
  </si>
  <si>
    <t xml:space="preserve">ACT-00544</t>
  </si>
  <si>
    <t xml:space="preserve">ACT-00545</t>
  </si>
  <si>
    <t xml:space="preserve">ACT-00546</t>
  </si>
  <si>
    <t xml:space="preserve">ACT-00547</t>
  </si>
  <si>
    <t xml:space="preserve">ACT-00548</t>
  </si>
  <si>
    <t xml:space="preserve">ACT-00549</t>
  </si>
  <si>
    <t xml:space="preserve">ACT-00550</t>
  </si>
  <si>
    <t xml:space="preserve">ACT-00551</t>
  </si>
  <si>
    <t xml:space="preserve">ACT-00552</t>
  </si>
  <si>
    <t xml:space="preserve">ACT-00553</t>
  </si>
  <si>
    <t xml:space="preserve">ACT-00554</t>
  </si>
  <si>
    <t xml:space="preserve">ACT-00555</t>
  </si>
  <si>
    <t xml:space="preserve">ACT-00556</t>
  </si>
  <si>
    <t xml:space="preserve">ACT-00557</t>
  </si>
  <si>
    <t xml:space="preserve">ACT-00558</t>
  </si>
  <si>
    <t xml:space="preserve">ACT-00559</t>
  </si>
  <si>
    <t xml:space="preserve">ACT-00560</t>
  </si>
  <si>
    <t xml:space="preserve">ACT-00561</t>
  </si>
  <si>
    <t xml:space="preserve">ACT-00562</t>
  </si>
  <si>
    <t xml:space="preserve">ACT-00563</t>
  </si>
  <si>
    <t xml:space="preserve">ACT-00564</t>
  </si>
  <si>
    <t xml:space="preserve">ACT-00565</t>
  </si>
  <si>
    <t xml:space="preserve">ACT-00566</t>
  </si>
  <si>
    <t xml:space="preserve">ACT-00567</t>
  </si>
  <si>
    <t xml:space="preserve">ACT-00568</t>
  </si>
  <si>
    <t xml:space="preserve">ACT-00569</t>
  </si>
  <si>
    <t xml:space="preserve">ACT-00570</t>
  </si>
  <si>
    <t xml:space="preserve">ACT-00571</t>
  </si>
  <si>
    <t xml:space="preserve">ACT-00572</t>
  </si>
  <si>
    <t xml:space="preserve">ACT-00573</t>
  </si>
  <si>
    <t xml:space="preserve">ACT-00574</t>
  </si>
  <si>
    <t xml:space="preserve">ACT-00575</t>
  </si>
  <si>
    <t xml:space="preserve">ACT-00576</t>
  </si>
  <si>
    <t xml:space="preserve">ACT-00577</t>
  </si>
  <si>
    <t xml:space="preserve">ACT-00578</t>
  </si>
  <si>
    <t xml:space="preserve">ACT-00579</t>
  </si>
  <si>
    <t xml:space="preserve">ACT-00580</t>
  </si>
  <si>
    <t xml:space="preserve">ACT-00581</t>
  </si>
  <si>
    <t xml:space="preserve">ACT-00582</t>
  </si>
  <si>
    <t xml:space="preserve">ACT-00583</t>
  </si>
  <si>
    <t xml:space="preserve">Rockwell Automation</t>
  </si>
  <si>
    <t xml:space="preserve">ACT-00584</t>
  </si>
  <si>
    <t xml:space="preserve">ACT-00585</t>
  </si>
  <si>
    <t xml:space="preserve">ACT-00586</t>
  </si>
  <si>
    <t xml:space="preserve">ACT-00587</t>
  </si>
  <si>
    <t xml:space="preserve">ACT-00588</t>
  </si>
  <si>
    <t xml:space="preserve">ACT-00589</t>
  </si>
  <si>
    <t xml:space="preserve">ACT-00590</t>
  </si>
  <si>
    <t xml:space="preserve">ACT-00591</t>
  </si>
  <si>
    <t xml:space="preserve">ACT-00592</t>
  </si>
  <si>
    <t xml:space="preserve">ACT-00593</t>
  </si>
  <si>
    <t xml:space="preserve">ACT-00594</t>
  </si>
  <si>
    <t xml:space="preserve">ACT-00595</t>
  </si>
  <si>
    <t xml:space="preserve">ACT-00596</t>
  </si>
  <si>
    <t xml:space="preserve">ACT-00597</t>
  </si>
  <si>
    <t xml:space="preserve">ACT-00598</t>
  </si>
  <si>
    <t xml:space="preserve">ACT-00599</t>
  </si>
  <si>
    <t xml:space="preserve">ACT-00600</t>
  </si>
  <si>
    <t xml:space="preserve">ACT-00601</t>
  </si>
  <si>
    <t xml:space="preserve">ACT-00602</t>
  </si>
  <si>
    <t xml:space="preserve">ACT-00603</t>
  </si>
  <si>
    <t xml:space="preserve">ACT-00604</t>
  </si>
  <si>
    <t xml:space="preserve">ACT-00605</t>
  </si>
  <si>
    <t xml:space="preserve">ACT-00606</t>
  </si>
  <si>
    <t xml:space="preserve">ACT-00607</t>
  </si>
  <si>
    <t xml:space="preserve">ACT-00608</t>
  </si>
  <si>
    <t xml:space="preserve">ACT-00609</t>
  </si>
  <si>
    <t xml:space="preserve">ACT-00610</t>
  </si>
  <si>
    <t xml:space="preserve">ACT-00611</t>
  </si>
  <si>
    <t xml:space="preserve">ACT-00612</t>
  </si>
  <si>
    <t xml:space="preserve">ACT-00613</t>
  </si>
  <si>
    <t xml:space="preserve">ACT-00614</t>
  </si>
  <si>
    <t xml:space="preserve">ACT-00615</t>
  </si>
  <si>
    <t xml:space="preserve">ACT-00616</t>
  </si>
  <si>
    <t xml:space="preserve">ACT-00617</t>
  </si>
  <si>
    <t xml:space="preserve">ACT-00618</t>
  </si>
  <si>
    <t xml:space="preserve">ACT-00619</t>
  </si>
  <si>
    <t xml:space="preserve">ACT-00620</t>
  </si>
  <si>
    <t xml:space="preserve">ACT-00621</t>
  </si>
  <si>
    <t xml:space="preserve">ACT-00622</t>
  </si>
  <si>
    <t xml:space="preserve">ACT-00623</t>
  </si>
  <si>
    <t xml:space="preserve">ACT-00624</t>
  </si>
  <si>
    <t xml:space="preserve">ACT-00625</t>
  </si>
  <si>
    <t xml:space="preserve">ACT-00626</t>
  </si>
  <si>
    <t xml:space="preserve">ACT-00627</t>
  </si>
  <si>
    <t xml:space="preserve">ACT-00628</t>
  </si>
  <si>
    <t xml:space="preserve">ACT-00629</t>
  </si>
  <si>
    <t xml:space="preserve">ACT-00630</t>
  </si>
  <si>
    <t xml:space="preserve">ACT-00631</t>
  </si>
  <si>
    <t xml:space="preserve">ACT-00632</t>
  </si>
  <si>
    <t xml:space="preserve">ACT-00633</t>
  </si>
  <si>
    <t xml:space="preserve">ACT-00634</t>
  </si>
  <si>
    <t xml:space="preserve">ACT-00635</t>
  </si>
  <si>
    <t xml:space="preserve">ACT-00636</t>
  </si>
  <si>
    <t xml:space="preserve">ACT-00637</t>
  </si>
  <si>
    <t xml:space="preserve">ACT-00638</t>
  </si>
  <si>
    <t xml:space="preserve">ACT-00639</t>
  </si>
  <si>
    <t xml:space="preserve">ACT-00640</t>
  </si>
  <si>
    <t xml:space="preserve">ACT-00641</t>
  </si>
  <si>
    <t xml:space="preserve">ACT-00642</t>
  </si>
  <si>
    <t xml:space="preserve">ACT-00643</t>
  </si>
  <si>
    <t xml:space="preserve">ACT-00644</t>
  </si>
  <si>
    <t xml:space="preserve">ACT-00645</t>
  </si>
  <si>
    <t xml:space="preserve">ACT-00646</t>
  </si>
  <si>
    <t xml:space="preserve">ACT-00647</t>
  </si>
  <si>
    <t xml:space="preserve">ACT-00648</t>
  </si>
  <si>
    <t xml:space="preserve">ACT-00649</t>
  </si>
  <si>
    <t xml:space="preserve">ACT-00650</t>
  </si>
  <si>
    <t xml:space="preserve">ACT-00651</t>
  </si>
  <si>
    <t xml:space="preserve">ACT-00652</t>
  </si>
  <si>
    <t xml:space="preserve">ACT-00653</t>
  </si>
  <si>
    <t xml:space="preserve">ACT-00654</t>
  </si>
  <si>
    <t xml:space="preserve">ACT-00655</t>
  </si>
  <si>
    <t xml:space="preserve">ACT-00656</t>
  </si>
  <si>
    <t xml:space="preserve">ACT-00657</t>
  </si>
  <si>
    <t xml:space="preserve">ACT-00658</t>
  </si>
  <si>
    <t xml:space="preserve">ACT-00659</t>
  </si>
  <si>
    <t xml:space="preserve">ACT-00660</t>
  </si>
  <si>
    <t xml:space="preserve">ACT-00661</t>
  </si>
  <si>
    <t xml:space="preserve">ACT-00662</t>
  </si>
  <si>
    <t xml:space="preserve">ACT-00663</t>
  </si>
  <si>
    <t xml:space="preserve">ACT-00664</t>
  </si>
  <si>
    <t xml:space="preserve">ACT-00665</t>
  </si>
  <si>
    <t xml:space="preserve">ACT-00666</t>
  </si>
  <si>
    <t xml:space="preserve">ACT-00667</t>
  </si>
  <si>
    <t xml:space="preserve">ACT-00668</t>
  </si>
  <si>
    <t xml:space="preserve">ACT-00669</t>
  </si>
  <si>
    <t xml:space="preserve">ACT-00670</t>
  </si>
  <si>
    <t xml:space="preserve">ACT-00671</t>
  </si>
  <si>
    <t xml:space="preserve">ACT-00672</t>
  </si>
  <si>
    <t xml:space="preserve">ACT-00673</t>
  </si>
  <si>
    <t xml:space="preserve">ACT-00674</t>
  </si>
  <si>
    <t xml:space="preserve">ACT-00675</t>
  </si>
  <si>
    <t xml:space="preserve">ACT-00676</t>
  </si>
  <si>
    <t xml:space="preserve">ACT-00677</t>
  </si>
  <si>
    <t xml:space="preserve">ACT-00678</t>
  </si>
  <si>
    <t xml:space="preserve">ACT-00679</t>
  </si>
  <si>
    <t xml:space="preserve">ACT-00680</t>
  </si>
  <si>
    <t xml:space="preserve">ACT-00681</t>
  </si>
  <si>
    <t xml:space="preserve">ACT-00682</t>
  </si>
  <si>
    <t xml:space="preserve">ACT-00683</t>
  </si>
  <si>
    <t xml:space="preserve">ACT-00684</t>
  </si>
  <si>
    <t xml:space="preserve">ACT-00685</t>
  </si>
  <si>
    <t xml:space="preserve">ACT-00686</t>
  </si>
  <si>
    <t xml:space="preserve">ACT-00687</t>
  </si>
  <si>
    <t xml:space="preserve">ACT-00688</t>
  </si>
  <si>
    <t xml:space="preserve">ACT-00689</t>
  </si>
  <si>
    <t xml:space="preserve">ACT-00690</t>
  </si>
  <si>
    <t xml:space="preserve">ACT-00691</t>
  </si>
  <si>
    <t xml:space="preserve">ACT-00692</t>
  </si>
  <si>
    <t xml:space="preserve">ACT-00693</t>
  </si>
  <si>
    <t xml:space="preserve">ACT-00694</t>
  </si>
  <si>
    <t xml:space="preserve">ACT-00695</t>
  </si>
  <si>
    <t xml:space="preserve">ACT-00696</t>
  </si>
  <si>
    <t xml:space="preserve">ACT-00697</t>
  </si>
  <si>
    <t xml:space="preserve">ACT-00698</t>
  </si>
  <si>
    <t xml:space="preserve">ACT-00699</t>
  </si>
  <si>
    <t xml:space="preserve">ACT-00700</t>
  </si>
  <si>
    <t xml:space="preserve">ACT-00701</t>
  </si>
  <si>
    <t xml:space="preserve">ACT-00702</t>
  </si>
  <si>
    <t xml:space="preserve">ACT-00703</t>
  </si>
  <si>
    <t xml:space="preserve">ACT-00704</t>
  </si>
  <si>
    <t xml:space="preserve">ACT-00705</t>
  </si>
  <si>
    <t xml:space="preserve">ACT-00706</t>
  </si>
  <si>
    <t xml:space="preserve">ACT-00707</t>
  </si>
  <si>
    <t xml:space="preserve">ACT-00708</t>
  </si>
  <si>
    <t xml:space="preserve">ACT-00709</t>
  </si>
  <si>
    <t xml:space="preserve">ACT-00710</t>
  </si>
  <si>
    <t xml:space="preserve">ACT-00711</t>
  </si>
  <si>
    <t xml:space="preserve">ACT-00712</t>
  </si>
  <si>
    <t xml:space="preserve">ACT-00713</t>
  </si>
  <si>
    <t xml:space="preserve">ACT-00714</t>
  </si>
  <si>
    <t xml:space="preserve">ACT-00715</t>
  </si>
  <si>
    <t xml:space="preserve">ACT-00716</t>
  </si>
  <si>
    <t xml:space="preserve">ACT-00717</t>
  </si>
  <si>
    <t xml:space="preserve">ACT-00718</t>
  </si>
  <si>
    <t xml:space="preserve">ACT-00719</t>
  </si>
  <si>
    <t xml:space="preserve">ACT-00720</t>
  </si>
  <si>
    <t xml:space="preserve">ACT-00721</t>
  </si>
  <si>
    <t xml:space="preserve">ACT-00722</t>
  </si>
  <si>
    <t xml:space="preserve">ACT-00723</t>
  </si>
  <si>
    <t xml:space="preserve">ACT-00724</t>
  </si>
  <si>
    <t xml:space="preserve">ACT-00725</t>
  </si>
  <si>
    <t xml:space="preserve">ACT-00726</t>
  </si>
  <si>
    <t xml:space="preserve">ACT-00727</t>
  </si>
  <si>
    <t xml:space="preserve">ACT-00728</t>
  </si>
  <si>
    <t xml:space="preserve">ACT-00729</t>
  </si>
  <si>
    <t xml:space="preserve">ACT-00730</t>
  </si>
  <si>
    <t xml:space="preserve">ACT-00731</t>
  </si>
  <si>
    <t xml:space="preserve">ACT-00732</t>
  </si>
  <si>
    <t xml:space="preserve">ACT-00733</t>
  </si>
  <si>
    <t xml:space="preserve">ACT-00734</t>
  </si>
  <si>
    <t xml:space="preserve">ACT-00735</t>
  </si>
  <si>
    <t xml:space="preserve">ACT-00736</t>
  </si>
  <si>
    <t xml:space="preserve">ACT-00737</t>
  </si>
  <si>
    <t xml:space="preserve">ACT-00738</t>
  </si>
  <si>
    <t xml:space="preserve">ACT-00739</t>
  </si>
  <si>
    <t xml:space="preserve">ACT-00740</t>
  </si>
  <si>
    <t xml:space="preserve">ACT-00741</t>
  </si>
  <si>
    <t xml:space="preserve">ACT-00742</t>
  </si>
  <si>
    <t xml:space="preserve">ACT-00743</t>
  </si>
  <si>
    <t xml:space="preserve">ACT-00744</t>
  </si>
  <si>
    <t xml:space="preserve">ACT-00745</t>
  </si>
  <si>
    <t xml:space="preserve">ACT-00746</t>
  </si>
  <si>
    <t xml:space="preserve">ACT-00747</t>
  </si>
  <si>
    <t xml:space="preserve">ACT-00748</t>
  </si>
  <si>
    <t xml:space="preserve">ACT-00749</t>
  </si>
  <si>
    <t xml:space="preserve">ACT-00750</t>
  </si>
  <si>
    <t xml:space="preserve">ACT-00751</t>
  </si>
  <si>
    <t xml:space="preserve">ACT-00752</t>
  </si>
  <si>
    <t xml:space="preserve">ACT-00753</t>
  </si>
  <si>
    <t xml:space="preserve">ACT-00754</t>
  </si>
  <si>
    <t xml:space="preserve">ACT-00755</t>
  </si>
  <si>
    <t xml:space="preserve">ACT-00756</t>
  </si>
  <si>
    <t xml:space="preserve">ACT-00757</t>
  </si>
  <si>
    <t xml:space="preserve">ACT-00758</t>
  </si>
  <si>
    <t xml:space="preserve">ACT-00759</t>
  </si>
  <si>
    <t xml:space="preserve">ACT-00760</t>
  </si>
  <si>
    <t xml:space="preserve">ACT-00761</t>
  </si>
  <si>
    <t xml:space="preserve">ACT-00762</t>
  </si>
  <si>
    <t xml:space="preserve">ACT-00763</t>
  </si>
  <si>
    <t xml:space="preserve">ACT-00764</t>
  </si>
  <si>
    <t xml:space="preserve">ACT-00765</t>
  </si>
  <si>
    <t xml:space="preserve">ACT-00766</t>
  </si>
  <si>
    <t xml:space="preserve">ACT-00767</t>
  </si>
  <si>
    <t xml:space="preserve">ACT-00768</t>
  </si>
  <si>
    <t xml:space="preserve">ACT-00769</t>
  </si>
  <si>
    <t xml:space="preserve">ACT-00770</t>
  </si>
  <si>
    <t xml:space="preserve">ACT-00771</t>
  </si>
  <si>
    <t xml:space="preserve">ACT-00772</t>
  </si>
  <si>
    <t xml:space="preserve">ACT-00773</t>
  </si>
  <si>
    <t xml:space="preserve">ACT-00774</t>
  </si>
  <si>
    <t xml:space="preserve">ACT-00775</t>
  </si>
  <si>
    <t xml:space="preserve">ACT-00776</t>
  </si>
  <si>
    <t xml:space="preserve">ACT-00777</t>
  </si>
  <si>
    <t xml:space="preserve">ACT-00778</t>
  </si>
  <si>
    <t xml:space="preserve">ACT-00779</t>
  </si>
  <si>
    <t xml:space="preserve">ACT-00780</t>
  </si>
  <si>
    <t xml:space="preserve">ACT-00781</t>
  </si>
  <si>
    <t xml:space="preserve">ACT-00782</t>
  </si>
  <si>
    <t xml:space="preserve">ACT-00783</t>
  </si>
  <si>
    <t xml:space="preserve">ACT-00784</t>
  </si>
  <si>
    <t xml:space="preserve">ACT-00785</t>
  </si>
  <si>
    <t xml:space="preserve">ACT-00786</t>
  </si>
  <si>
    <t xml:space="preserve">ACT-00787</t>
  </si>
  <si>
    <t xml:space="preserve">ACT-00788</t>
  </si>
  <si>
    <t xml:space="preserve">ACT-00789</t>
  </si>
  <si>
    <t xml:space="preserve">ACT-00790</t>
  </si>
  <si>
    <t xml:space="preserve">ACT-00791</t>
  </si>
  <si>
    <t xml:space="preserve">ACT-00792</t>
  </si>
  <si>
    <t xml:space="preserve">ACT-00793</t>
  </si>
  <si>
    <t xml:space="preserve">ACT-00794</t>
  </si>
  <si>
    <t xml:space="preserve">ACT-00795</t>
  </si>
  <si>
    <t xml:space="preserve">ACT-00796</t>
  </si>
  <si>
    <t xml:space="preserve">ACT-00797</t>
  </si>
  <si>
    <t xml:space="preserve">ACT-00798</t>
  </si>
  <si>
    <t xml:space="preserve">ACT-00799</t>
  </si>
  <si>
    <t xml:space="preserve">ACT-00800</t>
  </si>
  <si>
    <t xml:space="preserve">ACT-00801</t>
  </si>
  <si>
    <t xml:space="preserve">ACT-00802</t>
  </si>
  <si>
    <t xml:space="preserve">ACT-00803</t>
  </si>
  <si>
    <t xml:space="preserve">ACT-00804</t>
  </si>
  <si>
    <t xml:space="preserve">ACT-00805</t>
  </si>
  <si>
    <t xml:space="preserve">ACT-00806</t>
  </si>
  <si>
    <t xml:space="preserve">ACT-00807</t>
  </si>
  <si>
    <t xml:space="preserve">ACT-00808</t>
  </si>
  <si>
    <t xml:space="preserve">ACT-00809</t>
  </si>
  <si>
    <t xml:space="preserve">ACT-00810</t>
  </si>
  <si>
    <t xml:space="preserve">ACT-00811</t>
  </si>
  <si>
    <t xml:space="preserve">ACT-00812</t>
  </si>
  <si>
    <t xml:space="preserve">ACT-00813</t>
  </si>
  <si>
    <t xml:space="preserve">ACT-00814</t>
  </si>
  <si>
    <t xml:space="preserve">ACT-00815</t>
  </si>
  <si>
    <t xml:space="preserve">ACT-00816</t>
  </si>
  <si>
    <t xml:space="preserve">ACT-00817</t>
  </si>
  <si>
    <t xml:space="preserve">ACT-00818</t>
  </si>
  <si>
    <t xml:space="preserve">ACT-00819</t>
  </si>
  <si>
    <t xml:space="preserve">ACT-00820</t>
  </si>
  <si>
    <t xml:space="preserve">ACT-00821</t>
  </si>
  <si>
    <t xml:space="preserve">ACT-00822</t>
  </si>
  <si>
    <t xml:space="preserve">ACT-00823</t>
  </si>
  <si>
    <t xml:space="preserve">ACT-00824</t>
  </si>
  <si>
    <t xml:space="preserve">ACT-00825</t>
  </si>
  <si>
    <t xml:space="preserve">ACT-00826</t>
  </si>
  <si>
    <t xml:space="preserve">ACT-00827</t>
  </si>
  <si>
    <t xml:space="preserve">ACT-00828</t>
  </si>
  <si>
    <t xml:space="preserve">ACT-00829</t>
  </si>
  <si>
    <t xml:space="preserve">ACT-00830</t>
  </si>
  <si>
    <t xml:space="preserve">ACT-00831</t>
  </si>
  <si>
    <t xml:space="preserve">ACT-00832</t>
  </si>
  <si>
    <t xml:space="preserve">ACT-00833</t>
  </si>
  <si>
    <t xml:space="preserve">ACT-00834</t>
  </si>
  <si>
    <t xml:space="preserve">ACT-00835</t>
  </si>
  <si>
    <t xml:space="preserve">ACT-00836</t>
  </si>
  <si>
    <t xml:space="preserve">ACT-00837</t>
  </si>
  <si>
    <t xml:space="preserve">ACT-00838</t>
  </si>
  <si>
    <t xml:space="preserve">ACT-00839</t>
  </si>
  <si>
    <t xml:space="preserve">ACT-00840</t>
  </si>
  <si>
    <t xml:space="preserve">ACT-00841</t>
  </si>
  <si>
    <t xml:space="preserve">ACT-00842</t>
  </si>
  <si>
    <t xml:space="preserve">ACT-00843</t>
  </si>
  <si>
    <t xml:space="preserve">ACT-00844</t>
  </si>
  <si>
    <t xml:space="preserve">ACT-00845</t>
  </si>
  <si>
    <t xml:space="preserve">ACT-00846</t>
  </si>
  <si>
    <t xml:space="preserve">ACT-00847</t>
  </si>
  <si>
    <t xml:space="preserve">ACT-00848</t>
  </si>
  <si>
    <t xml:space="preserve">ACT-00849</t>
  </si>
  <si>
    <t xml:space="preserve">ACT-00850</t>
  </si>
  <si>
    <t xml:space="preserve">ACT-00851</t>
  </si>
  <si>
    <t xml:space="preserve">ACT-00852</t>
  </si>
  <si>
    <t xml:space="preserve">ACT-00853</t>
  </si>
  <si>
    <t xml:space="preserve">ACT-00854</t>
  </si>
  <si>
    <t xml:space="preserve">ACT-00855</t>
  </si>
  <si>
    <t xml:space="preserve">ACT-00856</t>
  </si>
  <si>
    <t xml:space="preserve">ACT-00857</t>
  </si>
  <si>
    <t xml:space="preserve">ACT-00858</t>
  </si>
  <si>
    <t xml:space="preserve">ACT-00859</t>
  </si>
  <si>
    <t xml:space="preserve">ACT-00860</t>
  </si>
  <si>
    <t xml:space="preserve">ACT-00861</t>
  </si>
  <si>
    <t xml:space="preserve">ACT-00862</t>
  </si>
  <si>
    <t xml:space="preserve">ACT-00863</t>
  </si>
  <si>
    <t xml:space="preserve">ACT-00864</t>
  </si>
  <si>
    <t xml:space="preserve">ACT-00865</t>
  </si>
  <si>
    <t xml:space="preserve">ACT-00866</t>
  </si>
  <si>
    <t xml:space="preserve">ACT-00867</t>
  </si>
  <si>
    <t xml:space="preserve">ACT-00868</t>
  </si>
  <si>
    <t xml:space="preserve">ACT-00869</t>
  </si>
  <si>
    <t xml:space="preserve">ACT-00870</t>
  </si>
  <si>
    <t xml:space="preserve">ACT-00871</t>
  </si>
  <si>
    <t xml:space="preserve">ACT-00872</t>
  </si>
  <si>
    <t xml:space="preserve">ACT-00873</t>
  </si>
  <si>
    <t xml:space="preserve">ACT-00874</t>
  </si>
  <si>
    <t xml:space="preserve">ACT-00875</t>
  </si>
  <si>
    <t xml:space="preserve">ACT-00876</t>
  </si>
  <si>
    <t xml:space="preserve">ACT-00877</t>
  </si>
  <si>
    <t xml:space="preserve">ACT-00878</t>
  </si>
  <si>
    <t xml:space="preserve">ACT-00879</t>
  </si>
  <si>
    <t xml:space="preserve">ACT-00880</t>
  </si>
  <si>
    <t xml:space="preserve">ACT-00881</t>
  </si>
  <si>
    <t xml:space="preserve">ACT-00882</t>
  </si>
  <si>
    <t xml:space="preserve">ACT-00883</t>
  </si>
  <si>
    <t xml:space="preserve">ACT-00884</t>
  </si>
  <si>
    <t xml:space="preserve">ACT-00885</t>
  </si>
  <si>
    <t xml:space="preserve">ACT-00886</t>
  </si>
  <si>
    <t xml:space="preserve">ACT-00887</t>
  </si>
  <si>
    <t xml:space="preserve">ACT-00888</t>
  </si>
  <si>
    <t xml:space="preserve">ACT-00889</t>
  </si>
  <si>
    <t xml:space="preserve">ACT-00890</t>
  </si>
  <si>
    <t xml:space="preserve">Atlassian Cloud</t>
  </si>
  <si>
    <t xml:space="preserve">ACT-00891</t>
  </si>
  <si>
    <t xml:space="preserve">ACT-00892</t>
  </si>
  <si>
    <t xml:space="preserve">ACT-00893</t>
  </si>
  <si>
    <t xml:space="preserve">ACT-00894</t>
  </si>
  <si>
    <t xml:space="preserve">ACT-00895</t>
  </si>
  <si>
    <t xml:space="preserve">ACT-00896</t>
  </si>
  <si>
    <t xml:space="preserve">ACT-00897</t>
  </si>
  <si>
    <t xml:space="preserve">ACT-00898</t>
  </si>
  <si>
    <t xml:space="preserve">ACT-00899</t>
  </si>
  <si>
    <t xml:space="preserve">ACT-00900</t>
  </si>
  <si>
    <t xml:space="preserve">ACT-00901</t>
  </si>
  <si>
    <t xml:space="preserve">ACT-00902</t>
  </si>
  <si>
    <t xml:space="preserve">ACT-00903</t>
  </si>
  <si>
    <t xml:space="preserve">ACT-00904</t>
  </si>
  <si>
    <t xml:space="preserve">ACT-00905</t>
  </si>
  <si>
    <t xml:space="preserve">ACT-00906</t>
  </si>
  <si>
    <t xml:space="preserve">ACT-00907</t>
  </si>
  <si>
    <t xml:space="preserve">ACT-00908</t>
  </si>
  <si>
    <t xml:space="preserve">ACT-00909</t>
  </si>
  <si>
    <t xml:space="preserve">ACT-00910</t>
  </si>
  <si>
    <t xml:space="preserve">ACT-00911</t>
  </si>
  <si>
    <t xml:space="preserve">ACT-00912</t>
  </si>
  <si>
    <t xml:space="preserve">ACT-00913</t>
  </si>
  <si>
    <t xml:space="preserve">ACT-00914</t>
  </si>
  <si>
    <t xml:space="preserve">ACT-00915</t>
  </si>
  <si>
    <t xml:space="preserve">ACT-00916</t>
  </si>
  <si>
    <t xml:space="preserve">ACT-00917</t>
  </si>
  <si>
    <t xml:space="preserve">ACT-00918</t>
  </si>
  <si>
    <t xml:space="preserve">ACT-00919</t>
  </si>
  <si>
    <t xml:space="preserve">ACT-00920</t>
  </si>
  <si>
    <t xml:space="preserve">ACT-00921</t>
  </si>
  <si>
    <t xml:space="preserve">ACT-00922</t>
  </si>
  <si>
    <t xml:space="preserve">ACT-00923</t>
  </si>
  <si>
    <t xml:space="preserve">ACT-00924</t>
  </si>
  <si>
    <t xml:space="preserve">ACT-00925</t>
  </si>
  <si>
    <t xml:space="preserve">ACT-00926</t>
  </si>
  <si>
    <t xml:space="preserve">ACT-00927</t>
  </si>
  <si>
    <t xml:space="preserve">ACT-00928</t>
  </si>
  <si>
    <t xml:space="preserve">ACT-00929</t>
  </si>
  <si>
    <t xml:space="preserve">ACT-00930</t>
  </si>
  <si>
    <t xml:space="preserve">ACT-00931</t>
  </si>
  <si>
    <t xml:space="preserve">ACT-00932</t>
  </si>
  <si>
    <t xml:space="preserve">ACT-00933</t>
  </si>
  <si>
    <t xml:space="preserve">ACT-00934</t>
  </si>
  <si>
    <t xml:space="preserve">ACT-00935</t>
  </si>
  <si>
    <t xml:space="preserve">ACT-00936</t>
  </si>
  <si>
    <t xml:space="preserve">ACT-00937</t>
  </si>
  <si>
    <t xml:space="preserve">ACT-00938</t>
  </si>
  <si>
    <t xml:space="preserve">ACT-00939</t>
  </si>
  <si>
    <t xml:space="preserve">ACT-00940</t>
  </si>
  <si>
    <t xml:space="preserve">ACT-00941</t>
  </si>
  <si>
    <t xml:space="preserve">ACT-00942</t>
  </si>
  <si>
    <t xml:space="preserve">ACT-00943</t>
  </si>
  <si>
    <t xml:space="preserve">ACT-00944</t>
  </si>
  <si>
    <t xml:space="preserve">ACT-00945</t>
  </si>
  <si>
    <t xml:space="preserve">ACT-00946</t>
  </si>
  <si>
    <t xml:space="preserve">ACT-00947</t>
  </si>
  <si>
    <t xml:space="preserve">ACT-00948</t>
  </si>
  <si>
    <t xml:space="preserve">ACT-00949</t>
  </si>
  <si>
    <t xml:space="preserve">ACT-00950</t>
  </si>
  <si>
    <t xml:space="preserve">ACT-00951</t>
  </si>
  <si>
    <t xml:space="preserve">ACT-00952</t>
  </si>
  <si>
    <t xml:space="preserve">ACT-00953</t>
  </si>
  <si>
    <t xml:space="preserve">ACT-00954</t>
  </si>
  <si>
    <t xml:space="preserve">ACT-00955</t>
  </si>
  <si>
    <t xml:space="preserve">ACT-00956</t>
  </si>
  <si>
    <t xml:space="preserve">ACT-00957</t>
  </si>
  <si>
    <t xml:space="preserve">ACT-00958</t>
  </si>
  <si>
    <t xml:space="preserve">ACT-00959</t>
  </si>
  <si>
    <t xml:space="preserve">ACT-00960</t>
  </si>
  <si>
    <t xml:space="preserve">ACT-00961</t>
  </si>
  <si>
    <t xml:space="preserve">ACT-00962</t>
  </si>
  <si>
    <t xml:space="preserve">ACT-00963</t>
  </si>
  <si>
    <t xml:space="preserve">ACT-00964</t>
  </si>
  <si>
    <t xml:space="preserve">ACT-00965</t>
  </si>
  <si>
    <t xml:space="preserve">ACT-00966</t>
  </si>
  <si>
    <t xml:space="preserve">ACT-00967</t>
  </si>
  <si>
    <t xml:space="preserve">ACT-00968</t>
  </si>
  <si>
    <t xml:space="preserve">ACT-00969</t>
  </si>
  <si>
    <t xml:space="preserve">ACT-00970</t>
  </si>
  <si>
    <t xml:space="preserve">ACT-00971</t>
  </si>
  <si>
    <t xml:space="preserve">ACT-00972</t>
  </si>
  <si>
    <t xml:space="preserve">ACT-00973</t>
  </si>
  <si>
    <t xml:space="preserve">ACT-00974</t>
  </si>
  <si>
    <t xml:space="preserve">ACT-00975</t>
  </si>
  <si>
    <t xml:space="preserve">ACT-00976</t>
  </si>
  <si>
    <t xml:space="preserve">ACT-00977</t>
  </si>
  <si>
    <t xml:space="preserve">ACT-00978</t>
  </si>
  <si>
    <t xml:space="preserve">ACT-00979</t>
  </si>
  <si>
    <t xml:space="preserve">ACT-00980</t>
  </si>
  <si>
    <t xml:space="preserve">ACT-00981</t>
  </si>
  <si>
    <t xml:space="preserve">ACT-00982</t>
  </si>
  <si>
    <t xml:space="preserve">ACT-00983</t>
  </si>
  <si>
    <t xml:space="preserve">ACT-00984</t>
  </si>
  <si>
    <t xml:space="preserve">ACT-00985</t>
  </si>
  <si>
    <t xml:space="preserve">ACT-00986</t>
  </si>
  <si>
    <t xml:space="preserve">ACT-00987</t>
  </si>
  <si>
    <t xml:space="preserve">ACT-00988</t>
  </si>
  <si>
    <t xml:space="preserve">ACT-00989</t>
  </si>
  <si>
    <t xml:space="preserve">ACT-00990</t>
  </si>
  <si>
    <t xml:space="preserve">ACT-00991</t>
  </si>
  <si>
    <t xml:space="preserve">ACT-00992</t>
  </si>
  <si>
    <t xml:space="preserve">ACT-00993</t>
  </si>
  <si>
    <t xml:space="preserve">ACT-00994</t>
  </si>
  <si>
    <t xml:space="preserve">ACT-00995</t>
  </si>
  <si>
    <t xml:space="preserve">ACT-00996</t>
  </si>
  <si>
    <t xml:space="preserve">ACT-00997</t>
  </si>
  <si>
    <t xml:space="preserve">ACT-00998</t>
  </si>
  <si>
    <t xml:space="preserve">ACT-00999</t>
  </si>
  <si>
    <t xml:space="preserve">ACT-01000</t>
  </si>
  <si>
    <t xml:space="preserve">ACT-01001</t>
  </si>
  <si>
    <t xml:space="preserve">ACT-01002</t>
  </si>
  <si>
    <t xml:space="preserve">ACT-01003</t>
  </si>
  <si>
    <t xml:space="preserve">ACT-01004</t>
  </si>
  <si>
    <t xml:space="preserve">ACT-01005</t>
  </si>
  <si>
    <t xml:space="preserve">ACT-01006</t>
  </si>
  <si>
    <t xml:space="preserve">ACT-01007</t>
  </si>
  <si>
    <t xml:space="preserve">ACT-01008</t>
  </si>
  <si>
    <t xml:space="preserve">ACT-01009</t>
  </si>
  <si>
    <t xml:space="preserve">ACT-01010</t>
  </si>
  <si>
    <t xml:space="preserve">ACT-01011</t>
  </si>
  <si>
    <t xml:space="preserve">ACT-01012</t>
  </si>
  <si>
    <t xml:space="preserve">ACT-01013</t>
  </si>
  <si>
    <t xml:space="preserve">ACT-01014</t>
  </si>
  <si>
    <t xml:space="preserve">ACT-01015</t>
  </si>
  <si>
    <t xml:space="preserve">ACT-01016</t>
  </si>
  <si>
    <t xml:space="preserve">ACT-01017</t>
  </si>
  <si>
    <t xml:space="preserve">ACT-01018</t>
  </si>
  <si>
    <t xml:space="preserve">ACT-01019</t>
  </si>
  <si>
    <t xml:space="preserve">ACT-01020</t>
  </si>
  <si>
    <t xml:space="preserve">ACT-01021</t>
  </si>
  <si>
    <t xml:space="preserve">ACT-01022</t>
  </si>
  <si>
    <t xml:space="preserve">ACT-01023</t>
  </si>
  <si>
    <t xml:space="preserve">ACT-01024</t>
  </si>
  <si>
    <t xml:space="preserve">ACT-01025</t>
  </si>
  <si>
    <t xml:space="preserve">ACT-01026</t>
  </si>
  <si>
    <t xml:space="preserve">ACT-01027</t>
  </si>
  <si>
    <t xml:space="preserve">ACT-01028</t>
  </si>
  <si>
    <t xml:space="preserve">ACT-01029</t>
  </si>
  <si>
    <t xml:space="preserve">ACT-01030</t>
  </si>
  <si>
    <t xml:space="preserve">ACT-01031</t>
  </si>
  <si>
    <t xml:space="preserve">ACT-01032</t>
  </si>
  <si>
    <t xml:space="preserve">ACT-01033</t>
  </si>
  <si>
    <t xml:space="preserve">ACT-01034</t>
  </si>
  <si>
    <t xml:space="preserve">ACT-01035</t>
  </si>
  <si>
    <t xml:space="preserve">ACT-01036</t>
  </si>
  <si>
    <t xml:space="preserve">ACT-01037</t>
  </si>
  <si>
    <t xml:space="preserve">ACT-01038</t>
  </si>
  <si>
    <t xml:space="preserve">ACT-01039</t>
  </si>
  <si>
    <t xml:space="preserve">ACT-01040</t>
  </si>
  <si>
    <t xml:space="preserve">ACT-01041</t>
  </si>
  <si>
    <t xml:space="preserve">ACT-01042</t>
  </si>
  <si>
    <t xml:space="preserve">ACT-01043</t>
  </si>
  <si>
    <t xml:space="preserve">ACT-01044</t>
  </si>
  <si>
    <t xml:space="preserve">ACT-01045</t>
  </si>
  <si>
    <t xml:space="preserve">ACT-01046</t>
  </si>
  <si>
    <t xml:space="preserve">ACT-01047</t>
  </si>
  <si>
    <t xml:space="preserve">ACT-01048</t>
  </si>
  <si>
    <t xml:space="preserve">ACT-01049</t>
  </si>
  <si>
    <t xml:space="preserve">ACT-01050</t>
  </si>
  <si>
    <t xml:space="preserve">ACT-01051</t>
  </si>
  <si>
    <t xml:space="preserve">ACT-01052</t>
  </si>
  <si>
    <t xml:space="preserve">ACT-01053</t>
  </si>
  <si>
    <t xml:space="preserve">ACT-01054</t>
  </si>
  <si>
    <t xml:space="preserve">ACT-01055</t>
  </si>
  <si>
    <t xml:space="preserve">ACT-01056</t>
  </si>
  <si>
    <t xml:space="preserve">ACT-01057</t>
  </si>
  <si>
    <t xml:space="preserve">ACT-01058</t>
  </si>
  <si>
    <t xml:space="preserve">ACT-01059</t>
  </si>
  <si>
    <t xml:space="preserve">ACT-01060</t>
  </si>
  <si>
    <t xml:space="preserve">ACT-01061</t>
  </si>
  <si>
    <t xml:space="preserve">ACT-01062</t>
  </si>
  <si>
    <t xml:space="preserve">ACT-01063</t>
  </si>
  <si>
    <t xml:space="preserve">ACT-01064</t>
  </si>
  <si>
    <t xml:space="preserve">ACT-01065</t>
  </si>
  <si>
    <t xml:space="preserve">ACT-01066</t>
  </si>
  <si>
    <t xml:space="preserve">ACT-01067</t>
  </si>
  <si>
    <t xml:space="preserve">ACT-01068</t>
  </si>
  <si>
    <t xml:space="preserve">ACT-01069</t>
  </si>
  <si>
    <t xml:space="preserve">ACT-01070</t>
  </si>
  <si>
    <t xml:space="preserve">ACT-01071</t>
  </si>
  <si>
    <t xml:space="preserve">ACT-01072</t>
  </si>
  <si>
    <t xml:space="preserve">ACT-01073</t>
  </si>
  <si>
    <t xml:space="preserve">ACT-01074</t>
  </si>
  <si>
    <t xml:space="preserve">ACT-01075</t>
  </si>
  <si>
    <t xml:space="preserve">ACT-01076</t>
  </si>
  <si>
    <t xml:space="preserve">ACT-01077</t>
  </si>
  <si>
    <t xml:space="preserve">ACT-01078</t>
  </si>
  <si>
    <t xml:space="preserve">ACT-01079</t>
  </si>
  <si>
    <t xml:space="preserve">ACT-01080</t>
  </si>
  <si>
    <t xml:space="preserve">ACT-01081</t>
  </si>
  <si>
    <t xml:space="preserve">ACT-01082</t>
  </si>
  <si>
    <t xml:space="preserve">ACT-01083</t>
  </si>
  <si>
    <t xml:space="preserve">ACT-01084</t>
  </si>
  <si>
    <t xml:space="preserve">ACT-01085</t>
  </si>
  <si>
    <t xml:space="preserve">ACT-01086</t>
  </si>
  <si>
    <t xml:space="preserve">ACT-01087</t>
  </si>
  <si>
    <t xml:space="preserve">ACT-01088</t>
  </si>
  <si>
    <t xml:space="preserve">ACT-01089</t>
  </si>
  <si>
    <t xml:space="preserve">ACT-01090</t>
  </si>
  <si>
    <t xml:space="preserve">ACT-01091</t>
  </si>
  <si>
    <t xml:space="preserve">ACT-01092</t>
  </si>
  <si>
    <t xml:space="preserve">ACT-01093</t>
  </si>
  <si>
    <t xml:space="preserve">ACT-01094</t>
  </si>
  <si>
    <t xml:space="preserve">ACT-01095</t>
  </si>
  <si>
    <t xml:space="preserve">ACT-01096</t>
  </si>
  <si>
    <t xml:space="preserve">ACT-01097</t>
  </si>
  <si>
    <t xml:space="preserve">ACT-01098</t>
  </si>
  <si>
    <t xml:space="preserve">ACT-01099</t>
  </si>
  <si>
    <t xml:space="preserve">ACT-01100</t>
  </si>
  <si>
    <t xml:space="preserve">ACT-01101</t>
  </si>
  <si>
    <t xml:space="preserve">ACT-01102</t>
  </si>
  <si>
    <t xml:space="preserve">ACT-01103</t>
  </si>
  <si>
    <t xml:space="preserve">ACT-01104</t>
  </si>
  <si>
    <t xml:space="preserve">ACT-01105</t>
  </si>
  <si>
    <t xml:space="preserve">ACT-01106</t>
  </si>
  <si>
    <t xml:space="preserve">ACT-01107</t>
  </si>
  <si>
    <t xml:space="preserve">ACT-01108</t>
  </si>
  <si>
    <t xml:space="preserve">ACT-01109</t>
  </si>
  <si>
    <t xml:space="preserve">ACT-01110</t>
  </si>
  <si>
    <t xml:space="preserve">ACT-01111</t>
  </si>
  <si>
    <t xml:space="preserve">ACT-01112</t>
  </si>
  <si>
    <t xml:space="preserve">ACT-01113</t>
  </si>
  <si>
    <t xml:space="preserve">ACT-01114</t>
  </si>
  <si>
    <t xml:space="preserve">ACT-01115</t>
  </si>
  <si>
    <t xml:space="preserve">ACT-01116</t>
  </si>
  <si>
    <t xml:space="preserve">ACT-01117</t>
  </si>
  <si>
    <t xml:space="preserve">ACT-01118</t>
  </si>
  <si>
    <t xml:space="preserve">ACT-01119</t>
  </si>
  <si>
    <t xml:space="preserve">ACT-01120</t>
  </si>
  <si>
    <t xml:space="preserve">ACT-01121</t>
  </si>
  <si>
    <t xml:space="preserve">ACT-01122</t>
  </si>
  <si>
    <t xml:space="preserve">ACT-01123</t>
  </si>
  <si>
    <t xml:space="preserve">ACT-01124</t>
  </si>
  <si>
    <t xml:space="preserve">ACT-01125</t>
  </si>
  <si>
    <t xml:space="preserve">ACT-01126</t>
  </si>
  <si>
    <t xml:space="preserve">ACT-01127</t>
  </si>
  <si>
    <t xml:space="preserve">ACT-01128</t>
  </si>
  <si>
    <t xml:space="preserve">ACT-01129</t>
  </si>
  <si>
    <t xml:space="preserve">ACT-01130</t>
  </si>
  <si>
    <t xml:space="preserve">ACT-01131</t>
  </si>
  <si>
    <t xml:space="preserve">ACT-01132</t>
  </si>
  <si>
    <t xml:space="preserve">ACT-01133</t>
  </si>
  <si>
    <t xml:space="preserve">ACT-01134</t>
  </si>
  <si>
    <t xml:space="preserve">ACT-01135</t>
  </si>
  <si>
    <t xml:space="preserve">ACT-01136</t>
  </si>
  <si>
    <t xml:space="preserve">ACT-01137</t>
  </si>
  <si>
    <t xml:space="preserve">ACT-01138</t>
  </si>
  <si>
    <t xml:space="preserve">ACT-01139</t>
  </si>
  <si>
    <t xml:space="preserve">ACT-01140</t>
  </si>
  <si>
    <t xml:space="preserve">ACT-01141</t>
  </si>
  <si>
    <t xml:space="preserve">ACT-01142</t>
  </si>
  <si>
    <t xml:space="preserve">ACT-01143</t>
  </si>
  <si>
    <t xml:space="preserve">ACT-01144</t>
  </si>
  <si>
    <t xml:space="preserve">ACT-01145</t>
  </si>
  <si>
    <t xml:space="preserve">ACT-01146</t>
  </si>
  <si>
    <t xml:space="preserve">ACT-01147</t>
  </si>
  <si>
    <t xml:space="preserve">ACT-01148</t>
  </si>
  <si>
    <t xml:space="preserve">ACT-01149</t>
  </si>
  <si>
    <t xml:space="preserve">ACT-01150</t>
  </si>
  <si>
    <t xml:space="preserve">ACT-01151</t>
  </si>
  <si>
    <t xml:space="preserve">ACT-01152</t>
  </si>
  <si>
    <t xml:space="preserve">ACT-01153</t>
  </si>
  <si>
    <t xml:space="preserve">ACT-01154</t>
  </si>
  <si>
    <t xml:space="preserve">ACT-01155</t>
  </si>
  <si>
    <t xml:space="preserve">ACT-01156</t>
  </si>
  <si>
    <t xml:space="preserve">ACT-01157</t>
  </si>
  <si>
    <t xml:space="preserve">ACT-01158</t>
  </si>
  <si>
    <t xml:space="preserve">ACT-01159</t>
  </si>
  <si>
    <t xml:space="preserve">ACT-01160</t>
  </si>
  <si>
    <t xml:space="preserve">ACT-01161</t>
  </si>
  <si>
    <t xml:space="preserve">ACT-01162</t>
  </si>
  <si>
    <t xml:space="preserve">ACT-01163</t>
  </si>
  <si>
    <t xml:space="preserve">ACT-01164</t>
  </si>
  <si>
    <t xml:space="preserve">ACT-01165</t>
  </si>
  <si>
    <t xml:space="preserve">ACT-01166</t>
  </si>
  <si>
    <t xml:space="preserve">ACT-01167</t>
  </si>
  <si>
    <t xml:space="preserve">ACT-01168</t>
  </si>
  <si>
    <t xml:space="preserve">ACT-01169</t>
  </si>
  <si>
    <t xml:space="preserve">ACT-01170</t>
  </si>
  <si>
    <t xml:space="preserve">ACT-01171</t>
  </si>
  <si>
    <t xml:space="preserve">ACT-01172</t>
  </si>
  <si>
    <t xml:space="preserve">ACT-01173</t>
  </si>
  <si>
    <t xml:space="preserve">ACT-01174</t>
  </si>
  <si>
    <t xml:space="preserve">ACT-01175</t>
  </si>
  <si>
    <t xml:space="preserve">ACT-01176</t>
  </si>
  <si>
    <t xml:space="preserve">ACT-01177</t>
  </si>
  <si>
    <t xml:space="preserve">ACT-01178</t>
  </si>
  <si>
    <t xml:space="preserve">ACT-01179</t>
  </si>
  <si>
    <t xml:space="preserve">ACT-01180</t>
  </si>
  <si>
    <t xml:space="preserve">ACT-01181</t>
  </si>
  <si>
    <t xml:space="preserve">ACT-01182</t>
  </si>
  <si>
    <t xml:space="preserve">ACT-01183</t>
  </si>
  <si>
    <t xml:space="preserve">ACT-01184</t>
  </si>
  <si>
    <t xml:space="preserve">ACT-01185</t>
  </si>
  <si>
    <t xml:space="preserve">ACT-01186</t>
  </si>
  <si>
    <t xml:space="preserve">ACT-01187</t>
  </si>
  <si>
    <t xml:space="preserve">ACT-01188</t>
  </si>
  <si>
    <t xml:space="preserve">ACT-01189</t>
  </si>
  <si>
    <t xml:space="preserve">ACT-01190</t>
  </si>
  <si>
    <t xml:space="preserve">ACT-01191</t>
  </si>
  <si>
    <t xml:space="preserve">ACT-01192</t>
  </si>
  <si>
    <t xml:space="preserve">ACT-01193</t>
  </si>
  <si>
    <t xml:space="preserve">ACT-01194</t>
  </si>
  <si>
    <t xml:space="preserve">ACT-01195</t>
  </si>
  <si>
    <t xml:space="preserve">ACT-01196</t>
  </si>
  <si>
    <t xml:space="preserve">ACT-01197</t>
  </si>
  <si>
    <t xml:space="preserve">ACT-01198</t>
  </si>
  <si>
    <t xml:space="preserve">ACT-01199</t>
  </si>
  <si>
    <t xml:space="preserve">ACT-01200</t>
  </si>
  <si>
    <t xml:space="preserve">ACT-01201</t>
  </si>
  <si>
    <t xml:space="preserve">ACT-01202</t>
  </si>
  <si>
    <t xml:space="preserve">ACT-01203</t>
  </si>
  <si>
    <t xml:space="preserve">ACT-01204</t>
  </si>
  <si>
    <t xml:space="preserve">ACT-01205</t>
  </si>
  <si>
    <t xml:space="preserve">ACT-01206</t>
  </si>
  <si>
    <t xml:space="preserve">ACT-01207</t>
  </si>
  <si>
    <t xml:space="preserve">ACT-01208</t>
  </si>
  <si>
    <t xml:space="preserve">ACT-01209</t>
  </si>
  <si>
    <t xml:space="preserve">ACT-01210</t>
  </si>
  <si>
    <t xml:space="preserve">ACT-01211</t>
  </si>
  <si>
    <t xml:space="preserve">ACT-01212</t>
  </si>
  <si>
    <t xml:space="preserve">ACT-01213</t>
  </si>
  <si>
    <t xml:space="preserve">ACT-01214</t>
  </si>
  <si>
    <t xml:space="preserve">ACT-01215</t>
  </si>
  <si>
    <t xml:space="preserve">ACT-01216</t>
  </si>
  <si>
    <t xml:space="preserve">ACT-01217</t>
  </si>
  <si>
    <t xml:space="preserve">ACT-01218</t>
  </si>
  <si>
    <t xml:space="preserve">ACT-01219</t>
  </si>
  <si>
    <t xml:space="preserve">ACT-01220</t>
  </si>
  <si>
    <t xml:space="preserve">ACT-01221</t>
  </si>
  <si>
    <t xml:space="preserve">ACT-01222</t>
  </si>
  <si>
    <t xml:space="preserve">ACT-01223</t>
  </si>
  <si>
    <t xml:space="preserve">ACT-01224</t>
  </si>
  <si>
    <t xml:space="preserve">ACT-01225</t>
  </si>
  <si>
    <t xml:space="preserve">ACT-01226</t>
  </si>
  <si>
    <t xml:space="preserve">ACT-01227</t>
  </si>
  <si>
    <t xml:space="preserve">ACT-01228</t>
  </si>
  <si>
    <t xml:space="preserve">ACT-01229</t>
  </si>
  <si>
    <t xml:space="preserve">ACT-01230</t>
  </si>
  <si>
    <t xml:space="preserve">ACT-01231</t>
  </si>
  <si>
    <t xml:space="preserve">ACT-01232</t>
  </si>
  <si>
    <t xml:space="preserve">ACT-01233</t>
  </si>
  <si>
    <t xml:space="preserve">ACT-01234</t>
  </si>
  <si>
    <t xml:space="preserve">ACT-01235</t>
  </si>
  <si>
    <t xml:space="preserve">ACT-01236</t>
  </si>
  <si>
    <t xml:space="preserve">ACT-01237</t>
  </si>
  <si>
    <t xml:space="preserve">ACT-01238</t>
  </si>
  <si>
    <t xml:space="preserve">ACT-01239</t>
  </si>
  <si>
    <t xml:space="preserve">ACT-01240</t>
  </si>
  <si>
    <t xml:space="preserve">ACT-01241</t>
  </si>
  <si>
    <t xml:space="preserve">ACT-01242</t>
  </si>
  <si>
    <t xml:space="preserve">ACT-01243</t>
  </si>
  <si>
    <t xml:space="preserve">ACT-01244</t>
  </si>
  <si>
    <t xml:space="preserve">ACT-01245</t>
  </si>
  <si>
    <t xml:space="preserve">ACT-01246</t>
  </si>
  <si>
    <t xml:space="preserve">ACT-01247</t>
  </si>
  <si>
    <t xml:space="preserve">ACT-01248</t>
  </si>
  <si>
    <t xml:space="preserve">ACT-01249</t>
  </si>
  <si>
    <t xml:space="preserve">ACT-01250</t>
  </si>
  <si>
    <t xml:space="preserve">ACT-01251</t>
  </si>
  <si>
    <t xml:space="preserve">ACT-01252</t>
  </si>
  <si>
    <t xml:space="preserve">ACT-01253</t>
  </si>
  <si>
    <t xml:space="preserve">ACT-01254</t>
  </si>
  <si>
    <t xml:space="preserve">ACT-01255</t>
  </si>
  <si>
    <t xml:space="preserve">ACT-01256</t>
  </si>
  <si>
    <t xml:space="preserve">ACT-01257</t>
  </si>
  <si>
    <t xml:space="preserve">ACT-01258</t>
  </si>
  <si>
    <t xml:space="preserve">ACT-01259</t>
  </si>
  <si>
    <t xml:space="preserve">ACT-01260</t>
  </si>
  <si>
    <t xml:space="preserve">ACT-01261</t>
  </si>
  <si>
    <t xml:space="preserve">ACT-01262</t>
  </si>
  <si>
    <t xml:space="preserve">ACT-01263</t>
  </si>
  <si>
    <t xml:space="preserve">ACT-01264</t>
  </si>
  <si>
    <t xml:space="preserve">ACT-01265</t>
  </si>
  <si>
    <t xml:space="preserve">ACT-01266</t>
  </si>
  <si>
    <t xml:space="preserve">ACT-01267</t>
  </si>
  <si>
    <t xml:space="preserve">ACT-01268</t>
  </si>
  <si>
    <t xml:space="preserve">ACT-01269</t>
  </si>
  <si>
    <t xml:space="preserve">ACT-01270</t>
  </si>
  <si>
    <t xml:space="preserve">ACT-01271</t>
  </si>
  <si>
    <t xml:space="preserve">ACT-01272</t>
  </si>
  <si>
    <t xml:space="preserve">ACT-01273</t>
  </si>
  <si>
    <t xml:space="preserve">ACT-01274</t>
  </si>
  <si>
    <t xml:space="preserve">ACT-01275</t>
  </si>
  <si>
    <t xml:space="preserve">ACT-01276</t>
  </si>
  <si>
    <t xml:space="preserve">ACT-01277</t>
  </si>
  <si>
    <t xml:space="preserve">ACT-01278</t>
  </si>
  <si>
    <t xml:space="preserve">ACT-01279</t>
  </si>
  <si>
    <t xml:space="preserve">ACT-01280</t>
  </si>
  <si>
    <t xml:space="preserve">ACT-01281</t>
  </si>
  <si>
    <t xml:space="preserve">ACT-01282</t>
  </si>
  <si>
    <t xml:space="preserve">ACT-01283</t>
  </si>
  <si>
    <t xml:space="preserve">ACT-01284</t>
  </si>
  <si>
    <t xml:space="preserve">ACT-01285</t>
  </si>
  <si>
    <t xml:space="preserve">ACT-01286</t>
  </si>
  <si>
    <t xml:space="preserve">ACT-01287</t>
  </si>
  <si>
    <t xml:space="preserve">ACT-01288</t>
  </si>
  <si>
    <t xml:space="preserve">ACT-01289</t>
  </si>
  <si>
    <t xml:space="preserve">ACT-01290</t>
  </si>
  <si>
    <t xml:space="preserve">ACT-01291</t>
  </si>
  <si>
    <t xml:space="preserve">ACT-01292</t>
  </si>
  <si>
    <t xml:space="preserve">ACT-01293</t>
  </si>
  <si>
    <t xml:space="preserve">ACT-01294</t>
  </si>
  <si>
    <t xml:space="preserve">ACT-01295</t>
  </si>
  <si>
    <t xml:space="preserve">ACT-01296</t>
  </si>
  <si>
    <t xml:space="preserve">ACT-01297</t>
  </si>
  <si>
    <t xml:space="preserve">ACT-01298</t>
  </si>
  <si>
    <t xml:space="preserve">ACT-01299</t>
  </si>
  <si>
    <t xml:space="preserve">ACT-01300</t>
  </si>
  <si>
    <t xml:space="preserve">ACT-01301</t>
  </si>
  <si>
    <t xml:space="preserve">ACT-01302</t>
  </si>
  <si>
    <t xml:space="preserve">ACT-01303</t>
  </si>
  <si>
    <t xml:space="preserve">ACT-01304</t>
  </si>
  <si>
    <t xml:space="preserve">ACT-01305</t>
  </si>
  <si>
    <t xml:space="preserve">ACT-01306</t>
  </si>
  <si>
    <t xml:space="preserve">ACT-01307</t>
  </si>
  <si>
    <t xml:space="preserve">ACT-01308</t>
  </si>
  <si>
    <t xml:space="preserve">ACT-01309</t>
  </si>
  <si>
    <t xml:space="preserve">ACT-01310</t>
  </si>
  <si>
    <t xml:space="preserve">ACT-01311</t>
  </si>
  <si>
    <t xml:space="preserve">ACT-01312</t>
  </si>
  <si>
    <t xml:space="preserve">ACT-01313</t>
  </si>
  <si>
    <t xml:space="preserve">ACT-01314</t>
  </si>
  <si>
    <t xml:space="preserve">ACT-01315</t>
  </si>
  <si>
    <t xml:space="preserve">ACT-01316</t>
  </si>
  <si>
    <t xml:space="preserve">ACT-01317</t>
  </si>
  <si>
    <t xml:space="preserve">ACT-01318</t>
  </si>
  <si>
    <t xml:space="preserve">ACT-01319</t>
  </si>
  <si>
    <t xml:space="preserve">ACT-01320</t>
  </si>
  <si>
    <t xml:space="preserve">ACT-01321</t>
  </si>
  <si>
    <t xml:space="preserve">ACT-01322</t>
  </si>
  <si>
    <t xml:space="preserve">ACT-01323</t>
  </si>
  <si>
    <t xml:space="preserve">ACT-01324</t>
  </si>
  <si>
    <t xml:space="preserve">ACT-01325</t>
  </si>
  <si>
    <t xml:space="preserve">ACT-01326</t>
  </si>
  <si>
    <t xml:space="preserve">ACT-01327</t>
  </si>
  <si>
    <t xml:space="preserve">ACT-01328</t>
  </si>
  <si>
    <t xml:space="preserve">ACT-01329</t>
  </si>
  <si>
    <t xml:space="preserve">ACT-01330</t>
  </si>
  <si>
    <t xml:space="preserve">ACT-01331</t>
  </si>
  <si>
    <t xml:space="preserve">ACT-01332</t>
  </si>
  <si>
    <t xml:space="preserve">ACT-01333</t>
  </si>
  <si>
    <t xml:space="preserve">ACT-01334</t>
  </si>
  <si>
    <t xml:space="preserve">ACT-01335</t>
  </si>
  <si>
    <t xml:space="preserve">ACT-01336</t>
  </si>
  <si>
    <t xml:space="preserve">ACT-01337</t>
  </si>
  <si>
    <t xml:space="preserve">ACT-01338</t>
  </si>
  <si>
    <t xml:space="preserve">ACT-01339</t>
  </si>
  <si>
    <t xml:space="preserve">ACT-01340</t>
  </si>
  <si>
    <t xml:space="preserve">ACT-01341</t>
  </si>
  <si>
    <t xml:space="preserve">ACT-01342</t>
  </si>
  <si>
    <t xml:space="preserve">ACT-01343</t>
  </si>
  <si>
    <t xml:space="preserve">ACT-01344</t>
  </si>
  <si>
    <t xml:space="preserve">ACT-01345</t>
  </si>
  <si>
    <t xml:space="preserve">ACT-01346</t>
  </si>
  <si>
    <t xml:space="preserve">ACT-01347</t>
  </si>
  <si>
    <t xml:space="preserve">ACT-01348</t>
  </si>
  <si>
    <t xml:space="preserve">ACT-01349</t>
  </si>
  <si>
    <t xml:space="preserve">ACT-01350</t>
  </si>
  <si>
    <t xml:space="preserve">ACT-01351</t>
  </si>
  <si>
    <t xml:space="preserve">ACT-01352</t>
  </si>
  <si>
    <t xml:space="preserve">ACT-01353</t>
  </si>
  <si>
    <t xml:space="preserve">ACT-01354</t>
  </si>
  <si>
    <t xml:space="preserve">ACT-01355</t>
  </si>
  <si>
    <t xml:space="preserve">ACT-01356</t>
  </si>
  <si>
    <t xml:space="preserve">ACT-01357</t>
  </si>
  <si>
    <t xml:space="preserve">ACT-01358</t>
  </si>
  <si>
    <t xml:space="preserve">ACT-01359</t>
  </si>
  <si>
    <t xml:space="preserve">ACT-01360</t>
  </si>
  <si>
    <t xml:space="preserve">ACT-01361</t>
  </si>
  <si>
    <t xml:space="preserve">ACT-01362</t>
  </si>
  <si>
    <t xml:space="preserve">ACT-01363</t>
  </si>
  <si>
    <t xml:space="preserve">ACT-01364</t>
  </si>
  <si>
    <t xml:space="preserve">ACT-01365</t>
  </si>
  <si>
    <t xml:space="preserve">ACT-01366</t>
  </si>
  <si>
    <t xml:space="preserve">ACT-01367</t>
  </si>
  <si>
    <t xml:space="preserve">ACT-01368</t>
  </si>
  <si>
    <t xml:space="preserve">ACT-01369</t>
  </si>
  <si>
    <t xml:space="preserve">ACT-01370</t>
  </si>
  <si>
    <t xml:space="preserve">ACT-01371</t>
  </si>
  <si>
    <t xml:space="preserve">ACT-01372</t>
  </si>
  <si>
    <t xml:space="preserve">ACT-01373</t>
  </si>
  <si>
    <t xml:space="preserve">ACT-01374</t>
  </si>
  <si>
    <t xml:space="preserve">ACT-01375</t>
  </si>
  <si>
    <t xml:space="preserve">ACT-01376</t>
  </si>
  <si>
    <t xml:space="preserve">ACT-01377</t>
  </si>
  <si>
    <t xml:space="preserve">ACT-01378</t>
  </si>
  <si>
    <t xml:space="preserve">ACT-01379</t>
  </si>
  <si>
    <t xml:space="preserve">ACT-01380</t>
  </si>
  <si>
    <t xml:space="preserve">ACT-01381</t>
  </si>
  <si>
    <t xml:space="preserve">ACT-01382</t>
  </si>
  <si>
    <t xml:space="preserve">ACT-01383</t>
  </si>
  <si>
    <t xml:space="preserve">ACT-01384</t>
  </si>
  <si>
    <t xml:space="preserve">ACT-01385</t>
  </si>
  <si>
    <t xml:space="preserve">ACT-01386</t>
  </si>
  <si>
    <t xml:space="preserve">ACT-01387</t>
  </si>
  <si>
    <t xml:space="preserve">ACT-01388</t>
  </si>
  <si>
    <t xml:space="preserve">ACT-01389</t>
  </si>
  <si>
    <t xml:space="preserve">ACT-01390</t>
  </si>
  <si>
    <t xml:space="preserve">ACT-01391</t>
  </si>
  <si>
    <t xml:space="preserve">ACT-01392</t>
  </si>
  <si>
    <t xml:space="preserve">ACT-01393</t>
  </si>
  <si>
    <t xml:space="preserve">ACT-01394</t>
  </si>
  <si>
    <t xml:space="preserve">ACT-01395</t>
  </si>
  <si>
    <t xml:space="preserve">ACT-01396</t>
  </si>
  <si>
    <t xml:space="preserve">ACT-01397</t>
  </si>
  <si>
    <t xml:space="preserve">ACT-01398</t>
  </si>
  <si>
    <t xml:space="preserve">ACT-01399</t>
  </si>
  <si>
    <t xml:space="preserve">ACT-01400</t>
  </si>
  <si>
    <t xml:space="preserve">MilestoneName</t>
  </si>
  <si>
    <t xml:space="preserve">BaselineDate</t>
  </si>
  <si>
    <t xml:space="preserve">ForecastDate</t>
  </si>
  <si>
    <t xml:space="preserve">ActualDate</t>
  </si>
  <si>
    <t xml:space="preserve">IsBillingMilestone</t>
  </si>
  <si>
    <t xml:space="preserve">BillingPct</t>
  </si>
  <si>
    <t xml:space="preserve">BillingAmount</t>
  </si>
  <si>
    <t xml:space="preserve">VarianceDays</t>
  </si>
  <si>
    <t xml:space="preserve">M-0001</t>
  </si>
  <si>
    <t xml:space="preserve">Discovery sign-off</t>
  </si>
  <si>
    <t xml:space="preserve">M-0002</t>
  </si>
  <si>
    <t xml:space="preserve">Design approval</t>
  </si>
  <si>
    <t xml:space="preserve">M-0003</t>
  </si>
  <si>
    <t xml:space="preserve">Build complete</t>
  </si>
  <si>
    <t xml:space="preserve">M-0004</t>
  </si>
  <si>
    <t xml:space="preserve">UAT sign-off</t>
  </si>
  <si>
    <t xml:space="preserve">M-0005</t>
  </si>
  <si>
    <t xml:space="preserve">Go-live</t>
  </si>
  <si>
    <t xml:space="preserve">M-0006</t>
  </si>
  <si>
    <t xml:space="preserve">M-0007</t>
  </si>
  <si>
    <t xml:space="preserve">M-0008</t>
  </si>
  <si>
    <t xml:space="preserve">M-0009</t>
  </si>
  <si>
    <t xml:space="preserve">M-0010</t>
  </si>
  <si>
    <t xml:space="preserve">M-0011</t>
  </si>
  <si>
    <t xml:space="preserve">M-0012</t>
  </si>
  <si>
    <t xml:space="preserve">M-0013</t>
  </si>
  <si>
    <t xml:space="preserve">M-0014</t>
  </si>
  <si>
    <t xml:space="preserve">M-0015</t>
  </si>
  <si>
    <t xml:space="preserve">M-0016</t>
  </si>
  <si>
    <t xml:space="preserve">M-0017</t>
  </si>
  <si>
    <t xml:space="preserve">M-0018</t>
  </si>
  <si>
    <t xml:space="preserve">M-0019</t>
  </si>
  <si>
    <t xml:space="preserve">M-0020</t>
  </si>
  <si>
    <t xml:space="preserve">M-0021</t>
  </si>
  <si>
    <t xml:space="preserve">M-0022</t>
  </si>
  <si>
    <t xml:space="preserve">M-0023</t>
  </si>
  <si>
    <t xml:space="preserve">M-0024</t>
  </si>
  <si>
    <t xml:space="preserve">M-0025</t>
  </si>
  <si>
    <t xml:space="preserve">M-0026</t>
  </si>
  <si>
    <t xml:space="preserve">M-0027</t>
  </si>
  <si>
    <t xml:space="preserve">M-0028</t>
  </si>
  <si>
    <t xml:space="preserve">M-0029</t>
  </si>
  <si>
    <t xml:space="preserve">M-0030</t>
  </si>
  <si>
    <t xml:space="preserve">M-0031</t>
  </si>
  <si>
    <t xml:space="preserve">M-0032</t>
  </si>
  <si>
    <t xml:space="preserve">M-0033</t>
  </si>
  <si>
    <t xml:space="preserve">M-0034</t>
  </si>
  <si>
    <t xml:space="preserve">M-0035</t>
  </si>
  <si>
    <t xml:space="preserve">M-0036</t>
  </si>
  <si>
    <t xml:space="preserve">M-0037</t>
  </si>
  <si>
    <t xml:space="preserve">M-0038</t>
  </si>
  <si>
    <t xml:space="preserve">M-0039</t>
  </si>
  <si>
    <t xml:space="preserve">M-0040</t>
  </si>
  <si>
    <t xml:space="preserve">M-0041</t>
  </si>
  <si>
    <t xml:space="preserve">M-0042</t>
  </si>
  <si>
    <t xml:space="preserve">M-0043</t>
  </si>
  <si>
    <t xml:space="preserve">M-0044</t>
  </si>
  <si>
    <t xml:space="preserve">M-0045</t>
  </si>
  <si>
    <t xml:space="preserve">M-0046</t>
  </si>
  <si>
    <t xml:space="preserve">M-0047</t>
  </si>
  <si>
    <t xml:space="preserve">M-0048</t>
  </si>
  <si>
    <t xml:space="preserve">M-0049</t>
  </si>
  <si>
    <t xml:space="preserve">M-0050</t>
  </si>
  <si>
    <t xml:space="preserve">M-0051</t>
  </si>
  <si>
    <t xml:space="preserve">M-0052</t>
  </si>
  <si>
    <t xml:space="preserve">M-0053</t>
  </si>
  <si>
    <t xml:space="preserve">M-0054</t>
  </si>
  <si>
    <t xml:space="preserve">M-0055</t>
  </si>
  <si>
    <t xml:space="preserve">M-0056</t>
  </si>
  <si>
    <t xml:space="preserve">M-0057</t>
  </si>
  <si>
    <t xml:space="preserve">M-0058</t>
  </si>
  <si>
    <t xml:space="preserve">M-0059</t>
  </si>
  <si>
    <t xml:space="preserve">M-0060</t>
  </si>
  <si>
    <t xml:space="preserve">M-0061</t>
  </si>
  <si>
    <t xml:space="preserve">M-0062</t>
  </si>
  <si>
    <t xml:space="preserve">M-0063</t>
  </si>
  <si>
    <t xml:space="preserve">M-0064</t>
  </si>
  <si>
    <t xml:space="preserve">M-0065</t>
  </si>
  <si>
    <t xml:space="preserve">M-0066</t>
  </si>
  <si>
    <t xml:space="preserve">M-0067</t>
  </si>
  <si>
    <t xml:space="preserve">M-0068</t>
  </si>
  <si>
    <t xml:space="preserve">M-0069</t>
  </si>
  <si>
    <t xml:space="preserve">M-0070</t>
  </si>
  <si>
    <t xml:space="preserve">M-0071</t>
  </si>
  <si>
    <t xml:space="preserve">M-0072</t>
  </si>
  <si>
    <t xml:space="preserve">M-0073</t>
  </si>
  <si>
    <t xml:space="preserve">M-0074</t>
  </si>
  <si>
    <t xml:space="preserve">M-0075</t>
  </si>
  <si>
    <t xml:space="preserve">M-0076</t>
  </si>
  <si>
    <t xml:space="preserve">M-0077</t>
  </si>
  <si>
    <t xml:space="preserve">M-0078</t>
  </si>
  <si>
    <t xml:space="preserve">M-0079</t>
  </si>
  <si>
    <t xml:space="preserve">M-0080</t>
  </si>
  <si>
    <t xml:space="preserve">M-0081</t>
  </si>
  <si>
    <t xml:space="preserve">M-0082</t>
  </si>
  <si>
    <t xml:space="preserve">M-0083</t>
  </si>
  <si>
    <t xml:space="preserve">M-0084</t>
  </si>
  <si>
    <t xml:space="preserve">M-0085</t>
  </si>
  <si>
    <t xml:space="preserve">M-0086</t>
  </si>
  <si>
    <t xml:space="preserve">M-0087</t>
  </si>
  <si>
    <t xml:space="preserve">M-0088</t>
  </si>
  <si>
    <t xml:space="preserve">M-0089</t>
  </si>
  <si>
    <t xml:space="preserve">M-0090</t>
  </si>
  <si>
    <t xml:space="preserve">M-0091</t>
  </si>
  <si>
    <t xml:space="preserve">M-0092</t>
  </si>
  <si>
    <t xml:space="preserve">M-0093</t>
  </si>
  <si>
    <t xml:space="preserve">M-0094</t>
  </si>
  <si>
    <t xml:space="preserve">M-0095</t>
  </si>
  <si>
    <t xml:space="preserve">M-0096</t>
  </si>
  <si>
    <t xml:space="preserve">M-0097</t>
  </si>
  <si>
    <t xml:space="preserve">M-0098</t>
  </si>
  <si>
    <t xml:space="preserve">M-0099</t>
  </si>
  <si>
    <t xml:space="preserve">M-0100</t>
  </si>
  <si>
    <t xml:space="preserve">M-0101</t>
  </si>
  <si>
    <t xml:space="preserve">M-0102</t>
  </si>
  <si>
    <t xml:space="preserve">M-0103</t>
  </si>
  <si>
    <t xml:space="preserve">M-0104</t>
  </si>
  <si>
    <t xml:space="preserve">M-0105</t>
  </si>
  <si>
    <t xml:space="preserve">M-0106</t>
  </si>
  <si>
    <t xml:space="preserve">M-0107</t>
  </si>
  <si>
    <t xml:space="preserve">M-0108</t>
  </si>
  <si>
    <t xml:space="preserve">M-0109</t>
  </si>
  <si>
    <t xml:space="preserve">M-0110</t>
  </si>
  <si>
    <t xml:space="preserve">M-0111</t>
  </si>
  <si>
    <t xml:space="preserve">M-0112</t>
  </si>
  <si>
    <t xml:space="preserve">M-0113</t>
  </si>
  <si>
    <t xml:space="preserve">M-0114</t>
  </si>
  <si>
    <t xml:space="preserve">M-0115</t>
  </si>
  <si>
    <t xml:space="preserve">M-0116</t>
  </si>
  <si>
    <t xml:space="preserve">M-0117</t>
  </si>
  <si>
    <t xml:space="preserve">M-0118</t>
  </si>
  <si>
    <t xml:space="preserve">M-0119</t>
  </si>
  <si>
    <t xml:space="preserve">M-0120</t>
  </si>
  <si>
    <t xml:space="preserve">InvoiceID</t>
  </si>
  <si>
    <t xml:space="preserve">InvoiceDate</t>
  </si>
  <si>
    <t xml:space="preserve">Description</t>
  </si>
  <si>
    <t xml:space="preserve">PaidDate</t>
  </si>
  <si>
    <t xml:space="preserve">PaymentTermsDays</t>
  </si>
  <si>
    <t xml:space="preserve">DueDate</t>
  </si>
  <si>
    <t xml:space="preserve">DaysOutstanding</t>
  </si>
  <si>
    <t xml:space="preserve">DaysOverdue</t>
  </si>
  <si>
    <t xml:space="preserve">AgingBucket</t>
  </si>
  <si>
    <t xml:space="preserve">INV-00001</t>
  </si>
  <si>
    <t xml:space="preserve">Milestone: Discovery sign-off</t>
  </si>
  <si>
    <t xml:space="preserve">INV-00002</t>
  </si>
  <si>
    <t xml:space="preserve">INV-00003</t>
  </si>
  <si>
    <t xml:space="preserve">Milestone: Design approval</t>
  </si>
  <si>
    <t xml:space="preserve">INV-00004</t>
  </si>
  <si>
    <t xml:space="preserve">INV-00005</t>
  </si>
  <si>
    <t xml:space="preserve">Monthly retainer Jul 2025</t>
  </si>
  <si>
    <t xml:space="preserve">INV-00006</t>
  </si>
  <si>
    <t xml:space="preserve">Monthly retainer Aug 2025</t>
  </si>
  <si>
    <t xml:space="preserve">INV-00007</t>
  </si>
  <si>
    <t xml:space="preserve">INV-00008</t>
  </si>
  <si>
    <t xml:space="preserve">T&amp;M services Sep 2025</t>
  </si>
  <si>
    <t xml:space="preserve">INV-00009</t>
  </si>
  <si>
    <t xml:space="preserve">Monthly retainer Sep 2025</t>
  </si>
  <si>
    <t xml:space="preserve">INV-00010</t>
  </si>
  <si>
    <t xml:space="preserve">Milestone: Build complete</t>
  </si>
  <si>
    <t xml:space="preserve">INV-00011</t>
  </si>
  <si>
    <t xml:space="preserve">T&amp;M services Oct 2025</t>
  </si>
  <si>
    <t xml:space="preserve">INV-00012</t>
  </si>
  <si>
    <t xml:space="preserve">Monthly retainer Oct 2025</t>
  </si>
  <si>
    <t xml:space="preserve">INV-00013</t>
  </si>
  <si>
    <t xml:space="preserve">INV-00014</t>
  </si>
  <si>
    <t xml:space="preserve">INV-00015</t>
  </si>
  <si>
    <t xml:space="preserve">Milestone: UAT sign-off</t>
  </si>
  <si>
    <t xml:space="preserve">INV-00016</t>
  </si>
  <si>
    <t xml:space="preserve">INV-00017</t>
  </si>
  <si>
    <t xml:space="preserve">T&amp;M services Nov 2025</t>
  </si>
  <si>
    <t xml:space="preserve">INV-00018</t>
  </si>
  <si>
    <t xml:space="preserve">Monthly retainer Nov 2025</t>
  </si>
  <si>
    <t xml:space="preserve">INV-00019</t>
  </si>
  <si>
    <t xml:space="preserve">INV-00020</t>
  </si>
  <si>
    <t xml:space="preserve">INV-00021</t>
  </si>
  <si>
    <t xml:space="preserve">Milestone: Go-live</t>
  </si>
  <si>
    <t xml:space="preserve">INV-00022</t>
  </si>
  <si>
    <t xml:space="preserve">INV-00023</t>
  </si>
  <si>
    <t xml:space="preserve">INV-00024</t>
  </si>
  <si>
    <t xml:space="preserve">T&amp;M services Dec 2025</t>
  </si>
  <si>
    <t xml:space="preserve">INV-00025</t>
  </si>
  <si>
    <t xml:space="preserve">Monthly retainer Dec 2025</t>
  </si>
  <si>
    <t xml:space="preserve">INV-00026</t>
  </si>
  <si>
    <t xml:space="preserve">INV-00027</t>
  </si>
  <si>
    <t xml:space="preserve">INV-00028</t>
  </si>
  <si>
    <t xml:space="preserve">T&amp;M services Jan 2026</t>
  </si>
  <si>
    <t xml:space="preserve">INV-00029</t>
  </si>
  <si>
    <t xml:space="preserve">INV-00030</t>
  </si>
  <si>
    <t xml:space="preserve">Monthly retainer Jan 2026</t>
  </si>
  <si>
    <t xml:space="preserve">INV-00031</t>
  </si>
  <si>
    <t xml:space="preserve">INV-00032</t>
  </si>
  <si>
    <t xml:space="preserve">INV-00033</t>
  </si>
  <si>
    <t xml:space="preserve">INV-00034</t>
  </si>
  <si>
    <t xml:space="preserve">INV-00035</t>
  </si>
  <si>
    <t xml:space="preserve">INV-00036</t>
  </si>
  <si>
    <t xml:space="preserve">T&amp;M services Feb 2026</t>
  </si>
  <si>
    <t xml:space="preserve">INV-00037</t>
  </si>
  <si>
    <t xml:space="preserve">INV-00038</t>
  </si>
  <si>
    <t xml:space="preserve">INV-00039</t>
  </si>
  <si>
    <t xml:space="preserve">Monthly retainer Feb 2026</t>
  </si>
  <si>
    <t xml:space="preserve">INV-00040</t>
  </si>
  <si>
    <t xml:space="preserve">INV-00041</t>
  </si>
  <si>
    <t xml:space="preserve">INV-00042</t>
  </si>
  <si>
    <t xml:space="preserve">INV-00043</t>
  </si>
  <si>
    <t xml:space="preserve">INV-00044</t>
  </si>
  <si>
    <t xml:space="preserve">T&amp;M services Mar 2026</t>
  </si>
  <si>
    <t xml:space="preserve">INV-00045</t>
  </si>
  <si>
    <t xml:space="preserve">INV-00046</t>
  </si>
  <si>
    <t xml:space="preserve">INV-00047</t>
  </si>
  <si>
    <t xml:space="preserve">Monthly retainer Mar 2026</t>
  </si>
  <si>
    <t xml:space="preserve">INV-00048</t>
  </si>
  <si>
    <t xml:space="preserve">INV-00049</t>
  </si>
  <si>
    <t xml:space="preserve">Milestone: Design approval (disputed)</t>
  </si>
  <si>
    <t xml:space="preserve">INV-00050</t>
  </si>
  <si>
    <t xml:space="preserve">INV-00051</t>
  </si>
  <si>
    <t xml:space="preserve">INV-00052</t>
  </si>
  <si>
    <t xml:space="preserve">INV-00053</t>
  </si>
  <si>
    <t xml:space="preserve">INV-00054</t>
  </si>
  <si>
    <t xml:space="preserve">T&amp;M services Apr 2026</t>
  </si>
  <si>
    <t xml:space="preserve">INV-00055</t>
  </si>
  <si>
    <t xml:space="preserve">INV-00056</t>
  </si>
  <si>
    <t xml:space="preserve">INV-00057</t>
  </si>
  <si>
    <t xml:space="preserve">Monthly retainer Apr 2026</t>
  </si>
  <si>
    <t xml:space="preserve">INV-00058</t>
  </si>
  <si>
    <t xml:space="preserve">INV-00059</t>
  </si>
  <si>
    <t xml:space="preserve">INV-00060</t>
  </si>
  <si>
    <t xml:space="preserve">INV-00061</t>
  </si>
  <si>
    <t xml:space="preserve">INV-00062</t>
  </si>
  <si>
    <t xml:space="preserve">INV-00063</t>
  </si>
  <si>
    <t xml:space="preserve">INV-00064</t>
  </si>
  <si>
    <t xml:space="preserve">T&amp;M services May 2026</t>
  </si>
  <si>
    <t xml:space="preserve">INV-00065</t>
  </si>
  <si>
    <t xml:space="preserve">INV-00066</t>
  </si>
  <si>
    <t xml:space="preserve">INV-00067</t>
  </si>
  <si>
    <t xml:space="preserve">Monthly retainer May 2026</t>
  </si>
  <si>
    <t xml:space="preserve">INV-00068</t>
  </si>
  <si>
    <t xml:space="preserve">INV-00069</t>
  </si>
  <si>
    <t xml:space="preserve">INV-00070</t>
  </si>
  <si>
    <t xml:space="preserve">INV-00071</t>
  </si>
  <si>
    <t xml:space="preserve">Milestone: Build complete (disputed)</t>
  </si>
  <si>
    <t xml:space="preserve">INV-00072</t>
  </si>
  <si>
    <t xml:space="preserve">INV-00073</t>
  </si>
  <si>
    <t xml:space="preserve">INV-00074</t>
  </si>
  <si>
    <t xml:space="preserve">INV-00075</t>
  </si>
  <si>
    <t xml:space="preserve">T&amp;M services Jun 2026</t>
  </si>
  <si>
    <t xml:space="preserve">INV-00076</t>
  </si>
  <si>
    <t xml:space="preserve">INV-00077</t>
  </si>
  <si>
    <t xml:space="preserve">INV-00078</t>
  </si>
  <si>
    <t xml:space="preserve">Monthly retainer Jun 2026</t>
  </si>
  <si>
    <t xml:space="preserve">INV-00079</t>
  </si>
  <si>
    <t xml:space="preserve">INV-00080</t>
  </si>
  <si>
    <t xml:space="preserve">INV-00081</t>
  </si>
  <si>
    <t xml:space="preserve">INV-00082</t>
  </si>
  <si>
    <t xml:space="preserve">INV-00083</t>
  </si>
  <si>
    <t xml:space="preserve">INV-00084</t>
  </si>
  <si>
    <t xml:space="preserve">INV-00085</t>
  </si>
  <si>
    <t xml:space="preserve">INV-00086</t>
  </si>
  <si>
    <t xml:space="preserve">T&amp;M services Jul 2026</t>
  </si>
  <si>
    <t xml:space="preserve">INV-00087</t>
  </si>
  <si>
    <t xml:space="preserve">INV-00088</t>
  </si>
  <si>
    <t xml:space="preserve">INV-00089</t>
  </si>
  <si>
    <t xml:space="preserve">Monthly retainer Jul 2026</t>
  </si>
  <si>
    <t xml:space="preserve">INV-00090</t>
  </si>
  <si>
    <t xml:space="preserve">INV-00091</t>
  </si>
  <si>
    <t xml:space="preserve">INV-00092</t>
  </si>
  <si>
    <t xml:space="preserve">INV-00093</t>
  </si>
  <si>
    <t xml:space="preserve">T&amp;M services Aug 2026</t>
  </si>
  <si>
    <t xml:space="preserve">INV-00094</t>
  </si>
  <si>
    <t xml:space="preserve">INV-00095</t>
  </si>
  <si>
    <t xml:space="preserve">INV-00096</t>
  </si>
  <si>
    <t xml:space="preserve">Monthly retainer Aug 2026</t>
  </si>
  <si>
    <t xml:space="preserve">INV-00097</t>
  </si>
  <si>
    <t xml:space="preserve">RAIDID</t>
  </si>
  <si>
    <t xml:space="preserve">Type</t>
  </si>
  <si>
    <t xml:space="preserve">Category</t>
  </si>
  <si>
    <t xml:space="preserve">Title</t>
  </si>
  <si>
    <t xml:space="preserve">Probability</t>
  </si>
  <si>
    <t xml:space="preserve">Impact</t>
  </si>
  <si>
    <t xml:space="preserve">CostExposure</t>
  </si>
  <si>
    <t xml:space="preserve">OwnerID</t>
  </si>
  <si>
    <t xml:space="preserve">RaisedDate</t>
  </si>
  <si>
    <t xml:space="preserve">TargetDate</t>
  </si>
  <si>
    <t xml:space="preserve">Mitigation</t>
  </si>
  <si>
    <t xml:space="preserve">OwnerName</t>
  </si>
  <si>
    <t xml:space="preserve">RiskScore</t>
  </si>
  <si>
    <t xml:space="preserve">Severity</t>
  </si>
  <si>
    <t xml:space="preserve">ExpectedExposure</t>
  </si>
  <si>
    <t xml:space="preserve">DaysOpen</t>
  </si>
  <si>
    <t xml:space="preserve">PastTarget</t>
  </si>
  <si>
    <t xml:space="preserve">R-0001</t>
  </si>
  <si>
    <t xml:space="preserve">Issue</t>
  </si>
  <si>
    <t xml:space="preserve">Technical</t>
  </si>
  <si>
    <t xml:space="preserve">Performance below NFR in load test</t>
  </si>
  <si>
    <t xml:space="preserve">Mitigating</t>
  </si>
  <si>
    <t xml:space="preserve">Tuning sprint; caching layer</t>
  </si>
  <si>
    <t xml:space="preserve">R-0002</t>
  </si>
  <si>
    <t xml:space="preserve">Risk</t>
  </si>
  <si>
    <t xml:space="preserve">Third-party API delivery delay</t>
  </si>
  <si>
    <t xml:space="preserve">Open</t>
  </si>
  <si>
    <t xml:space="preserve">Mock services; contractual SLA escalation</t>
  </si>
  <si>
    <t xml:space="preserve">R-0003</t>
  </si>
  <si>
    <t xml:space="preserve">Data quality in source systems</t>
  </si>
  <si>
    <t xml:space="preserve">Closed</t>
  </si>
  <si>
    <t xml:space="preserve">Profiling + cleansing rules upfront</t>
  </si>
  <si>
    <t xml:space="preserve">R-0004</t>
  </si>
  <si>
    <t xml:space="preserve">R-0005</t>
  </si>
  <si>
    <t xml:space="preserve">Security</t>
  </si>
  <si>
    <t xml:space="preserve">Pen-test findings delay go-live</t>
  </si>
  <si>
    <t xml:space="preserve">Early threat modelling; shift-left scans</t>
  </si>
  <si>
    <t xml:space="preserve">R-0006</t>
  </si>
  <si>
    <t xml:space="preserve">R-0007</t>
  </si>
  <si>
    <t xml:space="preserve">Scope</t>
  </si>
  <si>
    <t xml:space="preserve">Scope creep from stakeholder requests</t>
  </si>
  <si>
    <t xml:space="preserve">Enforce CR process; weekly scope review</t>
  </si>
  <si>
    <t xml:space="preserve">R-0008</t>
  </si>
  <si>
    <t xml:space="preserve">R-0009</t>
  </si>
  <si>
    <t xml:space="preserve">Legacy integration undocumented</t>
  </si>
  <si>
    <t xml:space="preserve">Spike to reverse-engineer; vendor SME</t>
  </si>
  <si>
    <t xml:space="preserve">R-0010</t>
  </si>
  <si>
    <t xml:space="preserve">R-0011</t>
  </si>
  <si>
    <t xml:space="preserve">Schedule</t>
  </si>
  <si>
    <t xml:space="preserve">UAT window conflicts with client freeze</t>
  </si>
  <si>
    <t xml:space="preserve">Negotiate early UAT slot</t>
  </si>
  <si>
    <t xml:space="preserve">R-0012</t>
  </si>
  <si>
    <t xml:space="preserve">R-0013</t>
  </si>
  <si>
    <t xml:space="preserve">R-0014</t>
  </si>
  <si>
    <t xml:space="preserve">Financial</t>
  </si>
  <si>
    <t xml:space="preserve">FX exposure on USD licences</t>
  </si>
  <si>
    <t xml:space="preserve">Lock pricing; hedge with finance</t>
  </si>
  <si>
    <t xml:space="preserve">R-0015</t>
  </si>
  <si>
    <t xml:space="preserve">R-0016</t>
  </si>
  <si>
    <t xml:space="preserve">Assumption</t>
  </si>
  <si>
    <t xml:space="preserve">Client provides test data by Build</t>
  </si>
  <si>
    <t xml:space="preserve">Confirm in steering minutes</t>
  </si>
  <si>
    <t xml:space="preserve">R-0017</t>
  </si>
  <si>
    <t xml:space="preserve">R-0018</t>
  </si>
  <si>
    <t xml:space="preserve">R-0019</t>
  </si>
  <si>
    <t xml:space="preserve">Dependency</t>
  </si>
  <si>
    <t xml:space="preserve">Client identity platform upgrade</t>
  </si>
  <si>
    <t xml:space="preserve">Track in joint RAID; weekly sync</t>
  </si>
  <si>
    <t xml:space="preserve">R-0020</t>
  </si>
  <si>
    <t xml:space="preserve">R-0021</t>
  </si>
  <si>
    <t xml:space="preserve">R-0022</t>
  </si>
  <si>
    <t xml:space="preserve">R-0023</t>
  </si>
  <si>
    <t xml:space="preserve">R-0024</t>
  </si>
  <si>
    <t xml:space="preserve">R-0025</t>
  </si>
  <si>
    <t xml:space="preserve">Resource</t>
  </si>
  <si>
    <t xml:space="preserve">Client SME availability limited</t>
  </si>
  <si>
    <t xml:space="preserve">Escalated to sponsor; fixed office hours</t>
  </si>
  <si>
    <t xml:space="preserve">R-0026</t>
  </si>
  <si>
    <t xml:space="preserve">Environment provisioning delayed</t>
  </si>
  <si>
    <t xml:space="preserve">Escalated with client IT</t>
  </si>
  <si>
    <t xml:space="preserve">R-0027</t>
  </si>
  <si>
    <t xml:space="preserve">R-0028</t>
  </si>
  <si>
    <t xml:space="preserve">R-0029</t>
  </si>
  <si>
    <t xml:space="preserve">R-0030</t>
  </si>
  <si>
    <t xml:space="preserve">R-0031</t>
  </si>
  <si>
    <t xml:space="preserve">R-0032</t>
  </si>
  <si>
    <t xml:space="preserve">R-0033</t>
  </si>
  <si>
    <t xml:space="preserve">R-0034</t>
  </si>
  <si>
    <t xml:space="preserve">R-0035</t>
  </si>
  <si>
    <t xml:space="preserve">R-0036</t>
  </si>
  <si>
    <t xml:space="preserve">R-0037</t>
  </si>
  <si>
    <t xml:space="preserve">Key developer attrition risk</t>
  </si>
  <si>
    <t xml:space="preserve">Cross-train backup; retention conversation</t>
  </si>
  <si>
    <t xml:space="preserve">R-0038</t>
  </si>
  <si>
    <t xml:space="preserve">R-0039</t>
  </si>
  <si>
    <t xml:space="preserve">R-0040</t>
  </si>
  <si>
    <t xml:space="preserve">R-0041</t>
  </si>
  <si>
    <t xml:space="preserve">R-0042</t>
  </si>
  <si>
    <t xml:space="preserve">R-0043</t>
  </si>
  <si>
    <t xml:space="preserve">R-0044</t>
  </si>
  <si>
    <t xml:space="preserve">R-0045</t>
  </si>
  <si>
    <t xml:space="preserve">R-0046</t>
  </si>
  <si>
    <t xml:space="preserve">R-0047</t>
  </si>
  <si>
    <t xml:space="preserve">R-0048</t>
  </si>
  <si>
    <t xml:space="preserve">R-0049</t>
  </si>
  <si>
    <t xml:space="preserve">R-0050</t>
  </si>
  <si>
    <t xml:space="preserve">R-0051</t>
  </si>
  <si>
    <t xml:space="preserve">R-0052</t>
  </si>
  <si>
    <t xml:space="preserve">R-0053</t>
  </si>
  <si>
    <t xml:space="preserve">R-0054</t>
  </si>
  <si>
    <t xml:space="preserve">R-0055</t>
  </si>
  <si>
    <t xml:space="preserve">R-0056</t>
  </si>
  <si>
    <t xml:space="preserve">R-0057</t>
  </si>
  <si>
    <t xml:space="preserve">R-0058</t>
  </si>
  <si>
    <t xml:space="preserve">R-0059</t>
  </si>
  <si>
    <t xml:space="preserve">R-0060</t>
  </si>
  <si>
    <t xml:space="preserve">R-0061</t>
  </si>
  <si>
    <t xml:space="preserve">R-0062</t>
  </si>
  <si>
    <t xml:space="preserve">R-0063</t>
  </si>
  <si>
    <t xml:space="preserve">R-0064</t>
  </si>
  <si>
    <t xml:space="preserve">R-0065</t>
  </si>
  <si>
    <t xml:space="preserve">R-0066</t>
  </si>
  <si>
    <t xml:space="preserve">R-0067</t>
  </si>
  <si>
    <t xml:space="preserve">R-0068</t>
  </si>
  <si>
    <t xml:space="preserve">R-0069</t>
  </si>
  <si>
    <t xml:space="preserve">R-0070</t>
  </si>
  <si>
    <t xml:space="preserve">R-0071</t>
  </si>
  <si>
    <t xml:space="preserve">R-0072</t>
  </si>
  <si>
    <t xml:space="preserve">CRID</t>
  </si>
  <si>
    <t xml:space="preserve">CRType</t>
  </si>
  <si>
    <t xml:space="preserve">RaisedByID</t>
  </si>
  <si>
    <t xml:space="preserve">RevenueImpact</t>
  </si>
  <si>
    <t xml:space="preserve">CostImpact</t>
  </si>
  <si>
    <t xml:space="preserve">ScheduleImpactDays</t>
  </si>
  <si>
    <t xml:space="preserve">DecisionDate</t>
  </si>
  <si>
    <t xml:space="preserve">DecisionBy</t>
  </si>
  <si>
    <t xml:space="preserve">RaisedBy</t>
  </si>
  <si>
    <t xml:space="preserve">MarginImpact</t>
  </si>
  <si>
    <t xml:space="preserve">MarginEffect</t>
  </si>
  <si>
    <t xml:space="preserve">IsPending</t>
  </si>
  <si>
    <t xml:space="preserve">DaysInReview</t>
  </si>
  <si>
    <t xml:space="preserve">CR-001</t>
  </si>
  <si>
    <t xml:space="preserve">WCAG 2.2 accessibility remediation</t>
  </si>
  <si>
    <t xml:space="preserve">Approved</t>
  </si>
  <si>
    <t xml:space="preserve">CR-002</t>
  </si>
  <si>
    <t xml:space="preserve">Add auto-glass claim type</t>
  </si>
  <si>
    <t xml:space="preserve">CR-003</t>
  </si>
  <si>
    <t xml:space="preserve">Legacy mainframe interface rework</t>
  </si>
  <si>
    <t xml:space="preserve">Submitted</t>
  </si>
  <si>
    <t xml:space="preserve">CR-004</t>
  </si>
  <si>
    <t xml:space="preserve">Add real-time streaming ingestion</t>
  </si>
  <si>
    <t xml:space="preserve">CR-005</t>
  </si>
  <si>
    <t xml:space="preserve">Extend data quality rules library</t>
  </si>
  <si>
    <t xml:space="preserve">Draft</t>
  </si>
  <si>
    <t xml:space="preserve">CR-006</t>
  </si>
  <si>
    <t xml:space="preserve">Add 40 VMs to migration scope</t>
  </si>
  <si>
    <t xml:space="preserve">CR-007</t>
  </si>
  <si>
    <t xml:space="preserve">Model explainability module</t>
  </si>
  <si>
    <t xml:space="preserve">CR-008</t>
  </si>
  <si>
    <t xml:space="preserve">Real-time scoring latency target change</t>
  </si>
  <si>
    <t xml:space="preserve">CR-009</t>
  </si>
  <si>
    <t xml:space="preserve">Data residency re-architecture</t>
  </si>
  <si>
    <t xml:space="preserve">CR-010</t>
  </si>
  <si>
    <t xml:space="preserve">Gift card integration</t>
  </si>
  <si>
    <t xml:space="preserve">CR-011</t>
  </si>
  <si>
    <t xml:space="preserve">Extend peak-season code freeze</t>
  </si>
  <si>
    <t xml:space="preserve">Rejected</t>
  </si>
  <si>
    <t xml:space="preserve">Steering Committee</t>
  </si>
  <si>
    <t xml:space="preserve">CR-012</t>
  </si>
  <si>
    <t xml:space="preserve">Parent portal module</t>
  </si>
  <si>
    <t xml:space="preserve">CR-013</t>
  </si>
  <si>
    <t xml:space="preserve">Additional site cut-over (Calgary)</t>
  </si>
  <si>
    <t xml:space="preserve">CR-014</t>
  </si>
  <si>
    <t xml:space="preserve">French language support</t>
  </si>
  <si>
    <t xml:space="preserve">CR-015</t>
  </si>
  <si>
    <t xml:space="preserve">eCRF vendor integration</t>
  </si>
  <si>
    <t xml:space="preserve">CR-016</t>
  </si>
  <si>
    <t xml:space="preserve">Consent management APIs</t>
  </si>
  <si>
    <t xml:space="preserve">CR-017</t>
  </si>
  <si>
    <t xml:space="preserve">Performance hardening sprint</t>
  </si>
  <si>
    <t xml:space="preserve">CR-018</t>
  </si>
  <si>
    <t xml:space="preserve">Add commercial lines to scope</t>
  </si>
  <si>
    <t xml:space="preserve">CR-019</t>
  </si>
  <si>
    <t xml:space="preserve">Second fulfilment centre</t>
  </si>
  <si>
    <t xml:space="preserve">CR-020</t>
  </si>
  <si>
    <t xml:space="preserve">Points engine vendor swap</t>
  </si>
  <si>
    <t xml:space="preserve">CR-021</t>
  </si>
  <si>
    <t xml:space="preserve">Reduced launch scope (Phase 1 only)</t>
  </si>
  <si>
    <t xml:space="preserve">CR-022</t>
  </si>
  <si>
    <t xml:space="preserve">Payroll system integration</t>
  </si>
  <si>
    <t xml:space="preserve">CR-023</t>
  </si>
  <si>
    <t xml:space="preserve">Offline mode for field crews</t>
  </si>
  <si>
    <t xml:space="preserve">SnapshotDate</t>
  </si>
  <si>
    <t xml:space="preserve">ActualCostToDate</t>
  </si>
  <si>
    <t xml:space="preserve">SnapshotKey</t>
  </si>
  <si>
    <t xml:space="preserve">Green</t>
  </si>
  <si>
    <t xml:space="preserve">Red</t>
  </si>
  <si>
    <t xml:space="preserve">Amber</t>
  </si>
  <si>
    <t xml:space="preserve">Industry</t>
  </si>
  <si>
    <t xml:space="preserve">Region</t>
  </si>
  <si>
    <t xml:space="preserve">Tier</t>
  </si>
  <si>
    <t xml:space="preserve">AccountOwner</t>
  </si>
  <si>
    <t xml:space="preserve">LifetimeContractValue</t>
  </si>
  <si>
    <t xml:space="preserve">OutstandingAR</t>
  </si>
  <si>
    <t xml:space="preserve">Northgate Health Network</t>
  </si>
  <si>
    <t xml:space="preserve">Healthcare</t>
  </si>
  <si>
    <t xml:space="preserve">Ontario</t>
  </si>
  <si>
    <t xml:space="preserve">Strategic</t>
  </si>
  <si>
    <t xml:space="preserve">Priya Nair</t>
  </si>
  <si>
    <t xml:space="preserve">Crestline Insurance</t>
  </si>
  <si>
    <t xml:space="preserve">Insurance</t>
  </si>
  <si>
    <t xml:space="preserve">Marcus Bell</t>
  </si>
  <si>
    <t xml:space="preserve">Maple Ridge Financial</t>
  </si>
  <si>
    <t xml:space="preserve">Banking</t>
  </si>
  <si>
    <t xml:space="preserve">Harbourview Logistics</t>
  </si>
  <si>
    <t xml:space="preserve">Transportation</t>
  </si>
  <si>
    <t xml:space="preserve">British Columbia</t>
  </si>
  <si>
    <t xml:space="preserve">Key</t>
  </si>
  <si>
    <t xml:space="preserve">Daniel Okafor</t>
  </si>
  <si>
    <t xml:space="preserve">Ironbridge Capital</t>
  </si>
  <si>
    <t xml:space="preserve">Capital Markets</t>
  </si>
  <si>
    <t xml:space="preserve">Aurora Retail Group</t>
  </si>
  <si>
    <t xml:space="preserve">Retail</t>
  </si>
  <si>
    <t xml:space="preserve">Quebec</t>
  </si>
  <si>
    <t xml:space="preserve">Sophie Tremblay</t>
  </si>
  <si>
    <t xml:space="preserve">Pinecrest University</t>
  </si>
  <si>
    <t xml:space="preserve">Education</t>
  </si>
  <si>
    <t xml:space="preserve">Standard</t>
  </si>
  <si>
    <t xml:space="preserve">Summit Telecom</t>
  </si>
  <si>
    <t xml:space="preserve">Telecommunications</t>
  </si>
  <si>
    <t xml:space="preserve">Alberta</t>
  </si>
  <si>
    <t xml:space="preserve">Granite Manufacturing</t>
  </si>
  <si>
    <t xml:space="preserve">Manufacturing</t>
  </si>
  <si>
    <t xml:space="preserve">Bluewater Municipal Services</t>
  </si>
  <si>
    <t xml:space="preserve">Public Sector</t>
  </si>
  <si>
    <t xml:space="preserve">Evergreen Pharma</t>
  </si>
  <si>
    <t xml:space="preserve">Life Sciences</t>
  </si>
  <si>
    <t xml:space="preserve">Lakeshore Energy</t>
  </si>
  <si>
    <t xml:space="preserve">Utilities</t>
  </si>
  <si>
    <t xml:space="preserve">Setting</t>
  </si>
  <si>
    <t xml:space="preserve">Unit</t>
  </si>
  <si>
    <t xml:space="preserve">date</t>
  </si>
  <si>
    <t xml:space="preserve">Reporting date every formula measures against. Replace with =TODAY() for live use.</t>
  </si>
  <si>
    <t xml:space="preserve">ActualsCutoff</t>
  </si>
  <si>
    <t xml:space="preserve">Last closed accounting period loaded into Actuals.</t>
  </si>
  <si>
    <t xml:space="preserve">RAG_CostAmber</t>
  </si>
  <si>
    <t xml:space="preserve">pts</t>
  </si>
  <si>
    <t xml:space="preserve">Cost Amber when BudgetBurnPct exceeds PctComplete by more than this.</t>
  </si>
  <si>
    <t xml:space="preserve">RAG_CostRed</t>
  </si>
  <si>
    <t xml:space="preserve">Cost Red when BudgetBurnPct exceeds PctComplete by more than this.</t>
  </si>
  <si>
    <t xml:space="preserve">RAG_ScheduleAmberDays</t>
  </si>
  <si>
    <t xml:space="preserve">days</t>
  </si>
  <si>
    <t xml:space="preserve">Schedule Amber when forecast slip exceeds this many days.</t>
  </si>
  <si>
    <t xml:space="preserve">RAG_ScheduleRedDays</t>
  </si>
  <si>
    <t xml:space="preserve">Schedule Red when forecast slip exceeds this many days.</t>
  </si>
  <si>
    <t xml:space="preserve">MarginFloor</t>
  </si>
  <si>
    <t xml:space="preserve">%</t>
  </si>
  <si>
    <t xml:space="preserve">Margin Red below this forecast margin.</t>
  </si>
  <si>
    <t xml:space="preserve">MarginTolerance</t>
  </si>
  <si>
    <t xml:space="preserve">Margin Amber when forecast is more than this below target.</t>
  </si>
  <si>
    <t xml:space="preserve">OverallocationThreshold</t>
  </si>
  <si>
    <t xml:space="preserve">Person is Overallocated above this total allocation.</t>
  </si>
  <si>
    <t xml:space="preserve">UnderutilizationThreshold</t>
  </si>
  <si>
    <t xml:space="preserve">Person is Under-utilized below this total allocation.</t>
  </si>
  <si>
    <t xml:space="preserve">RiskCriticalScore</t>
  </si>
  <si>
    <t xml:space="preserve">score</t>
  </si>
  <si>
    <t xml:space="preserve">RiskScore at or above = Critical.</t>
  </si>
  <si>
    <t xml:space="preserve">RiskHighScore</t>
  </si>
  <si>
    <t xml:space="preserve">RiskScore at or above = High.</t>
  </si>
  <si>
    <t xml:space="preserve">RiskMediumScore</t>
  </si>
  <si>
    <t xml:space="preserve">RiskScore at or above = Medium (else Low).</t>
  </si>
  <si>
    <t xml:space="preserve">MilestoneAtRiskDays</t>
  </si>
  <si>
    <t xml:space="preserve">Milestone At Risk when forecast slips more than this vs baseline.</t>
  </si>
  <si>
    <t xml:space="preserve">BudgetNearLimit</t>
  </si>
  <si>
    <t xml:space="preserve">Budget line flagged Near limit at or above this burn.</t>
  </si>
  <si>
    <t xml:space="preserve">Contingency_High</t>
  </si>
  <si>
    <t xml:space="preserve">Contingency applied to High-confidence estimate lines.</t>
  </si>
  <si>
    <t xml:space="preserve">Contingency_Medium</t>
  </si>
  <si>
    <t xml:space="preserve">Contingency applied to Medium-confidence estimate lines.</t>
  </si>
  <si>
    <t xml:space="preserve">Contingency_Low</t>
  </si>
  <si>
    <t xml:space="preserve">Contingency applied to Low-confidence estimate lines.</t>
  </si>
  <si>
    <t xml:space="preserve">Currency</t>
  </si>
  <si>
    <t xml:space="preserve">CAD</t>
  </si>
  <si>
    <t xml:space="preserve">code</t>
  </si>
  <si>
    <t xml:space="preserve">Reporting currency (informational).</t>
  </si>
  <si>
    <t xml:space="preserve">AutoRefreshMinutes</t>
  </si>
  <si>
    <t xml:space="preserve">min</t>
  </si>
  <si>
    <t xml:space="preserve">Polling interval the web app should use (informational).</t>
  </si>
  <si>
    <t xml:space="preserve">Table</t>
  </si>
  <si>
    <t xml:space="preserve">Sheet</t>
  </si>
  <si>
    <t xml:space="preserve">Column</t>
  </si>
  <si>
    <t xml:space="preserve">Kind</t>
  </si>
  <si>
    <t xml:space="preserve">DataType</t>
  </si>
  <si>
    <t xml:space="preserve">Projects</t>
  </si>
  <si>
    <t xml:space="preserve">Input</t>
  </si>
  <si>
    <t xml:space="preserve">Text</t>
  </si>
  <si>
    <t xml:space="preserve">Primary key. Every other table joins on this.</t>
  </si>
  <si>
    <t xml:space="preserve">Project display name.</t>
  </si>
  <si>
    <t xml:space="preserve">FK to Clients.ClientID.</t>
  </si>
  <si>
    <t xml:space="preserve">Lookup</t>
  </si>
  <si>
    <t xml:space="preserve">Client name (lookup).</t>
  </si>
  <si>
    <t xml:space="preserve">Portfolio grouping used for roll-ups and the bubble matrix.</t>
  </si>
  <si>
    <t xml:space="preserve">Owning business unit.</t>
  </si>
  <si>
    <t xml:space="preserve">FK to Resources.EmployeeID.</t>
  </si>
  <si>
    <t xml:space="preserve">Project manager name (lookup).</t>
  </si>
  <si>
    <t xml:space="preserve">Client-side executive sponsor.</t>
  </si>
  <si>
    <t xml:space="preserve">Planned / Active / On Hold / Completed.</t>
  </si>
  <si>
    <t xml:space="preserve">Current delivery phase.</t>
  </si>
  <si>
    <t xml:space="preserve">P1 (highest) to P3.</t>
  </si>
  <si>
    <t xml:space="preserve">Fixed Price / Time &amp; Materials / Retainer.</t>
  </si>
  <si>
    <t xml:space="preserve">Integer</t>
  </si>
  <si>
    <t xml:space="preserve">1-10 strategic value score from portfolio governance.</t>
  </si>
  <si>
    <t xml:space="preserve">Date</t>
  </si>
  <si>
    <t xml:space="preserve">Approved start date.</t>
  </si>
  <si>
    <t xml:space="preserve">Approved finish date (baseline).</t>
  </si>
  <si>
    <t xml:space="preserve">PM's current forecast finish date.</t>
  </si>
  <si>
    <t xml:space="preserve">Signed revenue at contract award (CAD). For T&amp;M/Retainer = forecast revenue at award.</t>
  </si>
  <si>
    <t xml:space="preserve">Percent (fraction)</t>
  </si>
  <si>
    <t xml:space="preserve">Target gross margin agreed at bid.</t>
  </si>
  <si>
    <t xml:space="preserve">PM-reported physical % complete (drives earned value).</t>
  </si>
  <si>
    <t xml:space="preserve">Date the PM last updated status.</t>
  </si>
  <si>
    <t xml:space="preserve">Formula</t>
  </si>
  <si>
    <t xml:space="preserve">Revenue added by Approved change requests.</t>
  </si>
  <si>
    <t xml:space="preserve">OriginalContractValue + ApprovedCRRevenue.</t>
  </si>
  <si>
    <t xml:space="preserve">Sum of Budget lines for the project (incl. contingency).</t>
  </si>
  <si>
    <t xml:space="preserve">Cost added by Approved change requests.</t>
  </si>
  <si>
    <t xml:space="preserve">Budget at completion (BAC) = BaselineBudget + ApprovedCRCost.</t>
  </si>
  <si>
    <t xml:space="preserve">Decimal</t>
  </si>
  <si>
    <t xml:space="preserve">Timesheet hours booked to date.</t>
  </si>
  <si>
    <t xml:space="preserve">Actual cost (AC) to date from the Actuals ledger.</t>
  </si>
  <si>
    <t xml:space="preserve">Share of baseline duration elapsed at AsOfDate.</t>
  </si>
  <si>
    <t xml:space="preserve">EV = PctComplete x BAC.</t>
  </si>
  <si>
    <t xml:space="preserve">PV (time-based) = ElapsedPct x BAC.</t>
  </si>
  <si>
    <t xml:space="preserve">Ratio</t>
  </si>
  <si>
    <t xml:space="preserve">Cost performance index = EV / AC (1.00 when no actuals). &lt;1 = over cost.</t>
  </si>
  <si>
    <t xml:space="preserve">Schedule performance index = EV / PV (1.00 when not started). &lt;1 = behind.</t>
  </si>
  <si>
    <t xml:space="preserve">Estimate at completion. Completed = AC; &lt;5% complete = MAX(BAC, AC); else AC / PctComplete.</t>
  </si>
  <si>
    <t xml:space="preserve">Estimate to complete = EAC - AC.</t>
  </si>
  <si>
    <t xml:space="preserve">Variance at completion = BAC - EAC (negative = overrun).</t>
  </si>
  <si>
    <t xml:space="preserve">AC / BAC.</t>
  </si>
  <si>
    <t xml:space="preserve">CurrentContractValue - EAC.</t>
  </si>
  <si>
    <t xml:space="preserve">ForecastMarginAmt / CurrentContractValue.</t>
  </si>
  <si>
    <t xml:space="preserve">ForecastMarginPct - TargetMarginPct (percentage points).</t>
  </si>
  <si>
    <t xml:space="preserve">Integer (days)</t>
  </si>
  <si>
    <t xml:space="preserve">ForecastEnd - BaselineEnd in calendar days.</t>
  </si>
  <si>
    <t xml:space="preserve">Calendar days from AsOfDate to ForecastEnd (0 if completed).</t>
  </si>
  <si>
    <t xml:space="preserve">Sum of invoices raised.</t>
  </si>
  <si>
    <t xml:space="preserve">Sum of invoices with Status = Paid.</t>
  </si>
  <si>
    <t xml:space="preserve">Earned revenue not yet invoiced = PctComplete x CurrentContractValue - InvoicedToDate.</t>
  </si>
  <si>
    <t xml:space="preserve">RAID items of Type = Risk not Closed.</t>
  </si>
  <si>
    <t xml:space="preserve">RAID items of Type = Issue not Closed.</t>
  </si>
  <si>
    <t xml:space="preserve">Probability-weighted exposure of open RAID items.</t>
  </si>
  <si>
    <t xml:space="preserve">Change requests in Draft or Submitted.</t>
  </si>
  <si>
    <t xml:space="preserve">People with an assignment active on AsOfDate.</t>
  </si>
  <si>
    <t xml:space="preserve">Earliest forecast date among incomplete milestones (blank if none).</t>
  </si>
  <si>
    <t xml:space="preserve">Burn minus progress gap vs RAG_CostAmber / RAG_CostRed.</t>
  </si>
  <si>
    <t xml:space="preserve">ScheduleSlipDays vs RAG_ScheduleAmberDays / RAG_ScheduleRedDays.</t>
  </si>
  <si>
    <t xml:space="preserve">Red below MarginFloor; Amber below Target - MarginTolerance.</t>
  </si>
  <si>
    <t xml:space="preserve">Worst of Cost, Schedule and Margin RAG.</t>
  </si>
  <si>
    <t xml:space="preserve">0-100 composite: 100 - 150 x overburn gap - 0.4 x slip days - 150 x margin shortfall. Blank if Planned.</t>
  </si>
  <si>
    <t xml:space="preserve">Resources</t>
  </si>
  <si>
    <t xml:space="preserve">Primary key for a person.</t>
  </si>
  <si>
    <t xml:space="preserve">Display name.</t>
  </si>
  <si>
    <t xml:space="preserve">Job role; used for staffing and rate cards.</t>
  </si>
  <si>
    <t xml:space="preserve">Home department.</t>
  </si>
  <si>
    <t xml:space="preserve">Career level L2-L7.</t>
  </si>
  <si>
    <t xml:space="preserve">Primary work location.</t>
  </si>
  <si>
    <t xml:space="preserve">FTE or Contractor (contractors carry a higher cost rate).</t>
  </si>
  <si>
    <t xml:space="preserve">Fully loaded internal cost per hour (CAD).</t>
  </si>
  <si>
    <t xml:space="preserve">Standard client bill rate per hour (CAD). 0 = non-billable.</t>
  </si>
  <si>
    <t xml:space="preserve">Contracted hours per week. 0 = not assignable (leadership).</t>
  </si>
  <si>
    <t xml:space="preserve">FK to Resources.EmployeeID of line manager.</t>
  </si>
  <si>
    <t xml:space="preserve">Line manager name (lookup).</t>
  </si>
  <si>
    <t xml:space="preserve">Headline skill for search and staffing.</t>
  </si>
  <si>
    <t xml:space="preserve">Hire / contract start date.</t>
  </si>
  <si>
    <t xml:space="preserve">Sum of allocation % across assignments active on AsOfDate. &gt;100% = overallocated.</t>
  </si>
  <si>
    <t xml:space="preserve">Number of assignments active on AsOfDate.</t>
  </si>
  <si>
    <t xml:space="preserve">Unallocated weekly hours = capacity x (1 - allocation).</t>
  </si>
  <si>
    <t xml:space="preserve">Overallocated / Healthy / Under-utilized / Non-assignable, using Settings thresholds.</t>
  </si>
  <si>
    <t xml:space="preserve">Timesheet hours logged since 1 Jan of the AsOfDate year.</t>
  </si>
  <si>
    <t xml:space="preserve">Billable subset of HoursLoggedYTD.</t>
  </si>
  <si>
    <t xml:space="preserve">BillableHoursYTD / HoursLoggedYTD.</t>
  </si>
  <si>
    <t xml:space="preserve">Allocations</t>
  </si>
  <si>
    <t xml:space="preserve">Primary key for a staffing assignment.</t>
  </si>
  <si>
    <t xml:space="preserve">FK to Projects.</t>
  </si>
  <si>
    <t xml:space="preserve">Lookup.</t>
  </si>
  <si>
    <t xml:space="preserve">FK to Resources.</t>
  </si>
  <si>
    <t xml:space="preserve">Role this person plays on this project.</t>
  </si>
  <si>
    <t xml:space="preserve">Yes / No - whether hours are billable to the client.</t>
  </si>
  <si>
    <t xml:space="preserve">Assignment start.</t>
  </si>
  <si>
    <t xml:space="preserve">Assignment end (current plan, includes re-plans).</t>
  </si>
  <si>
    <t xml:space="preserve">Share of the person's weekly capacity (0.25 = 25%).</t>
  </si>
  <si>
    <t xml:space="preserve">Yes if AsOfDate falls within Start-End.</t>
  </si>
  <si>
    <t xml:space="preserve">NETWORKDAYS between Start and End.</t>
  </si>
  <si>
    <t xml:space="preserve">WorkingDays x (WeeklyCapacityHrs / 5) x AllocationPct.</t>
  </si>
  <si>
    <t xml:space="preserve">Lookup from Resources.</t>
  </si>
  <si>
    <t xml:space="preserve">PlannedHours x CostRateHr.</t>
  </si>
  <si>
    <t xml:space="preserve">PlannedHours x BillRateHr when Billable.</t>
  </si>
  <si>
    <t xml:space="preserve">Hours this person booked to this project (Actuals).</t>
  </si>
  <si>
    <t xml:space="preserve">ActualHours / PlannedHours.</t>
  </si>
  <si>
    <t xml:space="preserve">Estimates</t>
  </si>
  <si>
    <t xml:space="preserve">Primary key for an estimate line.</t>
  </si>
  <si>
    <t xml:space="preserve">v1 Baseline or v2 Re-forecast.</t>
  </si>
  <si>
    <t xml:space="preserve">Yes = the version currently in force for this project.</t>
  </si>
  <si>
    <t xml:space="preserve">Work breakdown structure code.</t>
  </si>
  <si>
    <t xml:space="preserve">Delivery phase.</t>
  </si>
  <si>
    <t xml:space="preserve">Workstream owning the effort.</t>
  </si>
  <si>
    <t xml:space="preserve">Estimated effort hours.</t>
  </si>
  <si>
    <t xml:space="preserve">Blended team cost rate per hour.</t>
  </si>
  <si>
    <t xml:space="preserve">High / Medium / Low - sets the contingency %.</t>
  </si>
  <si>
    <t xml:space="preserve">FK to Resources (estimator).</t>
  </si>
  <si>
    <t xml:space="preserve">Date the estimate was produced.</t>
  </si>
  <si>
    <t xml:space="preserve">From Settings by Confidence.</t>
  </si>
  <si>
    <t xml:space="preserve">EstimatedHours x BlendedCostRate.</t>
  </si>
  <si>
    <t xml:space="preserve">BaseCost x ContingencyPct.</t>
  </si>
  <si>
    <t xml:space="preserve">BaseCost + ContingencyAmt.</t>
  </si>
  <si>
    <t xml:space="preserve">Primary key.</t>
  </si>
  <si>
    <t xml:space="preserve">Labour, Cloud Hosting, Hardware, Software &amp; Licences, Subcontractors, Training, Travel &amp; Expenses, Contingency.</t>
  </si>
  <si>
    <t xml:space="preserve">Approved budget (CAD).</t>
  </si>
  <si>
    <t xml:space="preserve">Approval date.</t>
  </si>
  <si>
    <t xml:space="preserve">Approver.</t>
  </si>
  <si>
    <t xml:space="preserve">Free text.</t>
  </si>
  <si>
    <t xml:space="preserve">Actuals for this project + category.</t>
  </si>
  <si>
    <t xml:space="preserve">BudgetAmount - ActualToDate.</t>
  </si>
  <si>
    <t xml:space="preserve">ActualToDate / BudgetAmount.</t>
  </si>
  <si>
    <t xml:space="preserve">Reserve / Overspent / Near limit / Within budget.</t>
  </si>
  <si>
    <t xml:space="preserve">Actuals</t>
  </si>
  <si>
    <t xml:space="preserve">Primary key for a ledger line.</t>
  </si>
  <si>
    <t xml:space="preserve">Accounting period (month-end date).</t>
  </si>
  <si>
    <t xml:space="preserve">Matches Budget.CostCategory.</t>
  </si>
  <si>
    <t xml:space="preserve">FK to Resources for Labour lines; blank otherwise.</t>
  </si>
  <si>
    <t xml:space="preserve">Supplier for non-labour lines.</t>
  </si>
  <si>
    <t xml:space="preserve">Timesheet / AP Invoice / Expense Claim.</t>
  </si>
  <si>
    <t xml:space="preserve">Hours (Labour only).</t>
  </si>
  <si>
    <t xml:space="preserve">Yes / No.</t>
  </si>
  <si>
    <t xml:space="preserve">Cost amount (CAD).</t>
  </si>
  <si>
    <t xml:space="preserve">yyyy-mm label for grouping.</t>
  </si>
  <si>
    <t xml:space="preserve">Project portfolio (lookup) for roll-ups.</t>
  </si>
  <si>
    <t xml:space="preserve">Hours x BillRateHr when Billable = Yes.</t>
  </si>
  <si>
    <t xml:space="preserve">Milestones</t>
  </si>
  <si>
    <t xml:space="preserve">Milestone name.</t>
  </si>
  <si>
    <t xml:space="preserve">Phase the milestone closes.</t>
  </si>
  <si>
    <t xml:space="preserve">Baseline due date.</t>
  </si>
  <si>
    <t xml:space="preserve">Current forecast date.</t>
  </si>
  <si>
    <t xml:space="preserve">Date achieved (blank if not yet).</t>
  </si>
  <si>
    <t xml:space="preserve">Yes if achieving it triggers an invoice.</t>
  </si>
  <si>
    <t xml:space="preserve">Share of original contract value invoiced at this milestone.</t>
  </si>
  <si>
    <t xml:space="preserve">BillingPct x OriginalContractValue.</t>
  </si>
  <si>
    <t xml:space="preserve">(Actual or Forecast) - Baseline, in days.</t>
  </si>
  <si>
    <t xml:space="preserve">Completed / Overdue / At Risk / On Track.</t>
  </si>
  <si>
    <t xml:space="preserve">Yes if an invoice references this milestone.</t>
  </si>
  <si>
    <t xml:space="preserve">Invoices</t>
  </si>
  <si>
    <t xml:space="preserve">FK to Milestones (Fixed Price) - blank for T&amp;M / Retainer.</t>
  </si>
  <si>
    <t xml:space="preserve">Issue date.</t>
  </si>
  <si>
    <t xml:space="preserve">Invoice description.</t>
  </si>
  <si>
    <t xml:space="preserve">Invoice amount excl. tax (CAD).</t>
  </si>
  <si>
    <t xml:space="preserve">Date payment received (blank if unpaid).</t>
  </si>
  <si>
    <t xml:space="preserve">Lookup via Projects.</t>
  </si>
  <si>
    <t xml:space="preserve">Lookup via Projects &gt; Clients.</t>
  </si>
  <si>
    <t xml:space="preserve">InvoiceDate + PaymentTermsDays.</t>
  </si>
  <si>
    <t xml:space="preserve">Paid / Overdue / Outstanding.</t>
  </si>
  <si>
    <t xml:space="preserve">Days from invoice to payment (or to AsOfDate if unpaid).</t>
  </si>
  <si>
    <t xml:space="preserve">Days past due for Overdue invoices.</t>
  </si>
  <si>
    <t xml:space="preserve">Paid / Current / 1-30 / 31-60 / 60+.</t>
  </si>
  <si>
    <t xml:space="preserve">RAID</t>
  </si>
  <si>
    <t xml:space="preserve">Risk / Issue / Dependency / Assumption.</t>
  </si>
  <si>
    <t xml:space="preserve">Risk category.</t>
  </si>
  <si>
    <t xml:space="preserve">Short description.</t>
  </si>
  <si>
    <t xml:space="preserve">1 (rare) to 5 (certain). Issues are 5.</t>
  </si>
  <si>
    <t xml:space="preserve">1 (minor) to 5 (severe).</t>
  </si>
  <si>
    <t xml:space="preserve">Cost if the item fully materialises (CAD).</t>
  </si>
  <si>
    <t xml:space="preserve">Open / Mitigating / Closed.</t>
  </si>
  <si>
    <t xml:space="preserve">Date logged.</t>
  </si>
  <si>
    <t xml:space="preserve">Target resolution date.</t>
  </si>
  <si>
    <t xml:space="preserve">Mitigation / response plan.</t>
  </si>
  <si>
    <t xml:space="preserve">Probability x Impact (1-25).</t>
  </si>
  <si>
    <t xml:space="preserve">Critical / High / Medium / Low from Settings score bands.</t>
  </si>
  <si>
    <t xml:space="preserve">CostExposure x Probability / 5.</t>
  </si>
  <si>
    <t xml:space="preserve">AsOfDate - RaisedDate for items not Closed.</t>
  </si>
  <si>
    <t xml:space="preserve">Yes if not Closed and past TargetDate.</t>
  </si>
  <si>
    <t xml:space="preserve">ChangeRequests</t>
  </si>
  <si>
    <t xml:space="preserve">Change description.</t>
  </si>
  <si>
    <t xml:space="preserve">Scope / Technical / Schedule / Budget.</t>
  </si>
  <si>
    <t xml:space="preserve">Date raised.</t>
  </si>
  <si>
    <t xml:space="preserve">Draft / Submitted / Approved / Rejected. Only Approved flows into Projects.</t>
  </si>
  <si>
    <t xml:space="preserve">Change to contract value (CAD).</t>
  </si>
  <si>
    <t xml:space="preserve">Change to budget (CAD).</t>
  </si>
  <si>
    <t xml:space="preserve">Change to end date in days.</t>
  </si>
  <si>
    <t xml:space="preserve">Approval / rejection date.</t>
  </si>
  <si>
    <t xml:space="preserve">Approver or board.</t>
  </si>
  <si>
    <t xml:space="preserve">RevenueImpact - CostImpact.</t>
  </si>
  <si>
    <t xml:space="preserve">Accretive / Neutral / Erodes margin.</t>
  </si>
  <si>
    <t xml:space="preserve">Yes if Draft or Submitted.</t>
  </si>
  <si>
    <t xml:space="preserve">Decision - Raised, or AsOfDate - Raised if pending.</t>
  </si>
  <si>
    <t xml:space="preserve">Snapshots</t>
  </si>
  <si>
    <t xml:space="preserve">Month-end snapshot date. Append-only history for trend charts.</t>
  </si>
  <si>
    <t xml:space="preserve">Status at snapshot.</t>
  </si>
  <si>
    <t xml:space="preserve">% complete at snapshot.</t>
  </si>
  <si>
    <t xml:space="preserve">AC at snapshot.</t>
  </si>
  <si>
    <t xml:space="preserve">BAC at snapshot.</t>
  </si>
  <si>
    <t xml:space="preserve">EAC at snapshot.</t>
  </si>
  <si>
    <t xml:space="preserve">Forecast margin at snapshot.</t>
  </si>
  <si>
    <t xml:space="preserve">Slip at snapshot.</t>
  </si>
  <si>
    <t xml:space="preserve">RAG at snapshot.</t>
  </si>
  <si>
    <t xml:space="preserve">ActualCostToDate / CurrentBudget.</t>
  </si>
  <si>
    <t xml:space="preserve">Composite key yyyymmdd-ProjectID.</t>
  </si>
  <si>
    <t xml:space="preserve">Clients</t>
  </si>
  <si>
    <t xml:space="preserve">Primary key for a client account.</t>
  </si>
  <si>
    <t xml:space="preserve">Legal/trading name of the client.</t>
  </si>
  <si>
    <t xml:space="preserve">Client industry vertical.</t>
  </si>
  <si>
    <t xml:space="preserve">Province / region of the client's head office.</t>
  </si>
  <si>
    <t xml:space="preserve">Account tier: Strategic, Key or Standard.</t>
  </si>
  <si>
    <t xml:space="preserve">Internal account executive.</t>
  </si>
  <si>
    <t xml:space="preserve">Contractual payment terms in days; drives invoice due dates.</t>
  </si>
  <si>
    <t xml:space="preserve">Count of this client's projects with Status = Active.</t>
  </si>
  <si>
    <t xml:space="preserve">Sum of current contract value across all this client's projects.</t>
  </si>
  <si>
    <t xml:space="preserve">Unpaid invoice total for this client.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</si>
</sst>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#,##0.0;\(#,##0.0\);\-"/>
    <numFmt numFmtId="169" formatCode="yyyy\-mm\-dd"/>
    <numFmt numFmtId="170" formatCode="0.00"/>
    <numFmt numFmtId="171" formatCode="0;\-0;0"/>
    <numFmt numFmtId="172" formatCode="\$#,##0.00;&quot;($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D5EBC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7C1C1"/>
          <bgColor rgb="FF000000"/>
        </patternFill>
      </fill>
    </dxf>
    <dxf>
      <fill>
        <patternFill patternType="solid">
          <fgColor rgb="FFFAE3B0"/>
          <bgColor rgb="FF000000"/>
        </patternFill>
      </fill>
    </dxf>
    <dxf>
      <fill>
        <patternFill patternType="solid">
          <fgColor rgb="FF27500A"/>
          <bgColor rgb="FF000000"/>
        </patternFill>
      </fill>
    </dxf>
    <dxf>
      <fill>
        <patternFill patternType="solid">
          <fgColor rgb="FF444441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791F1F"/>
          <bgColor rgb="FF000000"/>
        </patternFill>
      </fill>
    </dxf>
    <dxf>
      <font>
        <color rgb="FF791F1F"/>
      </font>
      <fill>
        <patternFill>
          <bgColor rgb="FFF7C1C1"/>
        </patternFill>
      </fill>
    </dxf>
    <dxf>
      <font>
        <color rgb="FF633806"/>
      </font>
      <fill>
        <patternFill>
          <bgColor rgb="FFFAE3B0"/>
        </patternFill>
      </fill>
    </dxf>
    <dxf>
      <font>
        <color rgb="FF27500A"/>
      </font>
      <fill>
        <patternFill>
          <bgColor rgb="FFD5EBC0"/>
        </patternFill>
      </fill>
    </dxf>
    <dxf>
      <font>
        <color rgb="FF444441"/>
      </font>
      <fill>
        <patternFill>
          <bgColor rgb="FFE7E6E6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63380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BC0"/>
      <rgbColor rgb="FFFAE3B0"/>
      <rgbColor rgb="FF99CCFF"/>
      <rgbColor rgb="FFFF99CC"/>
      <rgbColor rgb="FFCC99FF"/>
      <rgbColor rgb="FFF7C1C1"/>
      <rgbColor rgb="FF2E75B6"/>
      <rgbColor rgb="FF33CCCC"/>
      <rgbColor rgb="FF99CC00"/>
      <rgbColor rgb="FFFFC000"/>
      <rgbColor rgb="FFFF9900"/>
      <rgbColor rgb="FFC55A11"/>
      <rgbColor rgb="FF595959"/>
      <rgbColor rgb="FF70AD47"/>
      <rgbColor rgb="FF1F3864"/>
      <rgbColor rgb="FF339966"/>
      <rgbColor rgb="FF003300"/>
      <rgbColor rgb="FF27500A"/>
      <rgbColor rgb="FF791F1F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ctuals" displayName="tbl_Actuals" ref="A1:M1401" headerRowCount="1" totalsRowCount="0" totalsRowShown="0">
  <autoFilter ref="A1:M1401"/>
  <tableColumns count="13">
    <tableColumn id="1" name="ActualID"/>
    <tableColumn id="2" name="Period"/>
    <tableColumn id="3" name="ProjectID"/>
    <tableColumn id="4" name="CostCategory"/>
    <tableColumn id="5" name="EmployeeID"/>
    <tableColumn id="6" name="Vendor"/>
    <tableColumn id="7" name="Source"/>
    <tableColumn id="8" name="Hours"/>
    <tableColumn id="9" name="Billable"/>
    <tableColumn id="10" name="Amount"/>
    <tableColumn id="11" name="PeriodLabel"/>
    <tableColumn id="12" name="Portfolio"/>
    <tableColumn id="13" name="BillableValue"/>
  </tableColumns>
</table>
</file>

<file path=xl/tables/table2.xml><?xml version="1.0" encoding="utf-8"?>
<table xmlns="http://schemas.openxmlformats.org/spreadsheetml/2006/main" id="2" name="tbl_Allocations" displayName="tbl_Allocations" ref="A1:S146" headerRowCount="1" totalsRowCount="0" totalsRowShown="0">
  <autoFilter ref="A1:S146"/>
  <tableColumns count="19">
    <tableColumn id="1" name="AllocationID"/>
    <tableColumn id="2" name="ProjectID"/>
    <tableColumn id="3" name="ProjectName"/>
    <tableColumn id="4" name="EmployeeID"/>
    <tableColumn id="5" name="EmployeeName"/>
    <tableColumn id="6" name="ProjectRole"/>
    <tableColumn id="7" name="Billable"/>
    <tableColumn id="8" name="StartDate"/>
    <tableColumn id="9" name="EndDate"/>
    <tableColumn id="10" name="AllocationPct"/>
    <tableColumn id="11" name="IsActive"/>
    <tableColumn id="12" name="WorkingDays"/>
    <tableColumn id="13" name="PlannedHours"/>
    <tableColumn id="14" name="CostRateHr"/>
    <tableColumn id="15" name="BillRateHr"/>
    <tableColumn id="16" name="PlannedCost"/>
    <tableColumn id="17" name="PlannedRevenue"/>
    <tableColumn id="18" name="ActualHours"/>
    <tableColumn id="19" name="HoursBurnPct"/>
  </tableColumns>
</table>
</file>

<file path=xl/tables/table3.xml><?xml version="1.0" encoding="utf-8"?>
<table xmlns="http://schemas.openxmlformats.org/spreadsheetml/2006/main" id="3" name="tbl_Budget" displayName="tbl_Budget" ref="A1:L135" headerRowCount="1" totalsRowCount="0" totalsRowShown="0">
  <autoFilter ref="A1:L135"/>
  <tableColumns count="12">
    <tableColumn id="1" name="BudgetLineID"/>
    <tableColumn id="2" name="ProjectID"/>
    <tableColumn id="3" name="ProjectName"/>
    <tableColumn id="4" name="CostCategory"/>
    <tableColumn id="5" name="BudgetAmount"/>
    <tableColumn id="6" name="ApprovedDate"/>
    <tableColumn id="7" name="ApprovedBy"/>
    <tableColumn id="8" name="Notes"/>
    <tableColumn id="9" name="ActualToDate"/>
    <tableColumn id="10" name="Remaining"/>
    <tableColumn id="11" name="BurnPct"/>
    <tableColumn id="12" name="LineStatus"/>
  </tableColumns>
</table>
</file>

<file path=xl/tables/table4.xml><?xml version="1.0" encoding="utf-8"?>
<table xmlns="http://schemas.openxmlformats.org/spreadsheetml/2006/main" id="4" name="tbl_ChangeRequests" displayName="tbl_ChangeRequests" ref="A1:Q24" headerRowCount="1" totalsRowCount="0" totalsRowShown="0">
  <autoFilter ref="A1:Q24"/>
  <tableColumns count="17">
    <tableColumn id="1" name="CRID"/>
    <tableColumn id="2" name="ProjectID"/>
    <tableColumn id="3" name="Title"/>
    <tableColumn id="4" name="CRType"/>
    <tableColumn id="5" name="RaisedDate"/>
    <tableColumn id="6" name="RaisedByID"/>
    <tableColumn id="7" name="Status"/>
    <tableColumn id="8" name="RevenueImpact"/>
    <tableColumn id="9" name="CostImpact"/>
    <tableColumn id="10" name="ScheduleImpactDays"/>
    <tableColumn id="11" name="DecisionDate"/>
    <tableColumn id="12" name="DecisionBy"/>
    <tableColumn id="13" name="RaisedBy"/>
    <tableColumn id="14" name="MarginImpact"/>
    <tableColumn id="15" name="MarginEffect"/>
    <tableColumn id="16" name="IsPending"/>
    <tableColumn id="17" name="DaysInReview"/>
  </tableColumns>
</table>
</file>

<file path=xl/tables/table5.xml><?xml version="1.0" encoding="utf-8"?>
<table xmlns="http://schemas.openxmlformats.org/spreadsheetml/2006/main" id="5" name="tbl_Clients" displayName="tbl_Clients" ref="A1:J13" headerRowCount="1" totalsRowCount="0" totalsRowShown="0">
  <autoFilter ref="A1:J13"/>
  <tableColumns count="10">
    <tableColumn id="1" name="ClientID"/>
    <tableColumn id="2" name="ClientName"/>
    <tableColumn id="3" name="Industry"/>
    <tableColumn id="4" name="Region"/>
    <tableColumn id="5" name="Tier"/>
    <tableColumn id="6" name="AccountOwner"/>
    <tableColumn id="7" name="PaymentTermsDays"/>
    <tableColumn id="8" name="ActiveProjects"/>
    <tableColumn id="9" name="LifetimeContractValue"/>
    <tableColumn id="10" name="OutstandingAR"/>
  </tableColumns>
</table>
</file>

<file path=xl/tables/table6.xml><?xml version="1.0" encoding="utf-8"?>
<table xmlns="http://schemas.openxmlformats.org/spreadsheetml/2006/main" id="6" name="tbl_DataDictionary" displayName="tbl_DataDictionary" ref="A1:F227" headerRowCount="1" totalsRowCount="0" totalsRowShown="0">
  <autoFilter ref="A1:F227"/>
  <tableColumns count="6">
    <tableColumn id="1" name="Table"/>
    <tableColumn id="2" name="Sheet"/>
    <tableColumn id="3" name="Column"/>
    <tableColumn id="4" name="Kind"/>
    <tableColumn id="5" name="DataType"/>
    <tableColumn id="6" name="Description"/>
  </tableColumns>
</table>
</file>

<file path=xl/tables/table7.xml><?xml version="1.0" encoding="utf-8"?>
<table xmlns="http://schemas.openxmlformats.org/spreadsheetml/2006/main" id="7" name="tbl_Estimates" displayName="tbl_Estimates" ref="A1:Q166" headerRowCount="1" totalsRowCount="0" totalsRowShown="0">
  <autoFilter ref="A1:Q166"/>
  <tableColumns count="17">
    <tableColumn id="1" name="EstimateLineID"/>
    <tableColumn id="2" name="ProjectID"/>
    <tableColumn id="3" name="EstimateVersion"/>
    <tableColumn id="4" name="IsCurrent"/>
    <tableColumn id="5" name="WBSCode"/>
    <tableColumn id="6" name="Phase"/>
    <tableColumn id="7" name="Workstream"/>
    <tableColumn id="8" name="EstimatedHours"/>
    <tableColumn id="9" name="BlendedCostRate"/>
    <tableColumn id="10" name="Confidence"/>
    <tableColumn id="11" name="EstimatedByID"/>
    <tableColumn id="12" name="EstimateDate"/>
    <tableColumn id="13" name="EstimatedBy"/>
    <tableColumn id="14" name="ContingencyPct"/>
    <tableColumn id="15" name="BaseCost"/>
    <tableColumn id="16" name="ContingencyAmt"/>
    <tableColumn id="17" name="TotalEstimate"/>
  </tableColumns>
</table>
</file>

<file path=xl/tables/table8.xml><?xml version="1.0" encoding="utf-8"?>
<table xmlns="http://schemas.openxmlformats.org/spreadsheetml/2006/main" id="8" name="tbl_Invoices" displayName="tbl_Invoices" ref="A1:N98" headerRowCount="1" totalsRowCount="0" totalsRowShown="0">
  <autoFilter ref="A1:N98"/>
  <tableColumns count="14">
    <tableColumn id="1" name="InvoiceID"/>
    <tableColumn id="2" name="ProjectID"/>
    <tableColumn id="3" name="MilestoneID"/>
    <tableColumn id="4" name="InvoiceDate"/>
    <tableColumn id="5" name="Description"/>
    <tableColumn id="6" name="Amount"/>
    <tableColumn id="7" name="PaidDate"/>
    <tableColumn id="8" name="ClientName"/>
    <tableColumn id="9" name="PaymentTermsDays"/>
    <tableColumn id="10" name="DueDate"/>
    <tableColumn id="11" name="Status"/>
    <tableColumn id="12" name="DaysOutstanding"/>
    <tableColumn id="13" name="DaysOverdue"/>
    <tableColumn id="14" name="AgingBucket"/>
  </tableColumns>
</table>
</file>

<file path=xl/tables/table9.xml><?xml version="1.0" encoding="utf-8"?>
<table xmlns="http://schemas.openxmlformats.org/spreadsheetml/2006/main" id="9" name="tbl_KPIs" displayName="tbl_KPIs" ref="A5:C28" headerRowCount="1" totalsRowCount="0" totalsRowShown="0">
  <autoFilter ref="A5:C28"/>
  <tableColumns count="3">
    <tableColumn id="1" name="KPI"/>
    <tableColumn id="2" name="Value"/>
    <tableColumn id="3" name="DrillTarget"/>
  </tableColumns>
</table>
</file>

<file path=xl/tables/table10.xml><?xml version="1.0" encoding="utf-8"?>
<table xmlns="http://schemas.openxmlformats.org/spreadsheetml/2006/main" id="10" name="tbl_Milestones" displayName="tbl_Milestones" ref="A1:M121" headerRowCount="1" totalsRowCount="0" totalsRowShown="0">
  <autoFilter ref="A1:M121"/>
  <tableColumns count="13">
    <tableColumn id="1" name="MilestoneID"/>
    <tableColumn id="2" name="ProjectID"/>
    <tableColumn id="3" name="MilestoneName"/>
    <tableColumn id="4" name="Phase"/>
    <tableColumn id="5" name="BaselineDate"/>
    <tableColumn id="6" name="ForecastDate"/>
    <tableColumn id="7" name="ActualDate"/>
    <tableColumn id="8" name="IsBillingMilestone"/>
    <tableColumn id="9" name="BillingPct"/>
    <tableColumn id="10" name="BillingAmount"/>
    <tableColumn id="11" name="VarianceDays"/>
    <tableColumn id="12" name="Status"/>
    <tableColumn id="13" name="Invoiced"/>
  </tableColumns>
</table>
</file>

<file path=xl/tables/table11.xml><?xml version="1.0" encoding="utf-8"?>
<table xmlns="http://schemas.openxmlformats.org/spreadsheetml/2006/main" id="11" name="tbl_MonthlyTrend" displayName="tbl_MonthlyTrend" ref="A39:H51" headerRowCount="1" totalsRowCount="0" totalsRowShown="0">
  <autoFilter ref="A39:H51"/>
  <tableColumns count="8">
    <tableColumn id="1" name="MonthEnd"/>
    <tableColumn id="2" name="LabourCost"/>
    <tableColumn id="3" name="NonLabourCost"/>
    <tableColumn id="4" name="TotalCost"/>
    <tableColumn id="5" name="HoursLogged"/>
    <tableColumn id="6" name="BillableValue"/>
    <tableColumn id="7" name="Invoiced"/>
    <tableColumn id="8" name="Collected"/>
  </tableColumns>
</table>
</file>

<file path=xl/tables/table12.xml><?xml version="1.0" encoding="utf-8"?>
<table xmlns="http://schemas.openxmlformats.org/spreadsheetml/2006/main" id="12" name="tbl_PortfolioRollup" displayName="tbl_PortfolioRollup" ref="A31:I36" headerRowCount="1" totalsRowCount="0" totalsRowShown="0">
  <autoFilter ref="A31:I36"/>
  <tableColumns count="9">
    <tableColumn id="1" name="Portfolio"/>
    <tableColumn id="2" name="ActiveProjects"/>
    <tableColumn id="3" name="ContractValue"/>
    <tableColumn id="4" name="Budget"/>
    <tableColumn id="5" name="ActualCost"/>
    <tableColumn id="6" name="EAC"/>
    <tableColumn id="7" name="ForecastMarginPct"/>
    <tableColumn id="8" name="RedProjects"/>
    <tableColumn id="9" name="AvgHealthScore"/>
  </tableColumns>
</table>
</file>

<file path=xl/tables/table13.xml><?xml version="1.0" encoding="utf-8"?>
<table xmlns="http://schemas.openxmlformats.org/spreadsheetml/2006/main" id="13" name="tbl_Projects" displayName="tbl_Projects" ref="A1:BD25" headerRowCount="1" totalsRowCount="0" totalsRowShown="0">
  <autoFilter ref="A1:BD25"/>
  <tableColumns count="56">
    <tableColumn id="1" name="ProjectID"/>
    <tableColumn id="2" name="ProjectName"/>
    <tableColumn id="3" name="ClientID"/>
    <tableColumn id="4" name="ClientName"/>
    <tableColumn id="5" name="Portfolio"/>
    <tableColumn id="6" name="BusinessUnit"/>
    <tableColumn id="7" name="ProjectManagerID"/>
    <tableColumn id="8" name="ProjectManager"/>
    <tableColumn id="9" name="ExecutiveSponsor"/>
    <tableColumn id="10" name="Status"/>
    <tableColumn id="11" name="Phase"/>
    <tableColumn id="12" name="Priority"/>
    <tableColumn id="13" name="ContractType"/>
    <tableColumn id="14" name="StrategicScore"/>
    <tableColumn id="15" name="BaselineStart"/>
    <tableColumn id="16" name="BaselineEnd"/>
    <tableColumn id="17" name="ForecastEnd"/>
    <tableColumn id="18" name="OriginalContractValue"/>
    <tableColumn id="19" name="TargetMarginPct"/>
    <tableColumn id="20" name="PctComplete"/>
    <tableColumn id="21" name="LastStatusUpdate"/>
    <tableColumn id="22" name="ApprovedCRRevenue"/>
    <tableColumn id="23" name="CurrentContractValue"/>
    <tableColumn id="24" name="BaselineBudget"/>
    <tableColumn id="25" name="ApprovedCRCost"/>
    <tableColumn id="26" name="CurrentBudget"/>
    <tableColumn id="27" name="ActualHours"/>
    <tableColumn id="28" name="ActualCost"/>
    <tableColumn id="29" name="ElapsedPct"/>
    <tableColumn id="30" name="EarnedValue"/>
    <tableColumn id="31" name="PlannedValue"/>
    <tableColumn id="32" name="CPI"/>
    <tableColumn id="33" name="SPI"/>
    <tableColumn id="34" name="EAC"/>
    <tableColumn id="35" name="ETC"/>
    <tableColumn id="36" name="VAC"/>
    <tableColumn id="37" name="BudgetBurnPct"/>
    <tableColumn id="38" name="ForecastMarginAmt"/>
    <tableColumn id="39" name="ForecastMarginPct"/>
    <tableColumn id="40" name="MarginVsTarget"/>
    <tableColumn id="41" name="ScheduleSlipDays"/>
    <tableColumn id="42" name="DaysRemaining"/>
    <tableColumn id="43" name="InvoicedToDate"/>
    <tableColumn id="44" name="CollectedToDate"/>
    <tableColumn id="45" name="UnbilledWIP"/>
    <tableColumn id="46" name="OpenRisks"/>
    <tableColumn id="47" name="OpenIssues"/>
    <tableColumn id="48" name="OpenRiskExposure"/>
    <tableColumn id="49" name="PendingCRs"/>
    <tableColumn id="50" name="TeamSize"/>
    <tableColumn id="51" name="NextMilestoneDate"/>
    <tableColumn id="52" name="CostRAG"/>
    <tableColumn id="53" name="ScheduleRAG"/>
    <tableColumn id="54" name="MarginRAG"/>
    <tableColumn id="55" name="OverallRAG"/>
    <tableColumn id="56" name="HealthScore"/>
  </tableColumns>
</table>
</file>

<file path=xl/tables/table14.xml><?xml version="1.0" encoding="utf-8"?>
<table xmlns="http://schemas.openxmlformats.org/spreadsheetml/2006/main" id="14" name="tbl_RAID" displayName="tbl_RAID" ref="A1:S73" headerRowCount="1" totalsRowCount="0" totalsRowShown="0">
  <autoFilter ref="A1:S73"/>
  <tableColumns count="19">
    <tableColumn id="1" name="RAIDID"/>
    <tableColumn id="2" name="ProjectID"/>
    <tableColumn id="3" name="Type"/>
    <tableColumn id="4" name="Category"/>
    <tableColumn id="5" name="Title"/>
    <tableColumn id="6" name="Probability"/>
    <tableColumn id="7" name="Impact"/>
    <tableColumn id="8" name="CostExposure"/>
    <tableColumn id="9" name="OwnerID"/>
    <tableColumn id="10" name="Status"/>
    <tableColumn id="11" name="RaisedDate"/>
    <tableColumn id="12" name="TargetDate"/>
    <tableColumn id="13" name="Mitigation"/>
    <tableColumn id="14" name="OwnerName"/>
    <tableColumn id="15" name="RiskScore"/>
    <tableColumn id="16" name="Severity"/>
    <tableColumn id="17" name="ExpectedExposure"/>
    <tableColumn id="18" name="DaysOpen"/>
    <tableColumn id="19" name="PastTarget"/>
  </tableColumns>
</table>
</file>

<file path=xl/tables/table15.xml><?xml version="1.0" encoding="utf-8"?>
<table xmlns="http://schemas.openxmlformats.org/spreadsheetml/2006/main" id="15" name="tbl_Resources" displayName="tbl_Resources" ref="A1:U64" headerRowCount="1" totalsRowCount="0" totalsRowShown="0">
  <autoFilter ref="A1:U64"/>
  <tableColumns count="21">
    <tableColumn id="1" name="EmployeeID"/>
    <tableColumn id="2" name="FullName"/>
    <tableColumn id="3" name="Role"/>
    <tableColumn id="4" name="Department"/>
    <tableColumn id="5" name="Level"/>
    <tableColumn id="6" name="Location"/>
    <tableColumn id="7" name="EmploymentType"/>
    <tableColumn id="8" name="CostRateHr"/>
    <tableColumn id="9" name="BillRateHr"/>
    <tableColumn id="10" name="WeeklyCapacityHrs"/>
    <tableColumn id="11" name="ManagerID"/>
    <tableColumn id="12" name="ManagerName"/>
    <tableColumn id="13" name="PrimarySkill"/>
    <tableColumn id="14" name="StartDate"/>
    <tableColumn id="15" name="CurrentAllocationPct"/>
    <tableColumn id="16" name="ActiveAssignments"/>
    <tableColumn id="17" name="AvailableHrsPerWeek"/>
    <tableColumn id="18" name="UtilizationStatus"/>
    <tableColumn id="19" name="HoursLoggedYTD"/>
    <tableColumn id="20" name="BillableHoursYTD"/>
    <tableColumn id="21" name="BillableRatioYTD"/>
  </tableColumns>
</table>
</file>

<file path=xl/tables/table16.xml><?xml version="1.0" encoding="utf-8"?>
<table xmlns="http://schemas.openxmlformats.org/spreadsheetml/2006/main" id="16" name="tbl_Settings" displayName="tbl_Settings" ref="A1:D21" headerRowCount="1" totalsRowCount="0" totalsRowShown="0">
  <autoFilter ref="A1:D21"/>
  <tableColumns count="4">
    <tableColumn id="1" name="Setting"/>
    <tableColumn id="2" name="Value"/>
    <tableColumn id="3" name="Unit"/>
    <tableColumn id="4" name="Description"/>
  </tableColumns>
</table>
</file>

<file path=xl/tables/table17.xml><?xml version="1.0" encoding="utf-8"?>
<table xmlns="http://schemas.openxmlformats.org/spreadsheetml/2006/main" id="17" name="tbl_Snapshots" displayName="tbl_Snapshots" ref="A1:O133" headerRowCount="1" totalsRowCount="0" totalsRowShown="0">
  <autoFilter ref="A1:O133"/>
  <tableColumns count="15">
    <tableColumn id="1" name="SnapshotDate"/>
    <tableColumn id="2" name="ProjectID"/>
    <tableColumn id="3" name="Status"/>
    <tableColumn id="4" name="PctComplete"/>
    <tableColumn id="5" name="ActualCostToDate"/>
    <tableColumn id="6" name="CurrentBudget"/>
    <tableColumn id="7" name="EAC"/>
    <tableColumn id="8" name="ForecastMarginPct"/>
    <tableColumn id="9" name="ScheduleSlipDays"/>
    <tableColumn id="10" name="CostRAG"/>
    <tableColumn id="11" name="ScheduleRAG"/>
    <tableColumn id="12" name="MarginRAG"/>
    <tableColumn id="13" name="OverallRAG"/>
    <tableColumn id="14" name="BurnPct"/>
    <tableColumn id="15" name="Snapshot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8" t="s">
        <v>9</v>
      </c>
      <c r="B8" s="5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7" t="s">
        <v>12</v>
      </c>
      <c r="B11" s="5" t="s">
        <v>13</v>
      </c>
    </row>
    <row r="12" customFormat="false" ht="15" hidden="false" customHeight="false" outlineLevel="0" collapsed="false">
      <c r="A12" s="7" t="s">
        <v>14</v>
      </c>
      <c r="B12" s="5" t="s">
        <v>15</v>
      </c>
    </row>
    <row r="13" customFormat="false" ht="15" hidden="false" customHeight="false" outlineLevel="0" collapsed="false">
      <c r="A13" s="7" t="s">
        <v>16</v>
      </c>
      <c r="B13" s="5" t="s">
        <v>17</v>
      </c>
    </row>
    <row r="14" customFormat="false" ht="15" hidden="false" customHeight="false" outlineLevel="0" collapsed="false">
      <c r="A14" s="7" t="s">
        <v>18</v>
      </c>
      <c r="B14" s="5" t="s">
        <v>19</v>
      </c>
    </row>
    <row r="15" customFormat="false" ht="15" hidden="false" customHeight="false" outlineLevel="0" collapsed="false">
      <c r="A15" s="7" t="s">
        <v>20</v>
      </c>
      <c r="B15" s="5" t="s">
        <v>21</v>
      </c>
    </row>
    <row r="16" customFormat="false" ht="15" hidden="false" customHeight="false" outlineLevel="0" collapsed="false">
      <c r="A16" s="7" t="s">
        <v>22</v>
      </c>
      <c r="B16" s="5" t="s">
        <v>23</v>
      </c>
    </row>
    <row r="17" customFormat="false" ht="15" hidden="false" customHeight="false" outlineLevel="0" collapsed="false">
      <c r="A17" s="7" t="s">
        <v>24</v>
      </c>
      <c r="B17" s="5" t="s">
        <v>25</v>
      </c>
    </row>
    <row r="18" customFormat="false" ht="15" hidden="false" customHeight="false" outlineLevel="0" collapsed="false">
      <c r="A18" s="7" t="s">
        <v>26</v>
      </c>
      <c r="B18" s="5" t="s">
        <v>27</v>
      </c>
    </row>
    <row r="19" customFormat="false" ht="15" hidden="false" customHeight="false" outlineLevel="0" collapsed="false">
      <c r="A19" s="7" t="s">
        <v>28</v>
      </c>
      <c r="B19" s="5" t="s">
        <v>29</v>
      </c>
    </row>
    <row r="20" customFormat="false" ht="15" hidden="false" customHeight="false" outlineLevel="0" collapsed="false">
      <c r="A20" s="7" t="s">
        <v>30</v>
      </c>
      <c r="B20" s="5" t="s">
        <v>31</v>
      </c>
    </row>
    <row r="21" customFormat="false" ht="15" hidden="false" customHeight="false" outlineLevel="0" collapsed="false">
      <c r="A21" s="7" t="s">
        <v>32</v>
      </c>
      <c r="B21" s="5" t="s">
        <v>33</v>
      </c>
    </row>
    <row r="22" customFormat="false" ht="15" hidden="false" customHeight="false" outlineLevel="0" collapsed="false">
      <c r="A22" s="7" t="s">
        <v>34</v>
      </c>
      <c r="B22" s="5" t="s">
        <v>35</v>
      </c>
    </row>
    <row r="23" customFormat="false" ht="15" hidden="false" customHeight="false" outlineLevel="0" collapsed="false">
      <c r="A23" s="7" t="s">
        <v>36</v>
      </c>
      <c r="B23" s="5" t="s">
        <v>37</v>
      </c>
    </row>
    <row r="24" customFormat="false" ht="15" hidden="false" customHeight="false" outlineLevel="0" collapsed="false">
      <c r="A24" s="7" t="s">
        <v>38</v>
      </c>
      <c r="B24" s="5" t="s">
        <v>39</v>
      </c>
    </row>
    <row r="26" customFormat="false" ht="15" hidden="false" customHeight="false" outlineLevel="0" collapsed="false">
      <c r="A26" s="3" t="s">
        <v>40</v>
      </c>
    </row>
    <row r="27" customFormat="false" ht="15" hidden="false" customHeight="false" outlineLevel="0" collapsed="false">
      <c r="A27" s="7" t="s">
        <v>41</v>
      </c>
      <c r="B27" s="5" t="s">
        <v>42</v>
      </c>
    </row>
    <row r="28" customFormat="false" ht="15" hidden="false" customHeight="false" outlineLevel="0" collapsed="false">
      <c r="A28" s="7" t="s">
        <v>43</v>
      </c>
      <c r="B28" s="5" t="s">
        <v>44</v>
      </c>
    </row>
    <row r="29" customFormat="false" ht="15" hidden="false" customHeight="false" outlineLevel="0" collapsed="false">
      <c r="A29" s="7" t="s">
        <v>45</v>
      </c>
      <c r="B29" s="5" t="s">
        <v>46</v>
      </c>
    </row>
    <row r="30" customFormat="false" ht="15" hidden="false" customHeight="false" outlineLevel="0" collapsed="false">
      <c r="A30" s="7" t="s">
        <v>47</v>
      </c>
      <c r="B30" s="5" t="s">
        <v>48</v>
      </c>
    </row>
    <row r="32" customFormat="false" ht="15" hidden="false" customHeight="false" outlineLevel="0" collapsed="false">
      <c r="A32" s="3" t="s">
        <v>49</v>
      </c>
    </row>
    <row r="33" customFormat="false" ht="15" hidden="false" customHeight="false" outlineLevel="0" collapsed="false">
      <c r="A33" s="7" t="s">
        <v>50</v>
      </c>
      <c r="B33" s="5" t="s">
        <v>51</v>
      </c>
    </row>
    <row r="34" customFormat="false" ht="15" hidden="false" customHeight="false" outlineLevel="0" collapsed="false">
      <c r="A34" s="7" t="s">
        <v>52</v>
      </c>
      <c r="B34" s="5" t="s">
        <v>53</v>
      </c>
    </row>
    <row r="35" customFormat="false" ht="15" hidden="false" customHeight="false" outlineLevel="0" collapsed="false">
      <c r="A35" s="7" t="s">
        <v>54</v>
      </c>
      <c r="B35" s="5" t="s">
        <v>55</v>
      </c>
    </row>
    <row r="36" customFormat="false" ht="15" hidden="false" customHeight="false" outlineLevel="0" collapsed="false">
      <c r="A36" s="7" t="s">
        <v>56</v>
      </c>
      <c r="B36" s="5" t="s">
        <v>57</v>
      </c>
    </row>
    <row r="37" customFormat="false" ht="23.85" hidden="false" customHeight="false" outlineLevel="0" collapsed="false">
      <c r="A37" s="7" t="s">
        <v>58</v>
      </c>
      <c r="B37" s="5" t="s">
        <v>59</v>
      </c>
    </row>
    <row r="38" customFormat="false" ht="15" hidden="false" customHeight="false" outlineLevel="0" collapsed="false">
      <c r="A38" s="7" t="s">
        <v>60</v>
      </c>
      <c r="B38" s="5" t="s">
        <v>61</v>
      </c>
    </row>
    <row r="39" customFormat="false" ht="15" hidden="false" customHeight="false" outlineLevel="0" collapsed="false">
      <c r="A39" s="7" t="s">
        <v>62</v>
      </c>
      <c r="B39" s="5" t="s">
        <v>63</v>
      </c>
    </row>
    <row r="40" customFormat="false" ht="23.85" hidden="false" customHeight="false" outlineLevel="0" collapsed="false">
      <c r="A40" s="7" t="s">
        <v>64</v>
      </c>
      <c r="B40" s="5" t="s">
        <v>65</v>
      </c>
    </row>
    <row r="42" customFormat="false" ht="15" hidden="false" customHeight="false" outlineLevel="0" collapsed="false">
      <c r="A42" s="3" t="s">
        <v>66</v>
      </c>
    </row>
    <row r="43" customFormat="false" ht="15" hidden="false" customHeight="false" outlineLevel="0" collapsed="false">
      <c r="A43" s="7" t="s">
        <v>67</v>
      </c>
      <c r="B43" s="5" t="s">
        <v>68</v>
      </c>
    </row>
    <row r="44" customFormat="false" ht="15" hidden="false" customHeight="false" outlineLevel="0" collapsed="false">
      <c r="A44" s="7" t="s">
        <v>69</v>
      </c>
      <c r="B44" s="5" t="s">
        <v>70</v>
      </c>
    </row>
    <row r="45" customFormat="false" ht="23.85" hidden="false" customHeight="false" outlineLevel="0" collapsed="false">
      <c r="A45" s="7" t="s">
        <v>71</v>
      </c>
      <c r="B45" s="5" t="s">
        <v>72</v>
      </c>
    </row>
    <row r="46" customFormat="false" ht="15" hidden="false" customHeight="false" outlineLevel="0" collapsed="false">
      <c r="A46" s="7" t="s">
        <v>73</v>
      </c>
      <c r="B46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9" t="s">
        <v>75</v>
      </c>
    </row>
    <row r="2" customFormat="false" ht="15" hidden="false" customHeight="false" outlineLevel="0" collapsed="false">
      <c r="A2" s="10" t="str">
        <f aca="false">"As of "&amp;TEXT(AsOfDate,"d mmm yyyy")&amp;"  |  actuals to "&amp;TEXT(ActualsCutoff,"d mmm yyyy")</f>
        <v>As of 11 Sep 2026  |  actuals to 31 Aug 2026</v>
      </c>
    </row>
    <row r="3" customFormat="false" ht="15" hidden="false" customHeight="false" outlineLevel="0" collapsed="false">
      <c r="A3" s="11" t="s">
        <v>76</v>
      </c>
    </row>
    <row r="5" customFormat="false" ht="15" hidden="false" customHeight="false" outlineLevel="0" collapsed="false">
      <c r="A5" s="7" t="s">
        <v>77</v>
      </c>
      <c r="B5" s="7" t="s">
        <v>78</v>
      </c>
      <c r="C5" s="7" t="s">
        <v>79</v>
      </c>
    </row>
    <row r="6" customFormat="false" ht="15" hidden="false" customHeight="false" outlineLevel="0" collapsed="false">
      <c r="A6" s="12" t="s">
        <v>80</v>
      </c>
      <c r="B6" s="13" t="n">
        <f aca="false">COUNTIF(Projects!$J$2:$J$500,"Active")</f>
        <v>17</v>
      </c>
      <c r="C6" s="11" t="s">
        <v>81</v>
      </c>
    </row>
    <row r="7" customFormat="false" ht="15" hidden="false" customHeight="false" outlineLevel="0" collapsed="false">
      <c r="A7" s="12" t="s">
        <v>82</v>
      </c>
      <c r="B7" s="14" t="n">
        <f aca="false">SUMIFS(Projects!$W$2:$W$500,Projects!$J$2:$J$500,"Active")</f>
        <v>16200000</v>
      </c>
      <c r="C7" s="11" t="s">
        <v>83</v>
      </c>
    </row>
    <row r="8" customFormat="false" ht="15" hidden="false" customHeight="false" outlineLevel="0" collapsed="false">
      <c r="A8" s="12" t="s">
        <v>84</v>
      </c>
      <c r="B8" s="14" t="n">
        <f aca="false">SUMIFS(Projects!$Z$2:$Z$500,Projects!$J$2:$J$500,"Active")</f>
        <v>10875900</v>
      </c>
      <c r="C8" s="11" t="s">
        <v>81</v>
      </c>
    </row>
    <row r="9" customFormat="false" ht="15" hidden="false" customHeight="false" outlineLevel="0" collapsed="false">
      <c r="A9" s="12" t="s">
        <v>85</v>
      </c>
      <c r="B9" s="14" t="n">
        <f aca="false">SUMIFS(Projects!$AB$2:$AB$500,Projects!$J$2:$J$500,"Active")</f>
        <v>7204719.12</v>
      </c>
      <c r="C9" s="11" t="s">
        <v>86</v>
      </c>
    </row>
    <row r="10" customFormat="false" ht="15" hidden="false" customHeight="false" outlineLevel="0" collapsed="false">
      <c r="A10" s="12" t="s">
        <v>87</v>
      </c>
      <c r="B10" s="14" t="n">
        <f aca="false">SUMIFS(Projects!$AH$2:$AH$500,Projects!$J$2:$J$500,"Active")</f>
        <v>11145599.5472266</v>
      </c>
      <c r="C10" s="11" t="s">
        <v>88</v>
      </c>
    </row>
    <row r="11" customFormat="false" ht="15" hidden="false" customHeight="false" outlineLevel="0" collapsed="false">
      <c r="A11" s="12" t="s">
        <v>89</v>
      </c>
      <c r="B11" s="15" t="n">
        <f aca="false">IFERROR((B7-B10)/B7,0)</f>
        <v>0.312000027948977</v>
      </c>
      <c r="C11" s="11" t="s">
        <v>90</v>
      </c>
    </row>
    <row r="12" customFormat="false" ht="15" hidden="false" customHeight="false" outlineLevel="0" collapsed="false">
      <c r="A12" s="12" t="s">
        <v>91</v>
      </c>
      <c r="B12" s="15" t="n">
        <f aca="false">IFERROR(SUMPRODUCT((Projects!$J$2:$J$500="Active")*Projects!$W$2:$W$500*Projects!$S$2:$S$500)/B7,0)</f>
        <v>0.362802469135803</v>
      </c>
      <c r="C12" s="11" t="s">
        <v>81</v>
      </c>
    </row>
    <row r="13" customFormat="false" ht="15" hidden="false" customHeight="false" outlineLevel="0" collapsed="false">
      <c r="A13" s="12" t="s">
        <v>92</v>
      </c>
      <c r="B13" s="13" t="n">
        <f aca="false">COUNTIFS(Projects!$J$2:$J$500,"Active",Projects!$BC$2:$BC$500,"Red")</f>
        <v>4</v>
      </c>
      <c r="C13" s="11" t="s">
        <v>93</v>
      </c>
    </row>
    <row r="14" customFormat="false" ht="15" hidden="false" customHeight="false" outlineLevel="0" collapsed="false">
      <c r="A14" s="12" t="s">
        <v>94</v>
      </c>
      <c r="B14" s="13" t="n">
        <f aca="false">COUNTIFS(Projects!$J$2:$J$500,"Active",Projects!$BC$2:$BC$500,"Amber")</f>
        <v>4</v>
      </c>
      <c r="C14" s="11" t="s">
        <v>95</v>
      </c>
    </row>
    <row r="15" customFormat="false" ht="15" hidden="false" customHeight="false" outlineLevel="0" collapsed="false">
      <c r="A15" s="12" t="s">
        <v>96</v>
      </c>
      <c r="B15" s="13" t="n">
        <f aca="false">COUNTIFS(Projects!$J$2:$J$500,"Active",Projects!$BC$2:$BC$500,"Green")</f>
        <v>9</v>
      </c>
      <c r="C15" s="11" t="s">
        <v>97</v>
      </c>
    </row>
    <row r="16" customFormat="false" ht="15" hidden="false" customHeight="false" outlineLevel="0" collapsed="false">
      <c r="A16" s="12" t="s">
        <v>98</v>
      </c>
      <c r="B16" s="13" t="n">
        <f aca="false">IFERROR(AVERAGEIFS(Projects!$BD$2:$BD$500,Projects!$J$2:$J$500,"Active"),0)</f>
        <v>74.1176470588235</v>
      </c>
      <c r="C16" s="11" t="s">
        <v>99</v>
      </c>
    </row>
    <row r="17" customFormat="false" ht="15" hidden="false" customHeight="false" outlineLevel="0" collapsed="false">
      <c r="A17" s="12" t="s">
        <v>100</v>
      </c>
      <c r="B17" s="16" t="n">
        <f aca="false">IFERROR(AVERAGEIFS(Projects!$AO$2:$AO$500,Projects!$J$2:$J$500,"Active"),0)</f>
        <v>17.9411764705882</v>
      </c>
      <c r="C17" s="11" t="s">
        <v>101</v>
      </c>
    </row>
    <row r="18" customFormat="false" ht="15" hidden="false" customHeight="false" outlineLevel="0" collapsed="false">
      <c r="A18" s="12" t="s">
        <v>102</v>
      </c>
      <c r="B18" s="13" t="n">
        <f aca="false">COUNTIF(Resources!$R$2:$R$500,"Overallocated")</f>
        <v>6</v>
      </c>
      <c r="C18" s="11" t="s">
        <v>103</v>
      </c>
    </row>
    <row r="19" customFormat="false" ht="15" hidden="false" customHeight="false" outlineLevel="0" collapsed="false">
      <c r="A19" s="12" t="s">
        <v>104</v>
      </c>
      <c r="B19" s="13" t="n">
        <f aca="false">COUNTIF(Resources!$R$2:$R$500,"Under-utilized")</f>
        <v>23</v>
      </c>
      <c r="C19" s="11" t="s">
        <v>105</v>
      </c>
    </row>
    <row r="20" customFormat="false" ht="15" hidden="false" customHeight="false" outlineLevel="0" collapsed="false">
      <c r="A20" s="12" t="s">
        <v>106</v>
      </c>
      <c r="B20" s="16" t="n">
        <f aca="false">SUM(Resources!$Q$2:$Q$500)</f>
        <v>720</v>
      </c>
      <c r="C20" s="11" t="s">
        <v>107</v>
      </c>
    </row>
    <row r="21" customFormat="false" ht="15" hidden="false" customHeight="false" outlineLevel="0" collapsed="false">
      <c r="A21" s="12" t="s">
        <v>108</v>
      </c>
      <c r="B21" s="14" t="n">
        <f aca="false">SUMIFS(Invoices!$F$2:$F$2000,Invoices!$K$2:$K$2000,"Outstanding")+SUMIFS(Invoices!$F$2:$F$2000,Invoices!$K$2:$K$2000,"Overdue")</f>
        <v>1937308.92</v>
      </c>
      <c r="C21" s="11" t="s">
        <v>109</v>
      </c>
    </row>
    <row r="22" customFormat="false" ht="15" hidden="false" customHeight="false" outlineLevel="0" collapsed="false">
      <c r="A22" s="12" t="s">
        <v>110</v>
      </c>
      <c r="B22" s="14" t="n">
        <f aca="false">SUMIFS(Invoices!$F$2:$F$2000,Invoices!$K$2:$K$2000,"Overdue")</f>
        <v>789503.99</v>
      </c>
      <c r="C22" s="11" t="s">
        <v>111</v>
      </c>
    </row>
    <row r="23" customFormat="false" ht="15" hidden="false" customHeight="false" outlineLevel="0" collapsed="false">
      <c r="A23" s="12" t="s">
        <v>112</v>
      </c>
      <c r="B23" s="14" t="n">
        <f aca="false">SUMIFS(Projects!$AS$2:$AS$500,Projects!$J$2:$J$500,"Active")</f>
        <v>2117514.41</v>
      </c>
      <c r="C23" s="11" t="s">
        <v>113</v>
      </c>
    </row>
    <row r="24" customFormat="false" ht="15" hidden="false" customHeight="false" outlineLevel="0" collapsed="false">
      <c r="A24" s="12" t="s">
        <v>114</v>
      </c>
      <c r="B24" s="13" t="n">
        <f aca="false">COUNTIFS(RAID!$P$2:$P$2000,"Critical",RAID!$J$2:$J$2000,"&lt;&gt;Closed")</f>
        <v>6</v>
      </c>
      <c r="C24" s="11" t="s">
        <v>115</v>
      </c>
    </row>
    <row r="25" customFormat="false" ht="15" hidden="false" customHeight="false" outlineLevel="0" collapsed="false">
      <c r="A25" s="12" t="s">
        <v>116</v>
      </c>
      <c r="B25" s="14" t="n">
        <f aca="false">SUMIFS(RAID!$Q$2:$Q$2000,RAID!$J$2:$J$2000,"Open")+SUMIFS(RAID!$Q$2:$Q$2000,RAID!$J$2:$J$2000,"Mitigating")</f>
        <v>1632400</v>
      </c>
      <c r="C25" s="11" t="s">
        <v>117</v>
      </c>
    </row>
    <row r="26" customFormat="false" ht="15" hidden="false" customHeight="false" outlineLevel="0" collapsed="false">
      <c r="A26" s="12" t="s">
        <v>118</v>
      </c>
      <c r="B26" s="13" t="n">
        <f aca="false">COUNTIF(ChangeRequests!$P$2:$P$1000,"Yes")</f>
        <v>8</v>
      </c>
      <c r="C26" s="11" t="s">
        <v>119</v>
      </c>
    </row>
    <row r="27" customFormat="false" ht="15" hidden="false" customHeight="false" outlineLevel="0" collapsed="false">
      <c r="A27" s="12" t="s">
        <v>120</v>
      </c>
      <c r="B27" s="14" t="n">
        <f aca="false">SUMIFS(ChangeRequests!$I$2:$I$1000,ChangeRequests!$P$2:$P$1000,"Yes")</f>
        <v>402000</v>
      </c>
      <c r="C27" s="11" t="s">
        <v>119</v>
      </c>
    </row>
    <row r="28" customFormat="false" ht="15" hidden="false" customHeight="false" outlineLevel="0" collapsed="false">
      <c r="A28" s="12" t="s">
        <v>121</v>
      </c>
      <c r="B28" s="13" t="n">
        <f aca="false">COUNTIF(Milestones!$L$2:$L$2000,"Overdue")</f>
        <v>4</v>
      </c>
      <c r="C28" s="11" t="s">
        <v>122</v>
      </c>
    </row>
    <row r="30" customFormat="false" ht="15" hidden="false" customHeight="false" outlineLevel="0" collapsed="false">
      <c r="A30" s="17" t="s">
        <v>123</v>
      </c>
    </row>
    <row r="31" customFormat="false" ht="15" hidden="false" customHeight="false" outlineLevel="0" collapsed="false">
      <c r="A31" s="7" t="s">
        <v>124</v>
      </c>
      <c r="B31" s="7" t="s">
        <v>125</v>
      </c>
      <c r="C31" s="7" t="s">
        <v>126</v>
      </c>
      <c r="D31" s="7" t="s">
        <v>127</v>
      </c>
      <c r="E31" s="7" t="s">
        <v>128</v>
      </c>
      <c r="F31" s="7" t="s">
        <v>129</v>
      </c>
      <c r="G31" s="7" t="s">
        <v>130</v>
      </c>
      <c r="H31" s="7" t="s">
        <v>131</v>
      </c>
      <c r="I31" s="7" t="s">
        <v>132</v>
      </c>
    </row>
    <row r="32" customFormat="false" ht="15" hidden="false" customHeight="false" outlineLevel="0" collapsed="false">
      <c r="A32" s="18" t="s">
        <v>133</v>
      </c>
      <c r="B32" s="13" t="n">
        <f aca="false">COUNTIFS(Projects!$E$2:$E$500,A32,Projects!$J$2:$J$500,"Active")</f>
        <v>4</v>
      </c>
      <c r="C32" s="14" t="n">
        <f aca="false">SUMIFS(Projects!$W$2:$W$500,Projects!$E$2:$E$500,A32,Projects!$J$2:$J$500,"Active")</f>
        <v>3345000</v>
      </c>
      <c r="D32" s="14" t="n">
        <f aca="false">SUMIFS(Projects!$Z$2:$Z$500,Projects!$E$2:$E$500,A32,Projects!$J$2:$J$500,"Active")</f>
        <v>2264800</v>
      </c>
      <c r="E32" s="14" t="n">
        <f aca="false">SUMIFS(Projects!$AB$2:$AB$500,Projects!$E$2:$E$500,A32,Projects!$J$2:$J$500,"Active")</f>
        <v>2077124.5</v>
      </c>
      <c r="F32" s="14" t="n">
        <f aca="false">SUMIFS(Projects!$AH$2:$AH$500,Projects!$E$2:$E$500,A32,Projects!$J$2:$J$500,"Active")</f>
        <v>2459104.5074633</v>
      </c>
      <c r="G32" s="15" t="n">
        <f aca="false">IFERROR((C32-F32)/C32,0)</f>
        <v>0.264841701804695</v>
      </c>
      <c r="H32" s="13" t="n">
        <f aca="false">COUNTIFS(Projects!$E$2:$E$500,A32,Projects!$J$2:$J$500,"Active",Projects!$BC$2:$BC$500,"Red")</f>
        <v>2</v>
      </c>
      <c r="I32" s="13" t="n">
        <f aca="false">IFERROR(AVERAGEIFS(Projects!$BD$2:$BD$500,Projects!$E$2:$E$500,A32,Projects!$J$2:$J$500,"Active"),0)</f>
        <v>50.75</v>
      </c>
    </row>
    <row r="33" customFormat="false" ht="15" hidden="false" customHeight="false" outlineLevel="0" collapsed="false">
      <c r="A33" s="18" t="s">
        <v>134</v>
      </c>
      <c r="B33" s="13" t="n">
        <f aca="false">COUNTIFS(Projects!$E$2:$E$500,A33,Projects!$J$2:$J$500,"Active")</f>
        <v>4</v>
      </c>
      <c r="C33" s="14" t="n">
        <f aca="false">SUMIFS(Projects!$W$2:$W$500,Projects!$E$2:$E$500,A33,Projects!$J$2:$J$500,"Active")</f>
        <v>3765000</v>
      </c>
      <c r="D33" s="14" t="n">
        <f aca="false">SUMIFS(Projects!$Z$2:$Z$500,Projects!$E$2:$E$500,A33,Projects!$J$2:$J$500,"Active")</f>
        <v>2449000</v>
      </c>
      <c r="E33" s="14" t="n">
        <f aca="false">SUMIFS(Projects!$AB$2:$AB$500,Projects!$E$2:$E$500,A33,Projects!$J$2:$J$500,"Active")</f>
        <v>1294670.08</v>
      </c>
      <c r="F33" s="14" t="n">
        <f aca="false">SUMIFS(Projects!$AH$2:$AH$500,Projects!$E$2:$E$500,A33,Projects!$J$2:$J$500,"Active")</f>
        <v>2569291.10497836</v>
      </c>
      <c r="G33" s="15" t="n">
        <f aca="false">IFERROR((C33-F33)/C33,0)</f>
        <v>0.317585363883571</v>
      </c>
      <c r="H33" s="13" t="n">
        <f aca="false">COUNTIFS(Projects!$E$2:$E$500,A33,Projects!$J$2:$J$500,"Active",Projects!$BC$2:$BC$500,"Red")</f>
        <v>1</v>
      </c>
      <c r="I33" s="13" t="n">
        <f aca="false">IFERROR(AVERAGEIFS(Projects!$BD$2:$BD$500,Projects!$E$2:$E$500,A33,Projects!$J$2:$J$500,"Active"),0)</f>
        <v>70.75</v>
      </c>
    </row>
    <row r="34" customFormat="false" ht="15" hidden="false" customHeight="false" outlineLevel="0" collapsed="false">
      <c r="A34" s="18" t="s">
        <v>135</v>
      </c>
      <c r="B34" s="13" t="n">
        <f aca="false">COUNTIFS(Projects!$E$2:$E$500,A34,Projects!$J$2:$J$500,"Active")</f>
        <v>3</v>
      </c>
      <c r="C34" s="14" t="n">
        <f aca="false">SUMIFS(Projects!$W$2:$W$500,Projects!$E$2:$E$500,A34,Projects!$J$2:$J$500,"Active")</f>
        <v>3370000</v>
      </c>
      <c r="D34" s="14" t="n">
        <f aca="false">SUMIFS(Projects!$Z$2:$Z$500,Projects!$E$2:$E$500,A34,Projects!$J$2:$J$500,"Active")</f>
        <v>2218900</v>
      </c>
      <c r="E34" s="14" t="n">
        <f aca="false">SUMIFS(Projects!$AB$2:$AB$500,Projects!$E$2:$E$500,A34,Projects!$J$2:$J$500,"Active")</f>
        <v>1631497.16</v>
      </c>
      <c r="F34" s="14" t="n">
        <f aca="false">SUMIFS(Projects!$AH$2:$AH$500,Projects!$E$2:$E$500,A34,Projects!$J$2:$J$500,"Active")</f>
        <v>2165651.42392228</v>
      </c>
      <c r="G34" s="15" t="n">
        <f aca="false">IFERROR((C34-F34)/C34,0)</f>
        <v>0.357373464711489</v>
      </c>
      <c r="H34" s="13" t="n">
        <f aca="false">COUNTIFS(Projects!$E$2:$E$500,A34,Projects!$J$2:$J$500,"Active",Projects!$BC$2:$BC$500,"Red")</f>
        <v>0</v>
      </c>
      <c r="I34" s="13" t="n">
        <f aca="false">IFERROR(AVERAGEIFS(Projects!$BD$2:$BD$500,Projects!$E$2:$E$500,A34,Projects!$J$2:$J$500,"Active"),0)</f>
        <v>89</v>
      </c>
    </row>
    <row r="35" customFormat="false" ht="15" hidden="false" customHeight="false" outlineLevel="0" collapsed="false">
      <c r="A35" s="18" t="s">
        <v>136</v>
      </c>
      <c r="B35" s="13" t="n">
        <f aca="false">COUNTIFS(Projects!$E$2:$E$500,A35,Projects!$J$2:$J$500,"Active")</f>
        <v>3</v>
      </c>
      <c r="C35" s="14" t="n">
        <f aca="false">SUMIFS(Projects!$W$2:$W$500,Projects!$E$2:$E$500,A35,Projects!$J$2:$J$500,"Active")</f>
        <v>3945000</v>
      </c>
      <c r="D35" s="14" t="n">
        <f aca="false">SUMIFS(Projects!$Z$2:$Z$500,Projects!$E$2:$E$500,A35,Projects!$J$2:$J$500,"Active")</f>
        <v>2739700</v>
      </c>
      <c r="E35" s="14" t="n">
        <f aca="false">SUMIFS(Projects!$AB$2:$AB$500,Projects!$E$2:$E$500,A35,Projects!$J$2:$J$500,"Active")</f>
        <v>1489505.24</v>
      </c>
      <c r="F35" s="14" t="n">
        <f aca="false">SUMIFS(Projects!$AH$2:$AH$500,Projects!$E$2:$E$500,A35,Projects!$J$2:$J$500,"Active")</f>
        <v>2677873.01489774</v>
      </c>
      <c r="G35" s="15" t="n">
        <f aca="false">IFERROR((C35-F35)/C35,0)</f>
        <v>0.321198221825669</v>
      </c>
      <c r="H35" s="13" t="n">
        <f aca="false">COUNTIFS(Projects!$E$2:$E$500,A35,Projects!$J$2:$J$500,"Active",Projects!$BC$2:$BC$500,"Red")</f>
        <v>0</v>
      </c>
      <c r="I35" s="13" t="n">
        <f aca="false">IFERROR(AVERAGEIFS(Projects!$BD$2:$BD$500,Projects!$E$2:$E$500,A35,Projects!$J$2:$J$500,"Active"),0)</f>
        <v>89.6666666666667</v>
      </c>
    </row>
    <row r="36" customFormat="false" ht="15" hidden="false" customHeight="false" outlineLevel="0" collapsed="false">
      <c r="A36" s="18" t="s">
        <v>137</v>
      </c>
      <c r="B36" s="13" t="n">
        <f aca="false">COUNTIFS(Projects!$E$2:$E$500,A36,Projects!$J$2:$J$500,"Active")</f>
        <v>3</v>
      </c>
      <c r="C36" s="14" t="n">
        <f aca="false">SUMIFS(Projects!$W$2:$W$500,Projects!$E$2:$E$500,A36,Projects!$J$2:$J$500,"Active")</f>
        <v>1775000</v>
      </c>
      <c r="D36" s="14" t="n">
        <f aca="false">SUMIFS(Projects!$Z$2:$Z$500,Projects!$E$2:$E$500,A36,Projects!$J$2:$J$500,"Active")</f>
        <v>1203500</v>
      </c>
      <c r="E36" s="14" t="n">
        <f aca="false">SUMIFS(Projects!$AB$2:$AB$500,Projects!$E$2:$E$500,A36,Projects!$J$2:$J$500,"Active")</f>
        <v>711922.14</v>
      </c>
      <c r="F36" s="14" t="n">
        <f aca="false">SUMIFS(Projects!$AH$2:$AH$500,Projects!$E$2:$E$500,A36,Projects!$J$2:$J$500,"Active")</f>
        <v>1273679.49596491</v>
      </c>
      <c r="G36" s="15" t="n">
        <f aca="false">IFERROR((C36-F36)/C36,0)</f>
        <v>0.282434086780331</v>
      </c>
      <c r="H36" s="13" t="n">
        <f aca="false">COUNTIFS(Projects!$E$2:$E$500,A36,Projects!$J$2:$J$500,"Active",Projects!$BC$2:$BC$500,"Red")</f>
        <v>1</v>
      </c>
      <c r="I36" s="13" t="n">
        <f aca="false">IFERROR(AVERAGEIFS(Projects!$BD$2:$BD$500,Projects!$E$2:$E$500,A36,Projects!$J$2:$J$500,"Active"),0)</f>
        <v>79.3333333333333</v>
      </c>
    </row>
    <row r="38" customFormat="false" ht="15" hidden="false" customHeight="false" outlineLevel="0" collapsed="false">
      <c r="A38" s="17" t="s">
        <v>138</v>
      </c>
    </row>
    <row r="39" customFormat="false" ht="15" hidden="false" customHeight="false" outlineLevel="0" collapsed="false">
      <c r="A39" s="7" t="s">
        <v>139</v>
      </c>
      <c r="B39" s="7" t="s">
        <v>140</v>
      </c>
      <c r="C39" s="7" t="s">
        <v>141</v>
      </c>
      <c r="D39" s="7" t="s">
        <v>142</v>
      </c>
      <c r="E39" s="7" t="s">
        <v>143</v>
      </c>
      <c r="F39" s="7" t="s">
        <v>144</v>
      </c>
      <c r="G39" s="7" t="s">
        <v>145</v>
      </c>
      <c r="H39" s="7" t="s">
        <v>146</v>
      </c>
    </row>
    <row r="40" customFormat="false" ht="15" hidden="false" customHeight="false" outlineLevel="0" collapsed="false">
      <c r="A40" s="19" t="n">
        <v>45930</v>
      </c>
      <c r="B40" s="14" t="n">
        <f aca="false">SUMIFS(Actuals!$J$2:$J$6000,Actuals!$B$2:$B$6000,A40,Actuals!$D$2:$D$6000,"Labour")</f>
        <v>226537.33</v>
      </c>
      <c r="C40" s="14" t="n">
        <f aca="false">SUMIFS(Actuals!$J$2:$J$6000,Actuals!$B$2:$B$6000,A40)-B40</f>
        <v>60878.79</v>
      </c>
      <c r="D40" s="14" t="n">
        <f aca="false">B40+C40</f>
        <v>287416.12</v>
      </c>
      <c r="E40" s="16" t="n">
        <f aca="false">SUMIFS(Actuals!$H$2:$H$6000,Actuals!$B$2:$B$6000,A40)</f>
        <v>2508.1</v>
      </c>
      <c r="F40" s="14" t="n">
        <f aca="false">SUMIFS(Actuals!$M$2:$M$6000,Actuals!$B$2:$B$6000,A40)</f>
        <v>440100</v>
      </c>
      <c r="G40" s="14" t="n">
        <f aca="false">SUMIFS(Invoices!$F$2:$F$2000,Invoices!$D$2:$D$2000,"&gt;"&amp;EOMONTH(A40,-1),Invoices!$D$2:$D$2000,"&lt;="&amp;A40)</f>
        <v>222055.56</v>
      </c>
      <c r="H40" s="14" t="n">
        <f aca="false">SUMIFS(Invoices!$F$2:$F$2000,Invoices!$G$2:$G$2000,"&gt;"&amp;EOMONTH(A40,-1),Invoices!$G$2:$G$2000,"&lt;="&amp;A40)</f>
        <v>124000</v>
      </c>
    </row>
    <row r="41" customFormat="false" ht="15" hidden="false" customHeight="false" outlineLevel="0" collapsed="false">
      <c r="A41" s="19" t="n">
        <v>45961</v>
      </c>
      <c r="B41" s="14" t="n">
        <f aca="false">SUMIFS(Actuals!$J$2:$J$6000,Actuals!$B$2:$B$6000,A41,Actuals!$D$2:$D$6000,"Labour")</f>
        <v>308954.55</v>
      </c>
      <c r="C41" s="14" t="n">
        <f aca="false">SUMIFS(Actuals!$J$2:$J$6000,Actuals!$B$2:$B$6000,A41)-B41</f>
        <v>60021.69</v>
      </c>
      <c r="D41" s="14" t="n">
        <f aca="false">B41+C41</f>
        <v>368976.24</v>
      </c>
      <c r="E41" s="16" t="n">
        <f aca="false">SUMIFS(Actuals!$H$2:$H$6000,Actuals!$B$2:$B$6000,A41)</f>
        <v>3627.6</v>
      </c>
      <c r="F41" s="14" t="n">
        <f aca="false">SUMIFS(Actuals!$M$2:$M$6000,Actuals!$B$2:$B$6000,A41)</f>
        <v>589236.5</v>
      </c>
      <c r="G41" s="14" t="n">
        <f aca="false">SUMIFS(Invoices!$F$2:$F$2000,Invoices!$D$2:$D$2000,"&gt;"&amp;EOMONTH(A41,-1),Invoices!$D$2:$D$2000,"&lt;="&amp;A41)</f>
        <v>327691.25</v>
      </c>
      <c r="H41" s="14" t="n">
        <f aca="false">SUMIFS(Invoices!$F$2:$F$2000,Invoices!$G$2:$G$2000,"&gt;"&amp;EOMONTH(A41,-1),Invoices!$G$2:$G$2000,"&lt;="&amp;A41)</f>
        <v>399635.69</v>
      </c>
    </row>
    <row r="42" customFormat="false" ht="15" hidden="false" customHeight="false" outlineLevel="0" collapsed="false">
      <c r="A42" s="19" t="n">
        <v>45991</v>
      </c>
      <c r="B42" s="14" t="n">
        <f aca="false">SUMIFS(Actuals!$J$2:$J$6000,Actuals!$B$2:$B$6000,A42,Actuals!$D$2:$D$6000,"Labour")</f>
        <v>338524.28</v>
      </c>
      <c r="C42" s="14" t="n">
        <f aca="false">SUMIFS(Actuals!$J$2:$J$6000,Actuals!$B$2:$B$6000,A42)-B42</f>
        <v>113878.9</v>
      </c>
      <c r="D42" s="14" t="n">
        <f aca="false">B42+C42</f>
        <v>452403.18</v>
      </c>
      <c r="E42" s="16" t="n">
        <f aca="false">SUMIFS(Actuals!$H$2:$H$6000,Actuals!$B$2:$B$6000,A42)</f>
        <v>3956.9</v>
      </c>
      <c r="F42" s="14" t="n">
        <f aca="false">SUMIFS(Actuals!$M$2:$M$6000,Actuals!$B$2:$B$6000,A42)</f>
        <v>648146.5</v>
      </c>
      <c r="G42" s="14" t="n">
        <f aca="false">SUMIFS(Invoices!$F$2:$F$2000,Invoices!$D$2:$D$2000,"&gt;"&amp;EOMONTH(A42,-1),Invoices!$D$2:$D$2000,"&lt;="&amp;A42)</f>
        <v>287739.67</v>
      </c>
      <c r="H42" s="14" t="n">
        <f aca="false">SUMIFS(Invoices!$F$2:$F$2000,Invoices!$G$2:$G$2000,"&gt;"&amp;EOMONTH(A42,-1),Invoices!$G$2:$G$2000,"&lt;="&amp;A42)</f>
        <v>161111.12</v>
      </c>
    </row>
    <row r="43" customFormat="false" ht="15" hidden="false" customHeight="false" outlineLevel="0" collapsed="false">
      <c r="A43" s="19" t="n">
        <v>46022</v>
      </c>
      <c r="B43" s="14" t="n">
        <f aca="false">SUMIFS(Actuals!$J$2:$J$6000,Actuals!$B$2:$B$6000,A43,Actuals!$D$2:$D$6000,"Labour")</f>
        <v>451604.36</v>
      </c>
      <c r="C43" s="14" t="n">
        <f aca="false">SUMIFS(Actuals!$J$2:$J$6000,Actuals!$B$2:$B$6000,A43)-B43</f>
        <v>76822.1900000001</v>
      </c>
      <c r="D43" s="14" t="n">
        <f aca="false">B43+C43</f>
        <v>528426.55</v>
      </c>
      <c r="E43" s="16" t="n">
        <f aca="false">SUMIFS(Actuals!$H$2:$H$6000,Actuals!$B$2:$B$6000,A43)</f>
        <v>5293.6</v>
      </c>
      <c r="F43" s="14" t="n">
        <f aca="false">SUMIFS(Actuals!$M$2:$M$6000,Actuals!$B$2:$B$6000,A43)</f>
        <v>872226.5</v>
      </c>
      <c r="G43" s="14" t="n">
        <f aca="false">SUMIFS(Invoices!$F$2:$F$2000,Invoices!$D$2:$D$2000,"&gt;"&amp;EOMONTH(A43,-1),Invoices!$D$2:$D$2000,"&lt;="&amp;A43)</f>
        <v>1143552.15</v>
      </c>
      <c r="H43" s="14" t="n">
        <f aca="false">SUMIFS(Invoices!$F$2:$F$2000,Invoices!$G$2:$G$2000,"&gt;"&amp;EOMONTH(A43,-1),Invoices!$G$2:$G$2000,"&lt;="&amp;A43)</f>
        <v>528868.46</v>
      </c>
    </row>
    <row r="44" customFormat="false" ht="15" hidden="false" customHeight="false" outlineLevel="0" collapsed="false">
      <c r="A44" s="19" t="n">
        <v>46053</v>
      </c>
      <c r="B44" s="14" t="n">
        <f aca="false">SUMIFS(Actuals!$J$2:$J$6000,Actuals!$B$2:$B$6000,A44,Actuals!$D$2:$D$6000,"Labour")</f>
        <v>497834.41</v>
      </c>
      <c r="C44" s="14" t="n">
        <f aca="false">SUMIFS(Actuals!$J$2:$J$6000,Actuals!$B$2:$B$6000,A44)-B44</f>
        <v>87184.61</v>
      </c>
      <c r="D44" s="14" t="n">
        <f aca="false">B44+C44</f>
        <v>585019.02</v>
      </c>
      <c r="E44" s="16" t="n">
        <f aca="false">SUMIFS(Actuals!$H$2:$H$6000,Actuals!$B$2:$B$6000,A44)</f>
        <v>5871.3</v>
      </c>
      <c r="F44" s="14" t="n">
        <f aca="false">SUMIFS(Actuals!$M$2:$M$6000,Actuals!$B$2:$B$6000,A44)</f>
        <v>950566</v>
      </c>
      <c r="G44" s="14" t="n">
        <f aca="false">SUMIFS(Invoices!$F$2:$F$2000,Invoices!$D$2:$D$2000,"&gt;"&amp;EOMONTH(A44,-1),Invoices!$D$2:$D$2000,"&lt;="&amp;A44)</f>
        <v>530581.74</v>
      </c>
      <c r="H44" s="14" t="n">
        <f aca="false">SUMIFS(Invoices!$F$2:$F$2000,Invoices!$G$2:$G$2000,"&gt;"&amp;EOMONTH(A44,-1),Invoices!$G$2:$G$2000,"&lt;="&amp;A44)</f>
        <v>848791.2</v>
      </c>
    </row>
    <row r="45" customFormat="false" ht="15" hidden="false" customHeight="false" outlineLevel="0" collapsed="false">
      <c r="A45" s="19" t="n">
        <v>46081</v>
      </c>
      <c r="B45" s="14" t="n">
        <f aca="false">SUMIFS(Actuals!$J$2:$J$6000,Actuals!$B$2:$B$6000,A45,Actuals!$D$2:$D$6000,"Labour")</f>
        <v>569847.6</v>
      </c>
      <c r="C45" s="14" t="n">
        <f aca="false">SUMIFS(Actuals!$J$2:$J$6000,Actuals!$B$2:$B$6000,A45)-B45</f>
        <v>107260.81</v>
      </c>
      <c r="D45" s="14" t="n">
        <f aca="false">B45+C45</f>
        <v>677108.41</v>
      </c>
      <c r="E45" s="16" t="n">
        <f aca="false">SUMIFS(Actuals!$H$2:$H$6000,Actuals!$B$2:$B$6000,A45)</f>
        <v>6692.9</v>
      </c>
      <c r="F45" s="14" t="n">
        <f aca="false">SUMIFS(Actuals!$M$2:$M$6000,Actuals!$B$2:$B$6000,A45)</f>
        <v>1094059</v>
      </c>
      <c r="G45" s="14" t="n">
        <f aca="false">SUMIFS(Invoices!$F$2:$F$2000,Invoices!$D$2:$D$2000,"&gt;"&amp;EOMONTH(A45,-1),Invoices!$D$2:$D$2000,"&lt;="&amp;A45)</f>
        <v>824162.77</v>
      </c>
      <c r="H45" s="14" t="n">
        <f aca="false">SUMIFS(Invoices!$F$2:$F$2000,Invoices!$G$2:$G$2000,"&gt;"&amp;EOMONTH(A45,-1),Invoices!$G$2:$G$2000,"&lt;="&amp;A45)</f>
        <v>600753.08</v>
      </c>
    </row>
    <row r="46" customFormat="false" ht="15" hidden="false" customHeight="false" outlineLevel="0" collapsed="false">
      <c r="A46" s="19" t="n">
        <v>46112</v>
      </c>
      <c r="B46" s="14" t="n">
        <f aca="false">SUMIFS(Actuals!$J$2:$J$6000,Actuals!$B$2:$B$6000,A46,Actuals!$D$2:$D$6000,"Labour")</f>
        <v>715100.43</v>
      </c>
      <c r="C46" s="14" t="n">
        <f aca="false">SUMIFS(Actuals!$J$2:$J$6000,Actuals!$B$2:$B$6000,A46)-B46</f>
        <v>142395.94</v>
      </c>
      <c r="D46" s="14" t="n">
        <f aca="false">B46+C46</f>
        <v>857496.37</v>
      </c>
      <c r="E46" s="16" t="n">
        <f aca="false">SUMIFS(Actuals!$H$2:$H$6000,Actuals!$B$2:$B$6000,A46)</f>
        <v>8495.3</v>
      </c>
      <c r="F46" s="14" t="n">
        <f aca="false">SUMIFS(Actuals!$M$2:$M$6000,Actuals!$B$2:$B$6000,A46)</f>
        <v>1375508</v>
      </c>
      <c r="G46" s="14" t="n">
        <f aca="false">SUMIFS(Invoices!$F$2:$F$2000,Invoices!$D$2:$D$2000,"&gt;"&amp;EOMONTH(A46,-1),Invoices!$D$2:$D$2000,"&lt;="&amp;A46)</f>
        <v>734835.08</v>
      </c>
      <c r="H46" s="14" t="n">
        <f aca="false">SUMIFS(Invoices!$F$2:$F$2000,Invoices!$G$2:$G$2000,"&gt;"&amp;EOMONTH(A46,-1),Invoices!$G$2:$G$2000,"&lt;="&amp;A46)</f>
        <v>890179.04</v>
      </c>
    </row>
    <row r="47" customFormat="false" ht="15" hidden="false" customHeight="false" outlineLevel="0" collapsed="false">
      <c r="A47" s="19" t="n">
        <v>46142</v>
      </c>
      <c r="B47" s="14" t="n">
        <f aca="false">SUMIFS(Actuals!$J$2:$J$6000,Actuals!$B$2:$B$6000,A47,Actuals!$D$2:$D$6000,"Labour")</f>
        <v>755200.62</v>
      </c>
      <c r="C47" s="14" t="n">
        <f aca="false">SUMIFS(Actuals!$J$2:$J$6000,Actuals!$B$2:$B$6000,A47)-B47</f>
        <v>205185.93</v>
      </c>
      <c r="D47" s="14" t="n">
        <f aca="false">B47+C47</f>
        <v>960386.55</v>
      </c>
      <c r="E47" s="16" t="n">
        <f aca="false">SUMIFS(Actuals!$H$2:$H$6000,Actuals!$B$2:$B$6000,A47)</f>
        <v>8986.2</v>
      </c>
      <c r="F47" s="14" t="n">
        <f aca="false">SUMIFS(Actuals!$M$2:$M$6000,Actuals!$B$2:$B$6000,A47)</f>
        <v>1450093</v>
      </c>
      <c r="G47" s="14" t="n">
        <f aca="false">SUMIFS(Invoices!$F$2:$F$2000,Invoices!$D$2:$D$2000,"&gt;"&amp;EOMONTH(A47,-1),Invoices!$D$2:$D$2000,"&lt;="&amp;A47)</f>
        <v>922901.46</v>
      </c>
      <c r="H47" s="14" t="n">
        <f aca="false">SUMIFS(Invoices!$F$2:$F$2000,Invoices!$G$2:$G$2000,"&gt;"&amp;EOMONTH(A47,-1),Invoices!$G$2:$G$2000,"&lt;="&amp;A47)</f>
        <v>412835.19</v>
      </c>
    </row>
    <row r="48" customFormat="false" ht="15" hidden="false" customHeight="false" outlineLevel="0" collapsed="false">
      <c r="A48" s="19" t="n">
        <v>46173</v>
      </c>
      <c r="B48" s="14" t="n">
        <f aca="false">SUMIFS(Actuals!$J$2:$J$6000,Actuals!$B$2:$B$6000,A48,Actuals!$D$2:$D$6000,"Labour")</f>
        <v>721440.5</v>
      </c>
      <c r="C48" s="14" t="n">
        <f aca="false">SUMIFS(Actuals!$J$2:$J$6000,Actuals!$B$2:$B$6000,A48)-B48</f>
        <v>156690.34</v>
      </c>
      <c r="D48" s="14" t="n">
        <f aca="false">B48+C48</f>
        <v>878130.84</v>
      </c>
      <c r="E48" s="16" t="n">
        <f aca="false">SUMIFS(Actuals!$H$2:$H$6000,Actuals!$B$2:$B$6000,A48)</f>
        <v>8546.1</v>
      </c>
      <c r="F48" s="14" t="n">
        <f aca="false">SUMIFS(Actuals!$M$2:$M$6000,Actuals!$B$2:$B$6000,A48)</f>
        <v>1379447.5</v>
      </c>
      <c r="G48" s="14" t="n">
        <f aca="false">SUMIFS(Invoices!$F$2:$F$2000,Invoices!$D$2:$D$2000,"&gt;"&amp;EOMONTH(A48,-1),Invoices!$D$2:$D$2000,"&lt;="&amp;A48)</f>
        <v>1067186.06</v>
      </c>
      <c r="H48" s="14" t="n">
        <f aca="false">SUMIFS(Invoices!$F$2:$F$2000,Invoices!$G$2:$G$2000,"&gt;"&amp;EOMONTH(A48,-1),Invoices!$G$2:$G$2000,"&lt;="&amp;A48)</f>
        <v>1270401.46</v>
      </c>
    </row>
    <row r="49" customFormat="false" ht="15" hidden="false" customHeight="false" outlineLevel="0" collapsed="false">
      <c r="A49" s="19" t="n">
        <v>46203</v>
      </c>
      <c r="B49" s="14" t="n">
        <f aca="false">SUMIFS(Actuals!$J$2:$J$6000,Actuals!$B$2:$B$6000,A49,Actuals!$D$2:$D$6000,"Labour")</f>
        <v>746624.31</v>
      </c>
      <c r="C49" s="14" t="n">
        <f aca="false">SUMIFS(Actuals!$J$2:$J$6000,Actuals!$B$2:$B$6000,A49)-B49</f>
        <v>151714.79</v>
      </c>
      <c r="D49" s="14" t="n">
        <f aca="false">B49+C49</f>
        <v>898339.1</v>
      </c>
      <c r="E49" s="16" t="n">
        <f aca="false">SUMIFS(Actuals!$H$2:$H$6000,Actuals!$B$2:$B$6000,A49)</f>
        <v>8801.9</v>
      </c>
      <c r="F49" s="14" t="n">
        <f aca="false">SUMIFS(Actuals!$M$2:$M$6000,Actuals!$B$2:$B$6000,A49)</f>
        <v>1443917.5</v>
      </c>
      <c r="G49" s="14" t="n">
        <f aca="false">SUMIFS(Invoices!$F$2:$F$2000,Invoices!$D$2:$D$2000,"&gt;"&amp;EOMONTH(A49,-1),Invoices!$D$2:$D$2000,"&lt;="&amp;A49)</f>
        <v>1331587.49</v>
      </c>
      <c r="H49" s="14" t="n">
        <f aca="false">SUMIFS(Invoices!$F$2:$F$2000,Invoices!$G$2:$G$2000,"&gt;"&amp;EOMONTH(A49,-1),Invoices!$G$2:$G$2000,"&lt;="&amp;A49)</f>
        <v>670630.5</v>
      </c>
    </row>
    <row r="50" customFormat="false" ht="15" hidden="false" customHeight="false" outlineLevel="0" collapsed="false">
      <c r="A50" s="19" t="n">
        <v>46234</v>
      </c>
      <c r="B50" s="14" t="n">
        <f aca="false">SUMIFS(Actuals!$J$2:$J$6000,Actuals!$B$2:$B$6000,A50,Actuals!$D$2:$D$6000,"Labour")</f>
        <v>767116.61</v>
      </c>
      <c r="C50" s="14" t="n">
        <f aca="false">SUMIFS(Actuals!$J$2:$J$6000,Actuals!$B$2:$B$6000,A50)-B50</f>
        <v>154180.86</v>
      </c>
      <c r="D50" s="14" t="n">
        <f aca="false">B50+C50</f>
        <v>921297.47</v>
      </c>
      <c r="E50" s="16" t="n">
        <f aca="false">SUMIFS(Actuals!$H$2:$H$6000,Actuals!$B$2:$B$6000,A50)</f>
        <v>9005.7</v>
      </c>
      <c r="F50" s="14" t="n">
        <f aca="false">SUMIFS(Actuals!$M$2:$M$6000,Actuals!$B$2:$B$6000,A50)</f>
        <v>1478260.5</v>
      </c>
      <c r="G50" s="14" t="n">
        <f aca="false">SUMIFS(Invoices!$F$2:$F$2000,Invoices!$D$2:$D$2000,"&gt;"&amp;EOMONTH(A50,-1),Invoices!$D$2:$D$2000,"&lt;="&amp;A50)</f>
        <v>1627762.79</v>
      </c>
      <c r="H50" s="14" t="n">
        <f aca="false">SUMIFS(Invoices!$F$2:$F$2000,Invoices!$G$2:$G$2000,"&gt;"&amp;EOMONTH(A50,-1),Invoices!$G$2:$G$2000,"&lt;="&amp;A50)</f>
        <v>1403118.79</v>
      </c>
    </row>
    <row r="51" customFormat="false" ht="15" hidden="false" customHeight="false" outlineLevel="0" collapsed="false">
      <c r="A51" s="19" t="n">
        <v>46265</v>
      </c>
      <c r="B51" s="14" t="n">
        <f aca="false">SUMIFS(Actuals!$J$2:$J$6000,Actuals!$B$2:$B$6000,A51,Actuals!$D$2:$D$6000,"Labour")</f>
        <v>709187.36</v>
      </c>
      <c r="C51" s="14" t="n">
        <f aca="false">SUMIFS(Actuals!$J$2:$J$6000,Actuals!$B$2:$B$6000,A51)-B51</f>
        <v>153370.12</v>
      </c>
      <c r="D51" s="14" t="n">
        <f aca="false">B51+C51</f>
        <v>862557.48</v>
      </c>
      <c r="E51" s="16" t="n">
        <f aca="false">SUMIFS(Actuals!$H$2:$H$6000,Actuals!$B$2:$B$6000,A51)</f>
        <v>8321.5</v>
      </c>
      <c r="F51" s="14" t="n">
        <f aca="false">SUMIFS(Actuals!$M$2:$M$6000,Actuals!$B$2:$B$6000,A51)</f>
        <v>1365848.5</v>
      </c>
      <c r="G51" s="14" t="n">
        <f aca="false">SUMIFS(Invoices!$F$2:$F$2000,Invoices!$D$2:$D$2000,"&gt;"&amp;EOMONTH(A51,-1),Invoices!$D$2:$D$2000,"&lt;="&amp;A51)</f>
        <v>721864.92</v>
      </c>
      <c r="H51" s="14" t="n">
        <f aca="false">SUMIFS(Invoices!$F$2:$F$2000,Invoices!$G$2:$G$2000,"&gt;"&amp;EOMONTH(A51,-1),Invoices!$G$2:$G$2000,"&lt;="&amp;A51)</f>
        <v>765692.15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B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1" min="10" style="0" width="10"/>
    <col collapsed="false" customWidth="true" hidden="false" outlineLevel="0" max="12" min="12" style="0" width="7"/>
    <col collapsed="false" customWidth="true" hidden="false" outlineLevel="0" max="13" min="13" style="0" width="15"/>
    <col collapsed="false" customWidth="true" hidden="false" outlineLevel="0" max="14" min="14" style="0" width="9"/>
    <col collapsed="false" customWidth="true" hidden="false" outlineLevel="0" max="17" min="15" style="0" width="11"/>
    <col collapsed="false" customWidth="true" hidden="false" outlineLevel="0" max="18" min="18" style="0" width="14"/>
    <col collapsed="false" customWidth="true" hidden="false" outlineLevel="0" max="20" min="19" style="0" width="9"/>
    <col collapsed="false" customWidth="true" hidden="false" outlineLevel="0" max="21" min="21" style="0" width="11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3"/>
    <col collapsed="false" customWidth="true" hidden="false" outlineLevel="0" max="25" min="25" style="0" width="12"/>
    <col collapsed="false" customWidth="true" hidden="false" outlineLevel="0" max="26" min="26" style="0" width="13"/>
    <col collapsed="false" customWidth="true" hidden="false" outlineLevel="0" max="27" min="27" style="0" width="11"/>
    <col collapsed="false" customWidth="true" hidden="false" outlineLevel="0" max="28" min="28" style="0" width="13"/>
    <col collapsed="false" customWidth="true" hidden="false" outlineLevel="0" max="29" min="29" style="0" width="9"/>
    <col collapsed="false" customWidth="true" hidden="false" outlineLevel="0" max="31" min="30" style="0" width="13"/>
    <col collapsed="false" customWidth="true" hidden="false" outlineLevel="0" max="33" min="32" style="0" width="7"/>
    <col collapsed="false" customWidth="true" hidden="false" outlineLevel="0" max="35" min="34" style="0" width="13"/>
    <col collapsed="false" customWidth="true" hidden="false" outlineLevel="0" max="36" min="36" style="0" width="12"/>
    <col collapsed="false" customWidth="true" hidden="false" outlineLevel="0" max="37" min="37" style="0" width="9"/>
    <col collapsed="false" customWidth="true" hidden="false" outlineLevel="0" max="38" min="38" style="0" width="13"/>
    <col collapsed="false" customWidth="true" hidden="false" outlineLevel="0" max="42" min="39" style="0" width="9"/>
    <col collapsed="false" customWidth="true" hidden="false" outlineLevel="0" max="44" min="43" style="0" width="13"/>
    <col collapsed="false" customWidth="true" hidden="false" outlineLevel="0" max="45" min="45" style="0" width="12"/>
    <col collapsed="false" customWidth="true" hidden="false" outlineLevel="0" max="47" min="46" style="0" width="8"/>
    <col collapsed="false" customWidth="true" hidden="false" outlineLevel="0" max="48" min="48" style="0" width="13"/>
    <col collapsed="false" customWidth="true" hidden="false" outlineLevel="0" max="49" min="49" style="0" width="8"/>
    <col collapsed="false" customWidth="true" hidden="false" outlineLevel="0" max="50" min="50" style="0" width="7"/>
    <col collapsed="false" customWidth="true" hidden="false" outlineLevel="0" max="51" min="51" style="0" width="11"/>
    <col collapsed="false" customWidth="true" hidden="false" outlineLevel="0" max="52" min="52" style="0" width="8"/>
    <col collapsed="false" customWidth="true" hidden="false" outlineLevel="0" max="53" min="53" style="0" width="9"/>
    <col collapsed="false" customWidth="true" hidden="false" outlineLevel="0" max="56" min="54" style="0" width="8"/>
  </cols>
  <sheetData>
    <row r="1" customFormat="false" ht="30" hidden="false" customHeight="true" outlineLevel="0" collapsed="false">
      <c r="A1" s="20" t="s">
        <v>41</v>
      </c>
      <c r="B1" s="20" t="s">
        <v>147</v>
      </c>
      <c r="C1" s="20" t="s">
        <v>45</v>
      </c>
      <c r="D1" s="20" t="s">
        <v>148</v>
      </c>
      <c r="E1" s="20" t="s">
        <v>124</v>
      </c>
      <c r="F1" s="20" t="s">
        <v>149</v>
      </c>
      <c r="G1" s="20" t="s">
        <v>150</v>
      </c>
      <c r="H1" s="20" t="s">
        <v>151</v>
      </c>
      <c r="I1" s="20" t="s">
        <v>152</v>
      </c>
      <c r="J1" s="20" t="s">
        <v>153</v>
      </c>
      <c r="K1" s="20" t="s">
        <v>154</v>
      </c>
      <c r="L1" s="20" t="s">
        <v>155</v>
      </c>
      <c r="M1" s="20" t="s">
        <v>156</v>
      </c>
      <c r="N1" s="20" t="s">
        <v>157</v>
      </c>
      <c r="O1" s="20" t="s">
        <v>158</v>
      </c>
      <c r="P1" s="20" t="s">
        <v>159</v>
      </c>
      <c r="Q1" s="20" t="s">
        <v>160</v>
      </c>
      <c r="R1" s="20" t="s">
        <v>161</v>
      </c>
      <c r="S1" s="20" t="s">
        <v>162</v>
      </c>
      <c r="T1" s="20" t="s">
        <v>163</v>
      </c>
      <c r="U1" s="20" t="s">
        <v>164</v>
      </c>
      <c r="V1" s="20" t="s">
        <v>165</v>
      </c>
      <c r="W1" s="20" t="s">
        <v>166</v>
      </c>
      <c r="X1" s="20" t="s">
        <v>167</v>
      </c>
      <c r="Y1" s="20" t="s">
        <v>168</v>
      </c>
      <c r="Z1" s="20" t="s">
        <v>169</v>
      </c>
      <c r="AA1" s="20" t="s">
        <v>170</v>
      </c>
      <c r="AB1" s="20" t="s">
        <v>128</v>
      </c>
      <c r="AC1" s="20" t="s">
        <v>171</v>
      </c>
      <c r="AD1" s="20" t="s">
        <v>172</v>
      </c>
      <c r="AE1" s="20" t="s">
        <v>173</v>
      </c>
      <c r="AF1" s="20" t="s">
        <v>174</v>
      </c>
      <c r="AG1" s="20" t="s">
        <v>175</v>
      </c>
      <c r="AH1" s="20" t="s">
        <v>129</v>
      </c>
      <c r="AI1" s="20" t="s">
        <v>176</v>
      </c>
      <c r="AJ1" s="20" t="s">
        <v>177</v>
      </c>
      <c r="AK1" s="20" t="s">
        <v>178</v>
      </c>
      <c r="AL1" s="20" t="s">
        <v>179</v>
      </c>
      <c r="AM1" s="20" t="s">
        <v>130</v>
      </c>
      <c r="AN1" s="20" t="s">
        <v>180</v>
      </c>
      <c r="AO1" s="20" t="s">
        <v>181</v>
      </c>
      <c r="AP1" s="20" t="s">
        <v>182</v>
      </c>
      <c r="AQ1" s="20" t="s">
        <v>183</v>
      </c>
      <c r="AR1" s="20" t="s">
        <v>184</v>
      </c>
      <c r="AS1" s="20" t="s">
        <v>185</v>
      </c>
      <c r="AT1" s="20" t="s">
        <v>186</v>
      </c>
      <c r="AU1" s="20" t="s">
        <v>187</v>
      </c>
      <c r="AV1" s="20" t="s">
        <v>188</v>
      </c>
      <c r="AW1" s="20" t="s">
        <v>189</v>
      </c>
      <c r="AX1" s="20" t="s">
        <v>190</v>
      </c>
      <c r="AY1" s="20" t="s">
        <v>191</v>
      </c>
      <c r="AZ1" s="20" t="s">
        <v>192</v>
      </c>
      <c r="BA1" s="20" t="s">
        <v>193</v>
      </c>
      <c r="BB1" s="20" t="s">
        <v>194</v>
      </c>
      <c r="BC1" s="20" t="s">
        <v>195</v>
      </c>
      <c r="BD1" s="20" t="s">
        <v>196</v>
      </c>
    </row>
    <row r="2" customFormat="false" ht="15" hidden="false" customHeight="false" outlineLevel="0" collapsed="false">
      <c r="A2" s="18" t="s">
        <v>197</v>
      </c>
      <c r="B2" s="18" t="s">
        <v>198</v>
      </c>
      <c r="C2" s="18" t="s">
        <v>199</v>
      </c>
      <c r="D2" s="21" t="str">
        <f aca="false">IFERROR(INDEX(Clients!$B$2:$B$200,MATCH(C2,Clients!$A$2:$A$200,0)),"Unknown client")</f>
        <v>Northgate Health Network</v>
      </c>
      <c r="E2" s="18" t="s">
        <v>133</v>
      </c>
      <c r="F2" s="18" t="s">
        <v>200</v>
      </c>
      <c r="G2" s="18" t="s">
        <v>201</v>
      </c>
      <c r="H2" s="21" t="str">
        <f aca="false">IFERROR(INDEX(Resources!$B$2:$B$500,MATCH(G2,Resources!$A$2:$A$500,0)),"")</f>
        <v>Aisha Tremblay</v>
      </c>
      <c r="I2" s="18" t="s">
        <v>202</v>
      </c>
      <c r="J2" s="18" t="s">
        <v>203</v>
      </c>
      <c r="K2" s="18" t="s">
        <v>204</v>
      </c>
      <c r="L2" s="18" t="s">
        <v>205</v>
      </c>
      <c r="M2" s="18" t="s">
        <v>206</v>
      </c>
      <c r="N2" s="22" t="n">
        <v>7</v>
      </c>
      <c r="O2" s="19" t="n">
        <v>45964</v>
      </c>
      <c r="P2" s="19" t="n">
        <v>46325</v>
      </c>
      <c r="Q2" s="19" t="n">
        <v>46329</v>
      </c>
      <c r="R2" s="23" t="n">
        <v>1100000</v>
      </c>
      <c r="S2" s="24" t="n">
        <v>0.34</v>
      </c>
      <c r="T2" s="24" t="n">
        <v>0.87</v>
      </c>
      <c r="U2" s="19" t="n">
        <v>46272</v>
      </c>
      <c r="V2" s="14" t="n">
        <f aca="false">SUMIFS(ChangeRequests!$H$2:$H$1000,ChangeRequests!$B$2:$B$1000,A2,ChangeRequests!$G$2:$G$1000,"Approved")</f>
        <v>35000</v>
      </c>
      <c r="W2" s="14" t="n">
        <f aca="false">R2+V2</f>
        <v>1135000</v>
      </c>
      <c r="X2" s="14" t="n">
        <f aca="false">SUMIFS(Budget!$E$2:$E$2000,Budget!$B$2:$B$2000,A2)</f>
        <v>726500</v>
      </c>
      <c r="Y2" s="14" t="n">
        <f aca="false">SUMIFS(ChangeRequests!$I$2:$I$1000,ChangeRequests!$B$2:$B$1000,A2,ChangeRequests!$G$2:$G$1000,"Approved")</f>
        <v>22000</v>
      </c>
      <c r="Z2" s="14" t="n">
        <f aca="false">X2+Y2</f>
        <v>748500</v>
      </c>
      <c r="AA2" s="16" t="n">
        <f aca="false">SUMIFS(Actuals!$H$2:$H$6000,Actuals!$C$2:$C$6000,A2)</f>
        <v>5585</v>
      </c>
      <c r="AB2" s="14" t="n">
        <f aca="false">SUMIFS(Actuals!$J$2:$J$6000,Actuals!$C$2:$C$6000,A2)</f>
        <v>569689.28</v>
      </c>
      <c r="AC2" s="15" t="n">
        <f aca="false">IF(J2="Completed",1,IF(AsOfDate&lt;=O2,0,MIN(1,(AsOfDate-O2)/MAX(1,P2-O2))))</f>
        <v>0.864265927977839</v>
      </c>
      <c r="AD2" s="14" t="n">
        <f aca="false">T2*Z2</f>
        <v>651195</v>
      </c>
      <c r="AE2" s="14" t="n">
        <f aca="false">AC2*Z2</f>
        <v>646903.047091413</v>
      </c>
      <c r="AF2" s="25" t="n">
        <f aca="false">IF(AB2=0,1,AD2/AB2)</f>
        <v>1.14307048221093</v>
      </c>
      <c r="AG2" s="25" t="n">
        <f aca="false">IF(AE2=0,1,AD2/AE2)</f>
        <v>1.00663461538462</v>
      </c>
      <c r="AH2" s="14" t="n">
        <f aca="false">IF(J2="Completed",AB2,IF(T2&lt;0.05,MAX(Z2,AB2),AB2/T2))</f>
        <v>654815.264367816</v>
      </c>
      <c r="AI2" s="14" t="n">
        <f aca="false">MAX(0,AH2-AB2)</f>
        <v>85125.9843678161</v>
      </c>
      <c r="AJ2" s="14" t="n">
        <f aca="false">Z2-AH2</f>
        <v>93684.7356321839</v>
      </c>
      <c r="AK2" s="15" t="n">
        <f aca="false">IF(Z2=0,0,AB2/Z2)</f>
        <v>0.76110792251169</v>
      </c>
      <c r="AL2" s="14" t="n">
        <f aca="false">W2-AH2</f>
        <v>480184.735632184</v>
      </c>
      <c r="AM2" s="15" t="n">
        <f aca="false">IF(W2=0,0,AL2/W2)</f>
        <v>0.423070251658312</v>
      </c>
      <c r="AN2" s="15" t="n">
        <f aca="false">AM2-S2</f>
        <v>0.0830702516583117</v>
      </c>
      <c r="AO2" s="26" t="n">
        <f aca="false">Q2-P2</f>
        <v>4</v>
      </c>
      <c r="AP2" s="26" t="n">
        <f aca="false">IF(J2="Completed",0,MAX(0,Q2-AsOfDate))</f>
        <v>53</v>
      </c>
      <c r="AQ2" s="14" t="n">
        <f aca="false">SUMIFS(Invoices!$F$2:$F$2000,Invoices!$B$2:$B$2000,A2)</f>
        <v>660000</v>
      </c>
      <c r="AR2" s="14" t="n">
        <f aca="false">SUMIFS(Invoices!$F$2:$F$2000,Invoices!$B$2:$B$2000,A2,Invoices!$K$2:$K$2000,"Paid")</f>
        <v>660000</v>
      </c>
      <c r="AS2" s="14" t="n">
        <f aca="false">T2*W2-AQ2</f>
        <v>327450</v>
      </c>
      <c r="AT2" s="13" t="n">
        <f aca="false">COUNTIFS(RAID!$B$2:$B$2000,A2,RAID!$C$2:$C$2000,"Risk",RAID!$J$2:$J$2000,"&lt;&gt;Closed")</f>
        <v>0</v>
      </c>
      <c r="AU2" s="13" t="n">
        <f aca="false">COUNTIFS(RAID!$B$2:$B$2000,A2,RAID!$C$2:$C$2000,"Issue",RAID!$J$2:$J$2000,"&lt;&gt;Closed")</f>
        <v>0</v>
      </c>
      <c r="AV2" s="14" t="n">
        <f aca="false">SUMIFS(RAID!$Q$2:$Q$2000,RAID!$B$2:$B$2000,A2,RAID!$J$2:$J$2000,"&lt;&gt;Closed")</f>
        <v>0</v>
      </c>
      <c r="AW2" s="13" t="n">
        <f aca="false">COUNTIFS(ChangeRequests!$B$2:$B$1000,A2,ChangeRequests!$P$2:$P$1000,"Yes")</f>
        <v>0</v>
      </c>
      <c r="AX2" s="13" t="n">
        <f aca="false">COUNTIFS(Allocations!$B$2:$B$2000,A2,Allocations!$K$2:$K$2000,"Yes")</f>
        <v>4</v>
      </c>
      <c r="AY2" s="27" t="n">
        <f aca="false">IF(COUNTIFS(Milestones!$B$2:$B$2000,A2,Milestones!$L$2:$L$2000,"&lt;&gt;Completed")=0,"",_xlfn.MINIFS(Milestones!$F$2:$F$2000,Milestones!$B$2:$B$2000,A2,Milestones!$L$2:$L$2000,"&lt;&gt;Completed"))</f>
        <v>46293</v>
      </c>
      <c r="AZ2" s="12" t="str">
        <f aca="false">IF(J2="Planned","N/A",IF(AK2-T2&gt;RAG_CostRed,"Red",IF(AK2-T2&gt;RAG_CostAmber,"Amber","Green")))</f>
        <v>Green</v>
      </c>
      <c r="BA2" s="12" t="str">
        <f aca="false">IF(J2="Planned","N/A",IF(AO2&gt;RAG_ScheduleRedDays,"Red",IF(AO2&gt;RAG_ScheduleAmberDays,"Amber","Green")))</f>
        <v>Green</v>
      </c>
      <c r="BB2" s="12" t="str">
        <f aca="false">IF(J2="Planned","N/A",IF(AM2&lt;MarginFloor,"Red",IF(AM2&lt;S2-MarginTolerance,"Amber","Green")))</f>
        <v>Green</v>
      </c>
      <c r="BC2" s="12" t="str">
        <f aca="false">IF(J2="Planned","N/A",IF(OR(AZ2="Red",BA2="Red",BB2="Red"),"Red",IF(OR(AZ2="Amber",BA2="Amber",BB2="Amber"),"Amber","Green")))</f>
        <v>Green</v>
      </c>
      <c r="BD2" s="13" t="n">
        <f aca="false">IF(J2="Planned","",MAX(0,ROUND(100-MAX(0,AK2-T2)*150-MAX(0,AO2)*0.4-MAX(0,S2-AM2)*150,0)))</f>
        <v>98</v>
      </c>
    </row>
    <row r="3" customFormat="false" ht="15" hidden="false" customHeight="false" outlineLevel="0" collapsed="false">
      <c r="A3" s="18" t="s">
        <v>207</v>
      </c>
      <c r="B3" s="18" t="s">
        <v>208</v>
      </c>
      <c r="C3" s="18" t="s">
        <v>209</v>
      </c>
      <c r="D3" s="21" t="str">
        <f aca="false">IFERROR(INDEX(Clients!$B$2:$B$200,MATCH(C3,Clients!$A$2:$A$200,0)),"Unknown client")</f>
        <v>Crestline Insurance</v>
      </c>
      <c r="E3" s="18" t="s">
        <v>137</v>
      </c>
      <c r="F3" s="18" t="s">
        <v>210</v>
      </c>
      <c r="G3" s="18" t="s">
        <v>211</v>
      </c>
      <c r="H3" s="21" t="str">
        <f aca="false">IFERROR(INDEX(Resources!$B$2:$B$500,MATCH(G3,Resources!$A$2:$A$500,0)),"")</f>
        <v>Liam Roy</v>
      </c>
      <c r="I3" s="18" t="s">
        <v>212</v>
      </c>
      <c r="J3" s="18" t="s">
        <v>203</v>
      </c>
      <c r="K3" s="18" t="s">
        <v>213</v>
      </c>
      <c r="L3" s="18" t="s">
        <v>214</v>
      </c>
      <c r="M3" s="18" t="s">
        <v>206</v>
      </c>
      <c r="N3" s="22" t="n">
        <v>7</v>
      </c>
      <c r="O3" s="19" t="n">
        <v>46034</v>
      </c>
      <c r="P3" s="19" t="n">
        <v>46374</v>
      </c>
      <c r="Q3" s="19" t="n">
        <v>46391</v>
      </c>
      <c r="R3" s="23" t="n">
        <v>685000</v>
      </c>
      <c r="S3" s="24" t="n">
        <v>0.32</v>
      </c>
      <c r="T3" s="24" t="n">
        <v>0.57</v>
      </c>
      <c r="U3" s="19" t="n">
        <v>46271</v>
      </c>
      <c r="V3" s="14" t="n">
        <f aca="false">SUMIFS(ChangeRequests!$H$2:$H$1000,ChangeRequests!$B$2:$B$1000,A3,ChangeRequests!$G$2:$G$1000,"Approved")</f>
        <v>85000</v>
      </c>
      <c r="W3" s="14" t="n">
        <f aca="false">R3+V3</f>
        <v>770000</v>
      </c>
      <c r="X3" s="14" t="n">
        <f aca="false">SUMIFS(Budget!$E$2:$E$2000,Budget!$B$2:$B$2000,A3)</f>
        <v>466100</v>
      </c>
      <c r="Y3" s="14" t="n">
        <f aca="false">SUMIFS(ChangeRequests!$I$2:$I$1000,ChangeRequests!$B$2:$B$1000,A3,ChangeRequests!$G$2:$G$1000,"Approved")</f>
        <v>70000</v>
      </c>
      <c r="Z3" s="14" t="n">
        <f aca="false">X3+Y3</f>
        <v>536100</v>
      </c>
      <c r="AA3" s="16" t="n">
        <f aca="false">SUMIFS(Actuals!$H$2:$H$6000,Actuals!$C$2:$C$6000,A3)</f>
        <v>4086.4</v>
      </c>
      <c r="AB3" s="14" t="n">
        <f aca="false">SUMIFS(Actuals!$J$2:$J$6000,Actuals!$C$2:$C$6000,A3)</f>
        <v>382554.58</v>
      </c>
      <c r="AC3" s="15" t="n">
        <f aca="false">IF(J3="Completed",1,IF(AsOfDate&lt;=O3,0,MIN(1,(AsOfDate-O3)/MAX(1,P3-O3))))</f>
        <v>0.711764705882353</v>
      </c>
      <c r="AD3" s="14" t="n">
        <f aca="false">T3*Z3</f>
        <v>305577</v>
      </c>
      <c r="AE3" s="14" t="n">
        <f aca="false">AC3*Z3</f>
        <v>381577.058823529</v>
      </c>
      <c r="AF3" s="25" t="n">
        <f aca="false">IF(AB3=0,1,AD3/AB3)</f>
        <v>0.798780137464306</v>
      </c>
      <c r="AG3" s="25" t="n">
        <f aca="false">IF(AE3=0,1,AD3/AE3)</f>
        <v>0.800826446280992</v>
      </c>
      <c r="AH3" s="14" t="n">
        <f aca="false">IF(J3="Completed",AB3,IF(T3&lt;0.05,MAX(Z3,AB3),AB3/T3))</f>
        <v>671148.385964912</v>
      </c>
      <c r="AI3" s="14" t="n">
        <f aca="false">MAX(0,AH3-AB3)</f>
        <v>288593.805964912</v>
      </c>
      <c r="AJ3" s="14" t="n">
        <f aca="false">Z3-AH3</f>
        <v>-135048.385964912</v>
      </c>
      <c r="AK3" s="15" t="n">
        <f aca="false">IF(Z3=0,0,AB3/Z3)</f>
        <v>0.713588099235217</v>
      </c>
      <c r="AL3" s="14" t="n">
        <f aca="false">W3-AH3</f>
        <v>98851.6140350876</v>
      </c>
      <c r="AM3" s="15" t="n">
        <f aca="false">IF(W3=0,0,AL3/W3)</f>
        <v>0.128378719526088</v>
      </c>
      <c r="AN3" s="15" t="n">
        <f aca="false">AM3-S3</f>
        <v>-0.191621280473912</v>
      </c>
      <c r="AO3" s="26" t="n">
        <f aca="false">Q3-P3</f>
        <v>17</v>
      </c>
      <c r="AP3" s="26" t="n">
        <f aca="false">IF(J3="Completed",0,MAX(0,Q3-AsOfDate))</f>
        <v>115</v>
      </c>
      <c r="AQ3" s="14" t="n">
        <f aca="false">SUMIFS(Invoices!$F$2:$F$2000,Invoices!$B$2:$B$2000,A3)</f>
        <v>205500</v>
      </c>
      <c r="AR3" s="14" t="n">
        <f aca="false">SUMIFS(Invoices!$F$2:$F$2000,Invoices!$B$2:$B$2000,A3,Invoices!$K$2:$K$2000,"Paid")</f>
        <v>205500</v>
      </c>
      <c r="AS3" s="14" t="n">
        <f aca="false">T3*W3-AQ3</f>
        <v>233400</v>
      </c>
      <c r="AT3" s="13" t="n">
        <f aca="false">COUNTIFS(RAID!$B$2:$B$2000,A3,RAID!$C$2:$C$2000,"Risk",RAID!$J$2:$J$2000,"&lt;&gt;Closed")</f>
        <v>3</v>
      </c>
      <c r="AU3" s="13" t="n">
        <f aca="false">COUNTIFS(RAID!$B$2:$B$2000,A3,RAID!$C$2:$C$2000,"Issue",RAID!$J$2:$J$2000,"&lt;&gt;Closed")</f>
        <v>0</v>
      </c>
      <c r="AV3" s="14" t="n">
        <f aca="false">SUMIFS(RAID!$Q$2:$Q$2000,RAID!$B$2:$B$2000,A3,RAID!$J$2:$J$2000,"&lt;&gt;Closed")</f>
        <v>105800</v>
      </c>
      <c r="AW3" s="13" t="n">
        <f aca="false">COUNTIFS(ChangeRequests!$B$2:$B$1000,A3,ChangeRequests!$P$2:$P$1000,"Yes")</f>
        <v>1</v>
      </c>
      <c r="AX3" s="13" t="n">
        <f aca="false">COUNTIFS(Allocations!$B$2:$B$2000,A3,Allocations!$K$2:$K$2000,"Yes")</f>
        <v>6</v>
      </c>
      <c r="AY3" s="27" t="n">
        <f aca="false">IF(COUNTIFS(Milestones!$B$2:$B$2000,A3,Milestones!$L$2:$L$2000,"&lt;&gt;Completed")=0,"",_xlfn.MINIFS(Milestones!$F$2:$F$2000,Milestones!$B$2:$B$2000,A3,Milestones!$L$2:$L$2000,"&lt;&gt;Completed"))</f>
        <v>46269</v>
      </c>
      <c r="AZ3" s="12" t="str">
        <f aca="false">IF(J3="Planned","N/A",IF(AK3-T3&gt;RAG_CostRed,"Red",IF(AK3-T3&gt;RAG_CostAmber,"Amber","Green")))</f>
        <v>Amber</v>
      </c>
      <c r="BA3" s="12" t="str">
        <f aca="false">IF(J3="Planned","N/A",IF(AO3&gt;RAG_ScheduleRedDays,"Red",IF(AO3&gt;RAG_ScheduleAmberDays,"Amber","Green")))</f>
        <v>Amber</v>
      </c>
      <c r="BB3" s="12" t="str">
        <f aca="false">IF(J3="Planned","N/A",IF(AM3&lt;MarginFloor,"Red",IF(AM3&lt;S3-MarginTolerance,"Amber","Green")))</f>
        <v>Red</v>
      </c>
      <c r="BC3" s="12" t="str">
        <f aca="false">IF(J3="Planned","N/A",IF(OR(AZ3="Red",BA3="Red",BB3="Red"),"Red",IF(OR(AZ3="Amber",BA3="Amber",BB3="Amber"),"Amber","Green")))</f>
        <v>Red</v>
      </c>
      <c r="BD3" s="13" t="n">
        <f aca="false">IF(J3="Planned","",MAX(0,ROUND(100-MAX(0,AK3-T3)*150-MAX(0,AO3)*0.4-MAX(0,S3-AM3)*150,0)))</f>
        <v>43</v>
      </c>
    </row>
    <row r="4" customFormat="false" ht="15" hidden="false" customHeight="false" outlineLevel="0" collapsed="false">
      <c r="A4" s="18" t="s">
        <v>215</v>
      </c>
      <c r="B4" s="18" t="s">
        <v>216</v>
      </c>
      <c r="C4" s="18" t="s">
        <v>217</v>
      </c>
      <c r="D4" s="21" t="str">
        <f aca="false">IFERROR(INDEX(Clients!$B$2:$B$200,MATCH(C4,Clients!$A$2:$A$200,0)),"Unknown client")</f>
        <v>Maple Ridge Financial</v>
      </c>
      <c r="E4" s="18" t="s">
        <v>134</v>
      </c>
      <c r="F4" s="18" t="s">
        <v>210</v>
      </c>
      <c r="G4" s="18" t="s">
        <v>218</v>
      </c>
      <c r="H4" s="21" t="str">
        <f aca="false">IFERROR(INDEX(Resources!$B$2:$B$500,MATCH(G4,Resources!$A$2:$A$500,0)),"")</f>
        <v>Mei Fraser</v>
      </c>
      <c r="I4" s="18" t="s">
        <v>219</v>
      </c>
      <c r="J4" s="18" t="s">
        <v>203</v>
      </c>
      <c r="K4" s="18" t="s">
        <v>213</v>
      </c>
      <c r="L4" s="18" t="s">
        <v>220</v>
      </c>
      <c r="M4" s="18" t="s">
        <v>221</v>
      </c>
      <c r="N4" s="22" t="n">
        <v>10</v>
      </c>
      <c r="O4" s="19" t="n">
        <v>45908</v>
      </c>
      <c r="P4" s="19" t="n">
        <v>46353</v>
      </c>
      <c r="Q4" s="19" t="n">
        <v>46394</v>
      </c>
      <c r="R4" s="23" t="n">
        <v>1165000</v>
      </c>
      <c r="S4" s="24" t="n">
        <v>0.42</v>
      </c>
      <c r="T4" s="24" t="n">
        <v>0.66</v>
      </c>
      <c r="U4" s="19" t="n">
        <v>46270</v>
      </c>
      <c r="V4" s="14" t="n">
        <f aca="false">SUMIFS(ChangeRequests!$H$2:$H$1000,ChangeRequests!$B$2:$B$1000,A4,ChangeRequests!$G$2:$G$1000,"Approved")</f>
        <v>180000</v>
      </c>
      <c r="W4" s="14" t="n">
        <f aca="false">R4+V4</f>
        <v>1345000</v>
      </c>
      <c r="X4" s="14" t="n">
        <f aca="false">SUMIFS(Budget!$E$2:$E$2000,Budget!$B$2:$B$2000,A4)</f>
        <v>769600</v>
      </c>
      <c r="Y4" s="14" t="n">
        <f aca="false">SUMIFS(ChangeRequests!$I$2:$I$1000,ChangeRequests!$B$2:$B$1000,A4,ChangeRequests!$G$2:$G$1000,"Approved")</f>
        <v>110000</v>
      </c>
      <c r="Z4" s="14" t="n">
        <f aca="false">X4+Y4</f>
        <v>879600</v>
      </c>
      <c r="AA4" s="16" t="n">
        <f aca="false">SUMIFS(Actuals!$H$2:$H$6000,Actuals!$C$2:$C$6000,A4)</f>
        <v>5722.4</v>
      </c>
      <c r="AB4" s="14" t="n">
        <f aca="false">SUMIFS(Actuals!$J$2:$J$6000,Actuals!$C$2:$C$6000,A4)</f>
        <v>614808.15</v>
      </c>
      <c r="AC4" s="15" t="n">
        <f aca="false">IF(J4="Completed",1,IF(AsOfDate&lt;=O4,0,MIN(1,(AsOfDate-O4)/MAX(1,P4-O4))))</f>
        <v>0.826966292134831</v>
      </c>
      <c r="AD4" s="14" t="n">
        <f aca="false">T4*Z4</f>
        <v>580536</v>
      </c>
      <c r="AE4" s="14" t="n">
        <f aca="false">AC4*Z4</f>
        <v>727399.550561798</v>
      </c>
      <c r="AF4" s="25" t="n">
        <f aca="false">IF(AB4=0,1,AD4/AB4)</f>
        <v>0.944255537276141</v>
      </c>
      <c r="AG4" s="25" t="n">
        <f aca="false">IF(AE4=0,1,AD4/AE4)</f>
        <v>0.798097826086957</v>
      </c>
      <c r="AH4" s="14" t="n">
        <f aca="false">IF(J4="Completed",AB4,IF(T4&lt;0.05,MAX(Z4,AB4),AB4/T4))</f>
        <v>931527.5</v>
      </c>
      <c r="AI4" s="14" t="n">
        <f aca="false">MAX(0,AH4-AB4)</f>
        <v>316719.35</v>
      </c>
      <c r="AJ4" s="14" t="n">
        <f aca="false">Z4-AH4</f>
        <v>-51927.5</v>
      </c>
      <c r="AK4" s="15" t="n">
        <f aca="false">IF(Z4=0,0,AB4/Z4)</f>
        <v>0.698963335607094</v>
      </c>
      <c r="AL4" s="14" t="n">
        <f aca="false">W4-AH4</f>
        <v>413472.5</v>
      </c>
      <c r="AM4" s="15" t="n">
        <f aca="false">IF(W4=0,0,AL4/W4)</f>
        <v>0.307414498141264</v>
      </c>
      <c r="AN4" s="15" t="n">
        <f aca="false">AM4-S4</f>
        <v>-0.112585501858736</v>
      </c>
      <c r="AO4" s="26" t="n">
        <f aca="false">Q4-P4</f>
        <v>41</v>
      </c>
      <c r="AP4" s="26" t="n">
        <f aca="false">IF(J4="Completed",0,MAX(0,Q4-AsOfDate))</f>
        <v>118</v>
      </c>
      <c r="AQ4" s="14" t="n">
        <f aca="false">SUMIFS(Invoices!$F$2:$F$2000,Invoices!$B$2:$B$2000,A4)</f>
        <v>1061258.45</v>
      </c>
      <c r="AR4" s="14" t="n">
        <f aca="false">SUMIFS(Invoices!$F$2:$F$2000,Invoices!$B$2:$B$2000,A4,Invoices!$K$2:$K$2000,"Paid")</f>
        <v>875084.78</v>
      </c>
      <c r="AS4" s="14" t="n">
        <f aca="false">T4*W4-AQ4</f>
        <v>-173558.45</v>
      </c>
      <c r="AT4" s="13" t="n">
        <f aca="false">COUNTIFS(RAID!$B$2:$B$2000,A4,RAID!$C$2:$C$2000,"Risk",RAID!$J$2:$J$2000,"&lt;&gt;Closed")</f>
        <v>2</v>
      </c>
      <c r="AU4" s="13" t="n">
        <f aca="false">COUNTIFS(RAID!$B$2:$B$2000,A4,RAID!$C$2:$C$2000,"Issue",RAID!$J$2:$J$2000,"&lt;&gt;Closed")</f>
        <v>0</v>
      </c>
      <c r="AV4" s="14" t="n">
        <f aca="false">SUMIFS(RAID!$Q$2:$Q$2000,RAID!$B$2:$B$2000,A4,RAID!$J$2:$J$2000,"&lt;&gt;Closed")</f>
        <v>108800</v>
      </c>
      <c r="AW4" s="13" t="n">
        <f aca="false">COUNTIFS(ChangeRequests!$B$2:$B$1000,A4,ChangeRequests!$P$2:$P$1000,"Yes")</f>
        <v>1</v>
      </c>
      <c r="AX4" s="13" t="n">
        <f aca="false">COUNTIFS(Allocations!$B$2:$B$2000,A4,Allocations!$K$2:$K$2000,"Yes")</f>
        <v>5</v>
      </c>
      <c r="AY4" s="27" t="n">
        <f aca="false">IF(COUNTIFS(Milestones!$B$2:$B$2000,A4,Milestones!$L$2:$L$2000,"&lt;&gt;Completed")=0,"",_xlfn.MINIFS(Milestones!$F$2:$F$2000,Milestones!$B$2:$B$2000,A4,Milestones!$L$2:$L$2000,"&lt;&gt;Completed"))</f>
        <v>46263</v>
      </c>
      <c r="AZ4" s="12" t="str">
        <f aca="false">IF(J4="Planned","N/A",IF(AK4-T4&gt;RAG_CostRed,"Red",IF(AK4-T4&gt;RAG_CostAmber,"Amber","Green")))</f>
        <v>Green</v>
      </c>
      <c r="BA4" s="12" t="str">
        <f aca="false">IF(J4="Planned","N/A",IF(AO4&gt;RAG_ScheduleRedDays,"Red",IF(AO4&gt;RAG_ScheduleAmberDays,"Amber","Green")))</f>
        <v>Amber</v>
      </c>
      <c r="BB4" s="12" t="str">
        <f aca="false">IF(J4="Planned","N/A",IF(AM4&lt;MarginFloor,"Red",IF(AM4&lt;S4-MarginTolerance,"Amber","Green")))</f>
        <v>Amber</v>
      </c>
      <c r="BC4" s="12" t="str">
        <f aca="false">IF(J4="Planned","N/A",IF(OR(AZ4="Red",BA4="Red",BB4="Red"),"Red",IF(OR(AZ4="Amber",BA4="Amber",BB4="Amber"),"Amber","Green")))</f>
        <v>Amber</v>
      </c>
      <c r="BD4" s="13" t="n">
        <f aca="false">IF(J4="Planned","",MAX(0,ROUND(100-MAX(0,AK4-T4)*150-MAX(0,AO4)*0.4-MAX(0,S4-AM4)*150,0)))</f>
        <v>61</v>
      </c>
    </row>
    <row r="5" customFormat="false" ht="15" hidden="false" customHeight="false" outlineLevel="0" collapsed="false">
      <c r="A5" s="18" t="s">
        <v>222</v>
      </c>
      <c r="B5" s="18" t="s">
        <v>223</v>
      </c>
      <c r="C5" s="18" t="s">
        <v>224</v>
      </c>
      <c r="D5" s="21" t="str">
        <f aca="false">IFERROR(INDEX(Clients!$B$2:$B$200,MATCH(C5,Clients!$A$2:$A$200,0)),"Unknown client")</f>
        <v>Harbourview Logistics</v>
      </c>
      <c r="E5" s="18" t="s">
        <v>135</v>
      </c>
      <c r="F5" s="18" t="s">
        <v>225</v>
      </c>
      <c r="G5" s="18" t="s">
        <v>226</v>
      </c>
      <c r="H5" s="21" t="str">
        <f aca="false">IFERROR(INDEX(Resources!$B$2:$B$500,MATCH(G5,Resources!$A$2:$A$500,0)),"")</f>
        <v>Noah Rahimi</v>
      </c>
      <c r="I5" s="18" t="s">
        <v>227</v>
      </c>
      <c r="J5" s="18" t="s">
        <v>203</v>
      </c>
      <c r="K5" s="18" t="s">
        <v>213</v>
      </c>
      <c r="L5" s="18" t="s">
        <v>214</v>
      </c>
      <c r="M5" s="18" t="s">
        <v>206</v>
      </c>
      <c r="N5" s="22" t="n">
        <v>6</v>
      </c>
      <c r="O5" s="19" t="n">
        <v>46055</v>
      </c>
      <c r="P5" s="19" t="n">
        <v>46416</v>
      </c>
      <c r="Q5" s="19" t="n">
        <v>46422</v>
      </c>
      <c r="R5" s="23" t="n">
        <v>1155000</v>
      </c>
      <c r="S5" s="24" t="n">
        <v>0.36</v>
      </c>
      <c r="T5" s="24" t="n">
        <v>0.61</v>
      </c>
      <c r="U5" s="19" t="n">
        <v>46269</v>
      </c>
      <c r="V5" s="14" t="n">
        <f aca="false">SUMIFS(ChangeRequests!$H$2:$H$1000,ChangeRequests!$B$2:$B$1000,A5,ChangeRequests!$G$2:$G$1000,"Approved")</f>
        <v>0</v>
      </c>
      <c r="W5" s="14" t="n">
        <f aca="false">R5+V5</f>
        <v>1155000</v>
      </c>
      <c r="X5" s="14" t="n">
        <f aca="false">SUMIFS(Budget!$E$2:$E$2000,Budget!$B$2:$B$2000,A5)</f>
        <v>738500</v>
      </c>
      <c r="Y5" s="14" t="n">
        <f aca="false">SUMIFS(ChangeRequests!$I$2:$I$1000,ChangeRequests!$B$2:$B$1000,A5,ChangeRequests!$G$2:$G$1000,"Approved")</f>
        <v>0</v>
      </c>
      <c r="Z5" s="14" t="n">
        <f aca="false">X5+Y5</f>
        <v>738500</v>
      </c>
      <c r="AA5" s="16" t="n">
        <f aca="false">SUMIFS(Actuals!$H$2:$H$6000,Actuals!$C$2:$C$6000,A5)</f>
        <v>2972.5</v>
      </c>
      <c r="AB5" s="14" t="n">
        <f aca="false">SUMIFS(Actuals!$J$2:$J$6000,Actuals!$C$2:$C$6000,A5)</f>
        <v>440837.72</v>
      </c>
      <c r="AC5" s="15" t="n">
        <f aca="false">IF(J5="Completed",1,IF(AsOfDate&lt;=O5,0,MIN(1,(AsOfDate-O5)/MAX(1,P5-O5))))</f>
        <v>0.61218836565097</v>
      </c>
      <c r="AD5" s="14" t="n">
        <f aca="false">T5*Z5</f>
        <v>450485</v>
      </c>
      <c r="AE5" s="14" t="n">
        <f aca="false">AC5*Z5</f>
        <v>452101.108033241</v>
      </c>
      <c r="AF5" s="25" t="n">
        <f aca="false">IF(AB5=0,1,AD5/AB5)</f>
        <v>1.02188397127179</v>
      </c>
      <c r="AG5" s="25" t="n">
        <f aca="false">IF(AE5=0,1,AD5/AE5)</f>
        <v>0.996425339366516</v>
      </c>
      <c r="AH5" s="14" t="n">
        <f aca="false">IF(J5="Completed",AB5,IF(T5&lt;0.05,MAX(Z5,AB5),AB5/T5))</f>
        <v>722684.786885246</v>
      </c>
      <c r="AI5" s="14" t="n">
        <f aca="false">MAX(0,AH5-AB5)</f>
        <v>281847.066885246</v>
      </c>
      <c r="AJ5" s="14" t="n">
        <f aca="false">Z5-AH5</f>
        <v>15815.2131147542</v>
      </c>
      <c r="AK5" s="15" t="n">
        <f aca="false">IF(Z5=0,0,AB5/Z5)</f>
        <v>0.596936655382532</v>
      </c>
      <c r="AL5" s="14" t="n">
        <f aca="false">W5-AH5</f>
        <v>432315.213114754</v>
      </c>
      <c r="AM5" s="15" t="n">
        <f aca="false">IF(W5=0,0,AL5/W5)</f>
        <v>0.37429888581364</v>
      </c>
      <c r="AN5" s="15" t="n">
        <f aca="false">AM5-S5</f>
        <v>0.01429888581364</v>
      </c>
      <c r="AO5" s="26" t="n">
        <f aca="false">Q5-P5</f>
        <v>6</v>
      </c>
      <c r="AP5" s="26" t="n">
        <f aca="false">IF(J5="Completed",0,MAX(0,Q5-AsOfDate))</f>
        <v>146</v>
      </c>
      <c r="AQ5" s="14" t="n">
        <f aca="false">SUMIFS(Invoices!$F$2:$F$2000,Invoices!$B$2:$B$2000,A5)</f>
        <v>346500</v>
      </c>
      <c r="AR5" s="14" t="n">
        <f aca="false">SUMIFS(Invoices!$F$2:$F$2000,Invoices!$B$2:$B$2000,A5,Invoices!$K$2:$K$2000,"Paid")</f>
        <v>346500</v>
      </c>
      <c r="AS5" s="14" t="n">
        <f aca="false">T5*W5-AQ5</f>
        <v>358050</v>
      </c>
      <c r="AT5" s="13" t="n">
        <f aca="false">COUNTIFS(RAID!$B$2:$B$2000,A5,RAID!$C$2:$C$2000,"Risk",RAID!$J$2:$J$2000,"&lt;&gt;Closed")</f>
        <v>0</v>
      </c>
      <c r="AU5" s="13" t="n">
        <f aca="false">COUNTIFS(RAID!$B$2:$B$2000,A5,RAID!$C$2:$C$2000,"Issue",RAID!$J$2:$J$2000,"&lt;&gt;Closed")</f>
        <v>1</v>
      </c>
      <c r="AV5" s="14" t="n">
        <f aca="false">SUMIFS(RAID!$Q$2:$Q$2000,RAID!$B$2:$B$2000,A5,RAID!$J$2:$J$2000,"&lt;&gt;Closed")</f>
        <v>65400</v>
      </c>
      <c r="AW5" s="13" t="n">
        <f aca="false">COUNTIFS(ChangeRequests!$B$2:$B$1000,A5,ChangeRequests!$P$2:$P$1000,"Yes")</f>
        <v>1</v>
      </c>
      <c r="AX5" s="13" t="n">
        <f aca="false">COUNTIFS(Allocations!$B$2:$B$2000,A5,Allocations!$K$2:$K$2000,"Yes")</f>
        <v>4</v>
      </c>
      <c r="AY5" s="27" t="n">
        <f aca="false">IF(COUNTIFS(Milestones!$B$2:$B$2000,A5,Milestones!$L$2:$L$2000,"&lt;&gt;Completed")=0,"",_xlfn.MINIFS(Milestones!$F$2:$F$2000,Milestones!$B$2:$B$2000,A5,Milestones!$L$2:$L$2000,"&lt;&gt;Completed"))</f>
        <v>46310</v>
      </c>
      <c r="AZ5" s="12" t="str">
        <f aca="false">IF(J5="Planned","N/A",IF(AK5-T5&gt;RAG_CostRed,"Red",IF(AK5-T5&gt;RAG_CostAmber,"Amber","Green")))</f>
        <v>Green</v>
      </c>
      <c r="BA5" s="12" t="str">
        <f aca="false">IF(J5="Planned","N/A",IF(AO5&gt;RAG_ScheduleRedDays,"Red",IF(AO5&gt;RAG_ScheduleAmberDays,"Amber","Green")))</f>
        <v>Green</v>
      </c>
      <c r="BB5" s="12" t="str">
        <f aca="false">IF(J5="Planned","N/A",IF(AM5&lt;MarginFloor,"Red",IF(AM5&lt;S5-MarginTolerance,"Amber","Green")))</f>
        <v>Green</v>
      </c>
      <c r="BC5" s="12" t="str">
        <f aca="false">IF(J5="Planned","N/A",IF(OR(AZ5="Red",BA5="Red",BB5="Red"),"Red",IF(OR(AZ5="Amber",BA5="Amber",BB5="Amber"),"Amber","Green")))</f>
        <v>Green</v>
      </c>
      <c r="BD5" s="13" t="n">
        <f aca="false">IF(J5="Planned","",MAX(0,ROUND(100-MAX(0,AK5-T5)*150-MAX(0,AO5)*0.4-MAX(0,S5-AM5)*150,0)))</f>
        <v>98</v>
      </c>
    </row>
    <row r="6" customFormat="false" ht="15" hidden="false" customHeight="false" outlineLevel="0" collapsed="false">
      <c r="A6" s="18" t="s">
        <v>228</v>
      </c>
      <c r="B6" s="18" t="s">
        <v>229</v>
      </c>
      <c r="C6" s="18" t="s">
        <v>230</v>
      </c>
      <c r="D6" s="21" t="str">
        <f aca="false">IFERROR(INDEX(Clients!$B$2:$B$200,MATCH(C6,Clients!$A$2:$A$200,0)),"Unknown client")</f>
        <v>Ironbridge Capital</v>
      </c>
      <c r="E6" s="18" t="s">
        <v>134</v>
      </c>
      <c r="F6" s="18" t="s">
        <v>210</v>
      </c>
      <c r="G6" s="18" t="s">
        <v>231</v>
      </c>
      <c r="H6" s="21" t="str">
        <f aca="false">IFERROR(INDEX(Resources!$B$2:$B$500,MATCH(G6,Resources!$A$2:$A$500,0)),"")</f>
        <v>Fatima Cohen</v>
      </c>
      <c r="I6" s="18" t="s">
        <v>232</v>
      </c>
      <c r="J6" s="18" t="s">
        <v>203</v>
      </c>
      <c r="K6" s="18" t="s">
        <v>213</v>
      </c>
      <c r="L6" s="18" t="s">
        <v>214</v>
      </c>
      <c r="M6" s="18" t="s">
        <v>206</v>
      </c>
      <c r="N6" s="22" t="n">
        <v>5</v>
      </c>
      <c r="O6" s="19" t="n">
        <v>46083</v>
      </c>
      <c r="P6" s="19" t="n">
        <v>46444</v>
      </c>
      <c r="Q6" s="19" t="n">
        <v>46510</v>
      </c>
      <c r="R6" s="23" t="n">
        <v>740000</v>
      </c>
      <c r="S6" s="24" t="n">
        <v>0.38</v>
      </c>
      <c r="T6" s="24" t="n">
        <v>0.4</v>
      </c>
      <c r="U6" s="19" t="n">
        <v>46273</v>
      </c>
      <c r="V6" s="14" t="n">
        <f aca="false">SUMIFS(ChangeRequests!$H$2:$H$1000,ChangeRequests!$B$2:$B$1000,A6,ChangeRequests!$G$2:$G$1000,"Approved")</f>
        <v>120000</v>
      </c>
      <c r="W6" s="14" t="n">
        <f aca="false">R6+V6</f>
        <v>860000</v>
      </c>
      <c r="X6" s="14" t="n">
        <f aca="false">SUMIFS(Budget!$E$2:$E$2000,Budget!$B$2:$B$2000,A6)</f>
        <v>459200</v>
      </c>
      <c r="Y6" s="14" t="n">
        <f aca="false">SUMIFS(ChangeRequests!$I$2:$I$1000,ChangeRequests!$B$2:$B$1000,A6,ChangeRequests!$G$2:$G$1000,"Approved")</f>
        <v>95000</v>
      </c>
      <c r="Z6" s="14" t="n">
        <f aca="false">X6+Y6</f>
        <v>554200</v>
      </c>
      <c r="AA6" s="16" t="n">
        <f aca="false">SUMIFS(Actuals!$H$2:$H$6000,Actuals!$C$2:$C$6000,A6)</f>
        <v>2942.1</v>
      </c>
      <c r="AB6" s="14" t="n">
        <f aca="false">SUMIFS(Actuals!$J$2:$J$6000,Actuals!$C$2:$C$6000,A6)</f>
        <v>289303.7</v>
      </c>
      <c r="AC6" s="15" t="n">
        <f aca="false">IF(J6="Completed",1,IF(AsOfDate&lt;=O6,0,MIN(1,(AsOfDate-O6)/MAX(1,P6-O6))))</f>
        <v>0.534626038781163</v>
      </c>
      <c r="AD6" s="14" t="n">
        <f aca="false">T6*Z6</f>
        <v>221680</v>
      </c>
      <c r="AE6" s="14" t="n">
        <f aca="false">AC6*Z6</f>
        <v>296289.750692521</v>
      </c>
      <c r="AF6" s="25" t="n">
        <f aca="false">IF(AB6=0,1,AD6/AB6)</f>
        <v>0.766253594406155</v>
      </c>
      <c r="AG6" s="25" t="n">
        <f aca="false">IF(AE6=0,1,AD6/AE6)</f>
        <v>0.748186528497409</v>
      </c>
      <c r="AH6" s="14" t="n">
        <f aca="false">IF(J6="Completed",AB6,IF(T6&lt;0.05,MAX(Z6,AB6),AB6/T6))</f>
        <v>723259.25</v>
      </c>
      <c r="AI6" s="14" t="n">
        <f aca="false">MAX(0,AH6-AB6)</f>
        <v>433955.55</v>
      </c>
      <c r="AJ6" s="14" t="n">
        <f aca="false">Z6-AH6</f>
        <v>-169059.25</v>
      </c>
      <c r="AK6" s="15" t="n">
        <f aca="false">IF(Z6=0,0,AB6/Z6)</f>
        <v>0.522020389750992</v>
      </c>
      <c r="AL6" s="14" t="n">
        <f aca="false">W6-AH6</f>
        <v>136740.75</v>
      </c>
      <c r="AM6" s="15" t="n">
        <f aca="false">IF(W6=0,0,AL6/W6)</f>
        <v>0.159000872093023</v>
      </c>
      <c r="AN6" s="15" t="n">
        <f aca="false">AM6-S6</f>
        <v>-0.220999127906977</v>
      </c>
      <c r="AO6" s="26" t="n">
        <f aca="false">Q6-P6</f>
        <v>66</v>
      </c>
      <c r="AP6" s="26" t="n">
        <f aca="false">IF(J6="Completed",0,MAX(0,Q6-AsOfDate))</f>
        <v>234</v>
      </c>
      <c r="AQ6" s="14" t="n">
        <f aca="false">SUMIFS(Invoices!$F$2:$F$2000,Invoices!$B$2:$B$2000,A6)</f>
        <v>222000</v>
      </c>
      <c r="AR6" s="14" t="n">
        <f aca="false">SUMIFS(Invoices!$F$2:$F$2000,Invoices!$B$2:$B$2000,A6,Invoices!$K$2:$K$2000,"Paid")</f>
        <v>222000</v>
      </c>
      <c r="AS6" s="14" t="n">
        <f aca="false">T6*W6-AQ6</f>
        <v>122000</v>
      </c>
      <c r="AT6" s="13" t="n">
        <f aca="false">COUNTIFS(RAID!$B$2:$B$2000,A6,RAID!$C$2:$C$2000,"Risk",RAID!$J$2:$J$2000,"&lt;&gt;Closed")</f>
        <v>2</v>
      </c>
      <c r="AU6" s="13" t="n">
        <f aca="false">COUNTIFS(RAID!$B$2:$B$2000,A6,RAID!$C$2:$C$2000,"Issue",RAID!$J$2:$J$2000,"&lt;&gt;Closed")</f>
        <v>1</v>
      </c>
      <c r="AV6" s="14" t="n">
        <f aca="false">SUMIFS(RAID!$Q$2:$Q$2000,RAID!$B$2:$B$2000,A6,RAID!$J$2:$J$2000,"&lt;&gt;Closed")</f>
        <v>337800</v>
      </c>
      <c r="AW6" s="13" t="n">
        <f aca="false">COUNTIFS(ChangeRequests!$B$2:$B$1000,A6,ChangeRequests!$P$2:$P$1000,"Yes")</f>
        <v>2</v>
      </c>
      <c r="AX6" s="13" t="n">
        <f aca="false">COUNTIFS(Allocations!$B$2:$B$2000,A6,Allocations!$K$2:$K$2000,"Yes")</f>
        <v>6</v>
      </c>
      <c r="AY6" s="27" t="n">
        <f aca="false">IF(COUNTIFS(Milestones!$B$2:$B$2000,A6,Milestones!$L$2:$L$2000,"&lt;&gt;Completed")=0,"",_xlfn.MINIFS(Milestones!$F$2:$F$2000,Milestones!$B$2:$B$2000,A6,Milestones!$L$2:$L$2000,"&lt;&gt;Completed"))</f>
        <v>46377</v>
      </c>
      <c r="AZ6" s="12" t="str">
        <f aca="false">IF(J6="Planned","N/A",IF(AK6-T6&gt;RAG_CostRed,"Red",IF(AK6-T6&gt;RAG_CostAmber,"Amber","Green")))</f>
        <v>Amber</v>
      </c>
      <c r="BA6" s="12" t="str">
        <f aca="false">IF(J6="Planned","N/A",IF(AO6&gt;RAG_ScheduleRedDays,"Red",IF(AO6&gt;RAG_ScheduleAmberDays,"Amber","Green")))</f>
        <v>Red</v>
      </c>
      <c r="BB6" s="12" t="str">
        <f aca="false">IF(J6="Planned","N/A",IF(AM6&lt;MarginFloor,"Red",IF(AM6&lt;S6-MarginTolerance,"Amber","Green")))</f>
        <v>Amber</v>
      </c>
      <c r="BC6" s="12" t="str">
        <f aca="false">IF(J6="Planned","N/A",IF(OR(AZ6="Red",BA6="Red",BB6="Red"),"Red",IF(OR(AZ6="Amber",BA6="Amber",BB6="Amber"),"Amber","Green")))</f>
        <v>Red</v>
      </c>
      <c r="BD6" s="13" t="n">
        <f aca="false">IF(J6="Planned","",MAX(0,ROUND(100-MAX(0,AK6-T6)*150-MAX(0,AO6)*0.4-MAX(0,S6-AM6)*150,0)))</f>
        <v>22</v>
      </c>
    </row>
    <row r="7" customFormat="false" ht="15" hidden="false" customHeight="false" outlineLevel="0" collapsed="false">
      <c r="A7" s="18" t="s">
        <v>233</v>
      </c>
      <c r="B7" s="18" t="s">
        <v>234</v>
      </c>
      <c r="C7" s="18" t="s">
        <v>235</v>
      </c>
      <c r="D7" s="21" t="str">
        <f aca="false">IFERROR(INDEX(Clients!$B$2:$B$200,MATCH(C7,Clients!$A$2:$A$200,0)),"Unknown client")</f>
        <v>Aurora Retail Group</v>
      </c>
      <c r="E7" s="18" t="s">
        <v>133</v>
      </c>
      <c r="F7" s="18" t="s">
        <v>236</v>
      </c>
      <c r="G7" s="18" t="s">
        <v>237</v>
      </c>
      <c r="H7" s="21" t="str">
        <f aca="false">IFERROR(INDEX(Resources!$B$2:$B$500,MATCH(G7,Resources!$A$2:$A$500,0)),"")</f>
        <v>Olivia Silva</v>
      </c>
      <c r="I7" s="18" t="s">
        <v>238</v>
      </c>
      <c r="J7" s="18" t="s">
        <v>203</v>
      </c>
      <c r="K7" s="18" t="s">
        <v>204</v>
      </c>
      <c r="L7" s="18" t="s">
        <v>205</v>
      </c>
      <c r="M7" s="18" t="s">
        <v>206</v>
      </c>
      <c r="N7" s="22" t="n">
        <v>7</v>
      </c>
      <c r="O7" s="19" t="n">
        <v>45936</v>
      </c>
      <c r="P7" s="19" t="n">
        <v>46290</v>
      </c>
      <c r="Q7" s="19" t="n">
        <v>46300</v>
      </c>
      <c r="R7" s="23" t="n">
        <v>940000</v>
      </c>
      <c r="S7" s="24" t="n">
        <v>0.38</v>
      </c>
      <c r="T7" s="24" t="n">
        <v>0.92</v>
      </c>
      <c r="U7" s="19" t="n">
        <v>46272</v>
      </c>
      <c r="V7" s="14" t="n">
        <f aca="false">SUMIFS(ChangeRequests!$H$2:$H$1000,ChangeRequests!$B$2:$B$1000,A7,ChangeRequests!$G$2:$G$1000,"Approved")</f>
        <v>40000</v>
      </c>
      <c r="W7" s="14" t="n">
        <f aca="false">R7+V7</f>
        <v>980000</v>
      </c>
      <c r="X7" s="14" t="n">
        <f aca="false">SUMIFS(Budget!$E$2:$E$2000,Budget!$B$2:$B$2000,A7)</f>
        <v>582300</v>
      </c>
      <c r="Y7" s="14" t="n">
        <f aca="false">SUMIFS(ChangeRequests!$I$2:$I$1000,ChangeRequests!$B$2:$B$1000,A7,ChangeRequests!$G$2:$G$1000,"Approved")</f>
        <v>48000</v>
      </c>
      <c r="Z7" s="14" t="n">
        <f aca="false">X7+Y7</f>
        <v>630300</v>
      </c>
      <c r="AA7" s="16" t="n">
        <f aca="false">SUMIFS(Actuals!$H$2:$H$6000,Actuals!$C$2:$C$6000,A7)</f>
        <v>7769.4</v>
      </c>
      <c r="AB7" s="14" t="n">
        <f aca="false">SUMIFS(Actuals!$J$2:$J$6000,Actuals!$C$2:$C$6000,A7)</f>
        <v>622397.49</v>
      </c>
      <c r="AC7" s="15" t="n">
        <f aca="false">IF(J7="Completed",1,IF(AsOfDate&lt;=O7,0,MIN(1,(AsOfDate-O7)/MAX(1,P7-O7))))</f>
        <v>0.96045197740113</v>
      </c>
      <c r="AD7" s="14" t="n">
        <f aca="false">T7*Z7</f>
        <v>579876</v>
      </c>
      <c r="AE7" s="14" t="n">
        <f aca="false">AC7*Z7</f>
        <v>605372.881355932</v>
      </c>
      <c r="AF7" s="25" t="n">
        <f aca="false">IF(AB7=0,1,AD7/AB7)</f>
        <v>0.931681135153678</v>
      </c>
      <c r="AG7" s="25" t="n">
        <f aca="false">IF(AE7=0,1,AD7/AE7)</f>
        <v>0.957882352941176</v>
      </c>
      <c r="AH7" s="14" t="n">
        <f aca="false">IF(J7="Completed",AB7,IF(T7&lt;0.05,MAX(Z7,AB7),AB7/T7))</f>
        <v>676519.010869565</v>
      </c>
      <c r="AI7" s="14" t="n">
        <f aca="false">MAX(0,AH7-AB7)</f>
        <v>54121.5208695652</v>
      </c>
      <c r="AJ7" s="14" t="n">
        <f aca="false">Z7-AH7</f>
        <v>-46219.0108695652</v>
      </c>
      <c r="AK7" s="15" t="n">
        <f aca="false">IF(Z7=0,0,AB7/Z7)</f>
        <v>0.987462303664922</v>
      </c>
      <c r="AL7" s="14" t="n">
        <f aca="false">W7-AH7</f>
        <v>303480.989130435</v>
      </c>
      <c r="AM7" s="15" t="n">
        <f aca="false">IF(W7=0,0,AL7/W7)</f>
        <v>0.309674478704525</v>
      </c>
      <c r="AN7" s="15" t="n">
        <f aca="false">AM7-S7</f>
        <v>-0.0703255212954747</v>
      </c>
      <c r="AO7" s="26" t="n">
        <f aca="false">Q7-P7</f>
        <v>10</v>
      </c>
      <c r="AP7" s="26" t="n">
        <f aca="false">IF(J7="Completed",0,MAX(0,Q7-AsOfDate))</f>
        <v>24</v>
      </c>
      <c r="AQ7" s="14" t="n">
        <f aca="false">SUMIFS(Invoices!$F$2:$F$2000,Invoices!$B$2:$B$2000,A7)</f>
        <v>752000</v>
      </c>
      <c r="AR7" s="14" t="n">
        <f aca="false">SUMIFS(Invoices!$F$2:$F$2000,Invoices!$B$2:$B$2000,A7,Invoices!$K$2:$K$2000,"Paid")</f>
        <v>282000</v>
      </c>
      <c r="AS7" s="14" t="n">
        <f aca="false">T7*W7-AQ7</f>
        <v>149600</v>
      </c>
      <c r="AT7" s="13" t="n">
        <f aca="false">COUNTIFS(RAID!$B$2:$B$2000,A7,RAID!$C$2:$C$2000,"Risk",RAID!$J$2:$J$2000,"&lt;&gt;Closed")</f>
        <v>0</v>
      </c>
      <c r="AU7" s="13" t="n">
        <f aca="false">COUNTIFS(RAID!$B$2:$B$2000,A7,RAID!$C$2:$C$2000,"Issue",RAID!$J$2:$J$2000,"&lt;&gt;Closed")</f>
        <v>1</v>
      </c>
      <c r="AV7" s="14" t="n">
        <f aca="false">SUMIFS(RAID!$Q$2:$Q$2000,RAID!$B$2:$B$2000,A7,RAID!$J$2:$J$2000,"&lt;&gt;Closed")</f>
        <v>21000</v>
      </c>
      <c r="AW7" s="13" t="n">
        <f aca="false">COUNTIFS(ChangeRequests!$B$2:$B$1000,A7,ChangeRequests!$P$2:$P$1000,"Yes")</f>
        <v>0</v>
      </c>
      <c r="AX7" s="13" t="n">
        <f aca="false">COUNTIFS(Allocations!$B$2:$B$2000,A7,Allocations!$K$2:$K$2000,"Yes")</f>
        <v>4</v>
      </c>
      <c r="AY7" s="27" t="n">
        <f aca="false">IF(COUNTIFS(Milestones!$B$2:$B$2000,A7,Milestones!$L$2:$L$2000,"&lt;&gt;Completed")=0,"",_xlfn.MINIFS(Milestones!$F$2:$F$2000,Milestones!$B$2:$B$2000,A7,Milestones!$L$2:$L$2000,"&lt;&gt;Completed"))</f>
        <v>46300</v>
      </c>
      <c r="AZ7" s="12" t="str">
        <f aca="false">IF(J7="Planned","N/A",IF(AK7-T7&gt;RAG_CostRed,"Red",IF(AK7-T7&gt;RAG_CostAmber,"Amber","Green")))</f>
        <v>Green</v>
      </c>
      <c r="BA7" s="12" t="str">
        <f aca="false">IF(J7="Planned","N/A",IF(AO7&gt;RAG_ScheduleRedDays,"Red",IF(AO7&gt;RAG_ScheduleAmberDays,"Amber","Green")))</f>
        <v>Green</v>
      </c>
      <c r="BB7" s="12" t="str">
        <f aca="false">IF(J7="Planned","N/A",IF(AM7&lt;MarginFloor,"Red",IF(AM7&lt;S7-MarginTolerance,"Amber","Green")))</f>
        <v>Amber</v>
      </c>
      <c r="BC7" s="12" t="str">
        <f aca="false">IF(J7="Planned","N/A",IF(OR(AZ7="Red",BA7="Red",BB7="Red"),"Red",IF(OR(AZ7="Amber",BA7="Amber",BB7="Amber"),"Amber","Green")))</f>
        <v>Amber</v>
      </c>
      <c r="BD7" s="13" t="n">
        <f aca="false">IF(J7="Planned","",MAX(0,ROUND(100-MAX(0,AK7-T7)*150-MAX(0,AO7)*0.4-MAX(0,S7-AM7)*150,0)))</f>
        <v>75</v>
      </c>
    </row>
    <row r="8" customFormat="false" ht="15" hidden="false" customHeight="false" outlineLevel="0" collapsed="false">
      <c r="A8" s="18" t="s">
        <v>239</v>
      </c>
      <c r="B8" s="18" t="s">
        <v>240</v>
      </c>
      <c r="C8" s="18" t="s">
        <v>241</v>
      </c>
      <c r="D8" s="21" t="str">
        <f aca="false">IFERROR(INDEX(Clients!$B$2:$B$200,MATCH(C8,Clients!$A$2:$A$200,0)),"Unknown client")</f>
        <v>Pinecrest University</v>
      </c>
      <c r="E8" s="18" t="s">
        <v>136</v>
      </c>
      <c r="F8" s="18" t="s">
        <v>200</v>
      </c>
      <c r="G8" s="18" t="s">
        <v>242</v>
      </c>
      <c r="H8" s="21" t="str">
        <f aca="false">IFERROR(INDEX(Resources!$B$2:$B$500,MATCH(G8,Resources!$A$2:$A$500,0)),"")</f>
        <v>Ethan Park</v>
      </c>
      <c r="I8" s="18" t="s">
        <v>243</v>
      </c>
      <c r="J8" s="18" t="s">
        <v>203</v>
      </c>
      <c r="K8" s="18" t="s">
        <v>213</v>
      </c>
      <c r="L8" s="18" t="s">
        <v>214</v>
      </c>
      <c r="M8" s="18" t="s">
        <v>206</v>
      </c>
      <c r="N8" s="22" t="n">
        <v>10</v>
      </c>
      <c r="O8" s="19" t="n">
        <v>46118</v>
      </c>
      <c r="P8" s="19" t="n">
        <v>46472</v>
      </c>
      <c r="Q8" s="19" t="n">
        <v>46475</v>
      </c>
      <c r="R8" s="23" t="n">
        <v>970000</v>
      </c>
      <c r="S8" s="24" t="n">
        <v>0.34</v>
      </c>
      <c r="T8" s="24" t="n">
        <v>0.43</v>
      </c>
      <c r="U8" s="19" t="n">
        <v>46271</v>
      </c>
      <c r="V8" s="14" t="n">
        <f aca="false">SUMIFS(ChangeRequests!$H$2:$H$1000,ChangeRequests!$B$2:$B$1000,A8,ChangeRequests!$G$2:$G$1000,"Approved")</f>
        <v>0</v>
      </c>
      <c r="W8" s="14" t="n">
        <f aca="false">R8+V8</f>
        <v>970000</v>
      </c>
      <c r="X8" s="14" t="n">
        <f aca="false">SUMIFS(Budget!$E$2:$E$2000,Budget!$B$2:$B$2000,A8)</f>
        <v>639400</v>
      </c>
      <c r="Y8" s="14" t="n">
        <f aca="false">SUMIFS(ChangeRequests!$I$2:$I$1000,ChangeRequests!$B$2:$B$1000,A8,ChangeRequests!$G$2:$G$1000,"Approved")</f>
        <v>0</v>
      </c>
      <c r="Z8" s="14" t="n">
        <f aca="false">X8+Y8</f>
        <v>639400</v>
      </c>
      <c r="AA8" s="16" t="n">
        <f aca="false">SUMIFS(Actuals!$H$2:$H$6000,Actuals!$C$2:$C$6000,A8)</f>
        <v>2307</v>
      </c>
      <c r="AB8" s="14" t="n">
        <f aca="false">SUMIFS(Actuals!$J$2:$J$6000,Actuals!$C$2:$C$6000,A8)</f>
        <v>249953.93</v>
      </c>
      <c r="AC8" s="15" t="n">
        <f aca="false">IF(J8="Completed",1,IF(AsOfDate&lt;=O8,0,MIN(1,(AsOfDate-O8)/MAX(1,P8-O8))))</f>
        <v>0.446327683615819</v>
      </c>
      <c r="AD8" s="14" t="n">
        <f aca="false">T8*Z8</f>
        <v>274942</v>
      </c>
      <c r="AE8" s="14" t="n">
        <f aca="false">AC8*Z8</f>
        <v>285381.920903955</v>
      </c>
      <c r="AF8" s="25" t="n">
        <f aca="false">IF(AB8=0,1,AD8/AB8)</f>
        <v>1.09997070260108</v>
      </c>
      <c r="AG8" s="25" t="n">
        <f aca="false">IF(AE8=0,1,AD8/AE8)</f>
        <v>0.963417721518987</v>
      </c>
      <c r="AH8" s="14" t="n">
        <f aca="false">IF(J8="Completed",AB8,IF(T8&lt;0.05,MAX(Z8,AB8),AB8/T8))</f>
        <v>581288.209302326</v>
      </c>
      <c r="AI8" s="14" t="n">
        <f aca="false">MAX(0,AH8-AB8)</f>
        <v>331334.279302326</v>
      </c>
      <c r="AJ8" s="14" t="n">
        <f aca="false">Z8-AH8</f>
        <v>58111.7906976744</v>
      </c>
      <c r="AK8" s="15" t="n">
        <f aca="false">IF(Z8=0,0,AB8/Z8)</f>
        <v>0.390919502658743</v>
      </c>
      <c r="AL8" s="14" t="n">
        <f aca="false">W8-AH8</f>
        <v>388711.790697674</v>
      </c>
      <c r="AM8" s="15" t="n">
        <f aca="false">IF(W8=0,0,AL8/W8)</f>
        <v>0.400733804842963</v>
      </c>
      <c r="AN8" s="15" t="n">
        <f aca="false">AM8-S8</f>
        <v>0.0607338048429633</v>
      </c>
      <c r="AO8" s="26" t="n">
        <f aca="false">Q8-P8</f>
        <v>3</v>
      </c>
      <c r="AP8" s="26" t="n">
        <f aca="false">IF(J8="Completed",0,MAX(0,Q8-AsOfDate))</f>
        <v>199</v>
      </c>
      <c r="AQ8" s="14" t="n">
        <f aca="false">SUMIFS(Invoices!$F$2:$F$2000,Invoices!$B$2:$B$2000,A8)</f>
        <v>291000</v>
      </c>
      <c r="AR8" s="14" t="n">
        <f aca="false">SUMIFS(Invoices!$F$2:$F$2000,Invoices!$B$2:$B$2000,A8,Invoices!$K$2:$K$2000,"Paid")</f>
        <v>97000</v>
      </c>
      <c r="AS8" s="14" t="n">
        <f aca="false">T8*W8-AQ8</f>
        <v>126100</v>
      </c>
      <c r="AT8" s="13" t="n">
        <f aca="false">COUNTIFS(RAID!$B$2:$B$2000,A8,RAID!$C$2:$C$2000,"Risk",RAID!$J$2:$J$2000,"&lt;&gt;Closed")</f>
        <v>2</v>
      </c>
      <c r="AU8" s="13" t="n">
        <f aca="false">COUNTIFS(RAID!$B$2:$B$2000,A8,RAID!$C$2:$C$2000,"Issue",RAID!$J$2:$J$2000,"&lt;&gt;Closed")</f>
        <v>0</v>
      </c>
      <c r="AV8" s="14" t="n">
        <f aca="false">SUMIFS(RAID!$Q$2:$Q$2000,RAID!$B$2:$B$2000,A8,RAID!$J$2:$J$2000,"&lt;&gt;Closed")</f>
        <v>22800</v>
      </c>
      <c r="AW8" s="13" t="n">
        <f aca="false">COUNTIFS(ChangeRequests!$B$2:$B$1000,A8,ChangeRequests!$P$2:$P$1000,"Yes")</f>
        <v>1</v>
      </c>
      <c r="AX8" s="13" t="n">
        <f aca="false">COUNTIFS(Allocations!$B$2:$B$2000,A8,Allocations!$K$2:$K$2000,"Yes")</f>
        <v>5</v>
      </c>
      <c r="AY8" s="27" t="n">
        <f aca="false">IF(COUNTIFS(Milestones!$B$2:$B$2000,A8,Milestones!$L$2:$L$2000,"&lt;&gt;Completed")=0,"",_xlfn.MINIFS(Milestones!$F$2:$F$2000,Milestones!$B$2:$B$2000,A8,Milestones!$L$2:$L$2000,"&lt;&gt;Completed"))</f>
        <v>46366</v>
      </c>
      <c r="AZ8" s="12" t="str">
        <f aca="false">IF(J8="Planned","N/A",IF(AK8-T8&gt;RAG_CostRed,"Red",IF(AK8-T8&gt;RAG_CostAmber,"Amber","Green")))</f>
        <v>Green</v>
      </c>
      <c r="BA8" s="12" t="str">
        <f aca="false">IF(J8="Planned","N/A",IF(AO8&gt;RAG_ScheduleRedDays,"Red",IF(AO8&gt;RAG_ScheduleAmberDays,"Amber","Green")))</f>
        <v>Green</v>
      </c>
      <c r="BB8" s="12" t="str">
        <f aca="false">IF(J8="Planned","N/A",IF(AM8&lt;MarginFloor,"Red",IF(AM8&lt;S8-MarginTolerance,"Amber","Green")))</f>
        <v>Green</v>
      </c>
      <c r="BC8" s="12" t="str">
        <f aca="false">IF(J8="Planned","N/A",IF(OR(AZ8="Red",BA8="Red",BB8="Red"),"Red",IF(OR(AZ8="Amber",BA8="Amber",BB8="Amber"),"Amber","Green")))</f>
        <v>Green</v>
      </c>
      <c r="BD8" s="13" t="n">
        <f aca="false">IF(J8="Planned","",MAX(0,ROUND(100-MAX(0,AK8-T8)*150-MAX(0,AO8)*0.4-MAX(0,S8-AM8)*150,0)))</f>
        <v>99</v>
      </c>
    </row>
    <row r="9" customFormat="false" ht="15" hidden="false" customHeight="false" outlineLevel="0" collapsed="false">
      <c r="A9" s="18" t="s">
        <v>244</v>
      </c>
      <c r="B9" s="18" t="s">
        <v>245</v>
      </c>
      <c r="C9" s="18" t="s">
        <v>246</v>
      </c>
      <c r="D9" s="21" t="str">
        <f aca="false">IFERROR(INDEX(Clients!$B$2:$B$200,MATCH(C9,Clients!$A$2:$A$200,0)),"Unknown client")</f>
        <v>Summit Telecom</v>
      </c>
      <c r="E9" s="18" t="s">
        <v>135</v>
      </c>
      <c r="F9" s="18" t="s">
        <v>225</v>
      </c>
      <c r="G9" s="18" t="s">
        <v>247</v>
      </c>
      <c r="H9" s="21" t="str">
        <f aca="false">IFERROR(INDEX(Resources!$B$2:$B$500,MATCH(G9,Resources!$A$2:$A$500,0)),"")</f>
        <v>Arjun Baptiste</v>
      </c>
      <c r="I9" s="18" t="s">
        <v>248</v>
      </c>
      <c r="J9" s="18" t="s">
        <v>203</v>
      </c>
      <c r="K9" s="18" t="s">
        <v>204</v>
      </c>
      <c r="L9" s="18" t="s">
        <v>205</v>
      </c>
      <c r="M9" s="18" t="s">
        <v>221</v>
      </c>
      <c r="N9" s="22" t="n">
        <v>9</v>
      </c>
      <c r="O9" s="19" t="n">
        <v>46027</v>
      </c>
      <c r="P9" s="19" t="n">
        <v>46311</v>
      </c>
      <c r="Q9" s="19" t="n">
        <v>46328</v>
      </c>
      <c r="R9" s="23" t="n">
        <v>710000</v>
      </c>
      <c r="S9" s="24" t="n">
        <v>0.42</v>
      </c>
      <c r="T9" s="24" t="n">
        <v>0.85</v>
      </c>
      <c r="U9" s="19" t="n">
        <v>46270</v>
      </c>
      <c r="V9" s="14" t="n">
        <f aca="false">SUMIFS(ChangeRequests!$H$2:$H$1000,ChangeRequests!$B$2:$B$1000,A9,ChangeRequests!$G$2:$G$1000,"Approved")</f>
        <v>55000</v>
      </c>
      <c r="W9" s="14" t="n">
        <f aca="false">R9+V9</f>
        <v>765000</v>
      </c>
      <c r="X9" s="14" t="n">
        <f aca="false">SUMIFS(Budget!$E$2:$E$2000,Budget!$B$2:$B$2000,A9)</f>
        <v>498500</v>
      </c>
      <c r="Y9" s="14" t="n">
        <f aca="false">SUMIFS(ChangeRequests!$I$2:$I$1000,ChangeRequests!$B$2:$B$1000,A9,ChangeRequests!$G$2:$G$1000,"Approved")</f>
        <v>38000</v>
      </c>
      <c r="Z9" s="14" t="n">
        <f aca="false">X9+Y9</f>
        <v>536500</v>
      </c>
      <c r="AA9" s="16" t="n">
        <f aca="false">SUMIFS(Actuals!$H$2:$H$6000,Actuals!$C$2:$C$6000,A9)</f>
        <v>3581.3</v>
      </c>
      <c r="AB9" s="14" t="n">
        <f aca="false">SUMIFS(Actuals!$J$2:$J$6000,Actuals!$C$2:$C$6000,A9)</f>
        <v>464449.86</v>
      </c>
      <c r="AC9" s="15" t="n">
        <f aca="false">IF(J9="Completed",1,IF(AsOfDate&lt;=O9,0,MIN(1,(AsOfDate-O9)/MAX(1,P9-O9))))</f>
        <v>0.876760563380282</v>
      </c>
      <c r="AD9" s="14" t="n">
        <f aca="false">T9*Z9</f>
        <v>456025</v>
      </c>
      <c r="AE9" s="14" t="n">
        <f aca="false">AC9*Z9</f>
        <v>470382.042253521</v>
      </c>
      <c r="AF9" s="25" t="n">
        <f aca="false">IF(AB9=0,1,AD9/AB9)</f>
        <v>0.981860560793365</v>
      </c>
      <c r="AG9" s="25" t="n">
        <f aca="false">IF(AE9=0,1,AD9/AE9)</f>
        <v>0.969477911646586</v>
      </c>
      <c r="AH9" s="14" t="n">
        <f aca="false">IF(J9="Completed",AB9,IF(T9&lt;0.05,MAX(Z9,AB9),AB9/T9))</f>
        <v>546411.6</v>
      </c>
      <c r="AI9" s="14" t="n">
        <f aca="false">MAX(0,AH9-AB9)</f>
        <v>81961.74</v>
      </c>
      <c r="AJ9" s="14" t="n">
        <f aca="false">Z9-AH9</f>
        <v>-9911.59999999998</v>
      </c>
      <c r="AK9" s="15" t="n">
        <f aca="false">IF(Z9=0,0,AB9/Z9)</f>
        <v>0.865703373718546</v>
      </c>
      <c r="AL9" s="14" t="n">
        <f aca="false">W9-AH9</f>
        <v>218588.4</v>
      </c>
      <c r="AM9" s="15" t="n">
        <f aca="false">IF(W9=0,0,AL9/W9)</f>
        <v>0.285736470588235</v>
      </c>
      <c r="AN9" s="15" t="n">
        <f aca="false">AM9-S9</f>
        <v>-0.134263529411765</v>
      </c>
      <c r="AO9" s="26" t="n">
        <f aca="false">Q9-P9</f>
        <v>17</v>
      </c>
      <c r="AP9" s="26" t="n">
        <f aca="false">IF(J9="Completed",0,MAX(0,Q9-AsOfDate))</f>
        <v>52</v>
      </c>
      <c r="AQ9" s="14" t="n">
        <f aca="false">SUMIFS(Invoices!$F$2:$F$2000,Invoices!$B$2:$B$2000,A9)</f>
        <v>716418.97</v>
      </c>
      <c r="AR9" s="14" t="n">
        <f aca="false">SUMIFS(Invoices!$F$2:$F$2000,Invoices!$B$2:$B$2000,A9,Invoices!$K$2:$K$2000,"Paid")</f>
        <v>639535.85</v>
      </c>
      <c r="AS9" s="14" t="n">
        <f aca="false">T9*W9-AQ9</f>
        <v>-66168.97</v>
      </c>
      <c r="AT9" s="13" t="n">
        <f aca="false">COUNTIFS(RAID!$B$2:$B$2000,A9,RAID!$C$2:$C$2000,"Risk",RAID!$J$2:$J$2000,"&lt;&gt;Closed")</f>
        <v>1</v>
      </c>
      <c r="AU9" s="13" t="n">
        <f aca="false">COUNTIFS(RAID!$B$2:$B$2000,A9,RAID!$C$2:$C$2000,"Issue",RAID!$J$2:$J$2000,"&lt;&gt;Closed")</f>
        <v>0</v>
      </c>
      <c r="AV9" s="14" t="n">
        <f aca="false">SUMIFS(RAID!$Q$2:$Q$2000,RAID!$B$2:$B$2000,A9,RAID!$J$2:$J$2000,"&lt;&gt;Closed")</f>
        <v>6000</v>
      </c>
      <c r="AW9" s="13" t="n">
        <f aca="false">COUNTIFS(ChangeRequests!$B$2:$B$1000,A9,ChangeRequests!$P$2:$P$1000,"Yes")</f>
        <v>0</v>
      </c>
      <c r="AX9" s="13" t="n">
        <f aca="false">COUNTIFS(Allocations!$B$2:$B$2000,A9,Allocations!$K$2:$K$2000,"Yes")</f>
        <v>4</v>
      </c>
      <c r="AY9" s="27" t="n">
        <f aca="false">IF(COUNTIFS(Milestones!$B$2:$B$2000,A9,Milestones!$L$2:$L$2000,"&lt;&gt;Completed")=0,"",_xlfn.MINIFS(Milestones!$F$2:$F$2000,Milestones!$B$2:$B$2000,A9,Milestones!$L$2:$L$2000,"&lt;&gt;Completed"))</f>
        <v>46296</v>
      </c>
      <c r="AZ9" s="12" t="str">
        <f aca="false">IF(J9="Planned","N/A",IF(AK9-T9&gt;RAG_CostRed,"Red",IF(AK9-T9&gt;RAG_CostAmber,"Amber","Green")))</f>
        <v>Green</v>
      </c>
      <c r="BA9" s="12" t="str">
        <f aca="false">IF(J9="Planned","N/A",IF(AO9&gt;RAG_ScheduleRedDays,"Red",IF(AO9&gt;RAG_ScheduleAmberDays,"Amber","Green")))</f>
        <v>Amber</v>
      </c>
      <c r="BB9" s="12" t="str">
        <f aca="false">IF(J9="Planned","N/A",IF(AM9&lt;MarginFloor,"Red",IF(AM9&lt;S9-MarginTolerance,"Amber","Green")))</f>
        <v>Amber</v>
      </c>
      <c r="BC9" s="12" t="str">
        <f aca="false">IF(J9="Planned","N/A",IF(OR(AZ9="Red",BA9="Red",BB9="Red"),"Red",IF(OR(AZ9="Amber",BA9="Amber",BB9="Amber"),"Amber","Green")))</f>
        <v>Amber</v>
      </c>
      <c r="BD9" s="13" t="n">
        <f aca="false">IF(J9="Planned","",MAX(0,ROUND(100-MAX(0,AK9-T9)*150-MAX(0,AO9)*0.4-MAX(0,S9-AM9)*150,0)))</f>
        <v>71</v>
      </c>
    </row>
    <row r="10" customFormat="false" ht="15" hidden="false" customHeight="false" outlineLevel="0" collapsed="false">
      <c r="A10" s="18" t="s">
        <v>249</v>
      </c>
      <c r="B10" s="18" t="s">
        <v>250</v>
      </c>
      <c r="C10" s="18" t="s">
        <v>251</v>
      </c>
      <c r="D10" s="21" t="str">
        <f aca="false">IFERROR(INDEX(Clients!$B$2:$B$200,MATCH(C10,Clients!$A$2:$A$200,0)),"Unknown client")</f>
        <v>Granite Manufacturing</v>
      </c>
      <c r="E10" s="18" t="s">
        <v>137</v>
      </c>
      <c r="F10" s="18" t="s">
        <v>225</v>
      </c>
      <c r="G10" s="18" t="s">
        <v>218</v>
      </c>
      <c r="H10" s="21" t="str">
        <f aca="false">IFERROR(INDEX(Resources!$B$2:$B$500,MATCH(G10,Resources!$A$2:$A$500,0)),"")</f>
        <v>Mei Fraser</v>
      </c>
      <c r="I10" s="18" t="s">
        <v>252</v>
      </c>
      <c r="J10" s="18" t="s">
        <v>203</v>
      </c>
      <c r="K10" s="18" t="s">
        <v>213</v>
      </c>
      <c r="L10" s="18" t="s">
        <v>205</v>
      </c>
      <c r="M10" s="18" t="s">
        <v>206</v>
      </c>
      <c r="N10" s="22" t="n">
        <v>10</v>
      </c>
      <c r="O10" s="19" t="n">
        <v>46146</v>
      </c>
      <c r="P10" s="19" t="n">
        <v>46367</v>
      </c>
      <c r="Q10" s="19" t="n">
        <v>46370</v>
      </c>
      <c r="R10" s="23" t="n">
        <v>535000</v>
      </c>
      <c r="S10" s="24" t="n">
        <v>0.36</v>
      </c>
      <c r="T10" s="24" t="n">
        <v>0.5</v>
      </c>
      <c r="U10" s="19" t="n">
        <v>46269</v>
      </c>
      <c r="V10" s="14" t="n">
        <f aca="false">SUMIFS(ChangeRequests!$H$2:$H$1000,ChangeRequests!$B$2:$B$1000,A10,ChangeRequests!$G$2:$G$1000,"Approved")</f>
        <v>0</v>
      </c>
      <c r="W10" s="14" t="n">
        <f aca="false">R10+V10</f>
        <v>535000</v>
      </c>
      <c r="X10" s="14" t="n">
        <f aca="false">SUMIFS(Budget!$E$2:$E$2000,Budget!$B$2:$B$2000,A10)</f>
        <v>342700</v>
      </c>
      <c r="Y10" s="14" t="n">
        <f aca="false">SUMIFS(ChangeRequests!$I$2:$I$1000,ChangeRequests!$B$2:$B$1000,A10,ChangeRequests!$G$2:$G$1000,"Approved")</f>
        <v>0</v>
      </c>
      <c r="Z10" s="14" t="n">
        <f aca="false">X10+Y10</f>
        <v>342700</v>
      </c>
      <c r="AA10" s="16" t="n">
        <f aca="false">SUMIFS(Actuals!$H$2:$H$6000,Actuals!$C$2:$C$6000,A10)</f>
        <v>1798</v>
      </c>
      <c r="AB10" s="14" t="n">
        <f aca="false">SUMIFS(Actuals!$J$2:$J$6000,Actuals!$C$2:$C$6000,A10)</f>
        <v>160755.53</v>
      </c>
      <c r="AC10" s="15" t="n">
        <f aca="false">IF(J10="Completed",1,IF(AsOfDate&lt;=O10,0,MIN(1,(AsOfDate-O10)/MAX(1,P10-O10))))</f>
        <v>0.588235294117647</v>
      </c>
      <c r="AD10" s="14" t="n">
        <f aca="false">T10*Z10</f>
        <v>171350</v>
      </c>
      <c r="AE10" s="14" t="n">
        <f aca="false">AC10*Z10</f>
        <v>201588.235294118</v>
      </c>
      <c r="AF10" s="25" t="n">
        <f aca="false">IF(AB10=0,1,AD10/AB10)</f>
        <v>1.06590423358997</v>
      </c>
      <c r="AG10" s="25" t="n">
        <f aca="false">IF(AE10=0,1,AD10/AE10)</f>
        <v>0.85</v>
      </c>
      <c r="AH10" s="14" t="n">
        <f aca="false">IF(J10="Completed",AB10,IF(T10&lt;0.05,MAX(Z10,AB10),AB10/T10))</f>
        <v>321511.06</v>
      </c>
      <c r="AI10" s="14" t="n">
        <f aca="false">MAX(0,AH10-AB10)</f>
        <v>160755.53</v>
      </c>
      <c r="AJ10" s="14" t="n">
        <f aca="false">Z10-AH10</f>
        <v>21188.94</v>
      </c>
      <c r="AK10" s="15" t="n">
        <f aca="false">IF(Z10=0,0,AB10/Z10)</f>
        <v>0.469085293259411</v>
      </c>
      <c r="AL10" s="14" t="n">
        <f aca="false">W10-AH10</f>
        <v>213488.94</v>
      </c>
      <c r="AM10" s="15" t="n">
        <f aca="false">IF(W10=0,0,AL10/W10)</f>
        <v>0.399044747663551</v>
      </c>
      <c r="AN10" s="15" t="n">
        <f aca="false">AM10-S10</f>
        <v>0.0390447476635514</v>
      </c>
      <c r="AO10" s="26" t="n">
        <f aca="false">Q10-P10</f>
        <v>3</v>
      </c>
      <c r="AP10" s="26" t="n">
        <f aca="false">IF(J10="Completed",0,MAX(0,Q10-AsOfDate))</f>
        <v>94</v>
      </c>
      <c r="AQ10" s="14" t="n">
        <f aca="false">SUMIFS(Invoices!$F$2:$F$2000,Invoices!$B$2:$B$2000,A10)</f>
        <v>160500</v>
      </c>
      <c r="AR10" s="14" t="n">
        <f aca="false">SUMIFS(Invoices!$F$2:$F$2000,Invoices!$B$2:$B$2000,A10,Invoices!$K$2:$K$2000,"Paid")</f>
        <v>160500</v>
      </c>
      <c r="AS10" s="14" t="n">
        <f aca="false">T10*W10-AQ10</f>
        <v>107000</v>
      </c>
      <c r="AT10" s="13" t="n">
        <f aca="false">COUNTIFS(RAID!$B$2:$B$2000,A10,RAID!$C$2:$C$2000,"Risk",RAID!$J$2:$J$2000,"&lt;&gt;Closed")</f>
        <v>1</v>
      </c>
      <c r="AU10" s="13" t="n">
        <f aca="false">COUNTIFS(RAID!$B$2:$B$2000,A10,RAID!$C$2:$C$2000,"Issue",RAID!$J$2:$J$2000,"&lt;&gt;Closed")</f>
        <v>1</v>
      </c>
      <c r="AV10" s="14" t="n">
        <f aca="false">SUMIFS(RAID!$Q$2:$Q$2000,RAID!$B$2:$B$2000,A10,RAID!$J$2:$J$2000,"&lt;&gt;Closed")</f>
        <v>70600</v>
      </c>
      <c r="AW10" s="13" t="n">
        <f aca="false">COUNTIFS(ChangeRequests!$B$2:$B$1000,A10,ChangeRequests!$P$2:$P$1000,"Yes")</f>
        <v>0</v>
      </c>
      <c r="AX10" s="13" t="n">
        <f aca="false">COUNTIFS(Allocations!$B$2:$B$2000,A10,Allocations!$K$2:$K$2000,"Yes")</f>
        <v>6</v>
      </c>
      <c r="AY10" s="27" t="n">
        <f aca="false">IF(COUNTIFS(Milestones!$B$2:$B$2000,A10,Milestones!$L$2:$L$2000,"&lt;&gt;Completed")=0,"",_xlfn.MINIFS(Milestones!$F$2:$F$2000,Milestones!$B$2:$B$2000,A10,Milestones!$L$2:$L$2000,"&lt;&gt;Completed"))</f>
        <v>46301</v>
      </c>
      <c r="AZ10" s="12" t="str">
        <f aca="false">IF(J10="Planned","N/A",IF(AK10-T10&gt;RAG_CostRed,"Red",IF(AK10-T10&gt;RAG_CostAmber,"Amber","Green")))</f>
        <v>Green</v>
      </c>
      <c r="BA10" s="12" t="str">
        <f aca="false">IF(J10="Planned","N/A",IF(AO10&gt;RAG_ScheduleRedDays,"Red",IF(AO10&gt;RAG_ScheduleAmberDays,"Amber","Green")))</f>
        <v>Green</v>
      </c>
      <c r="BB10" s="12" t="str">
        <f aca="false">IF(J10="Planned","N/A",IF(AM10&lt;MarginFloor,"Red",IF(AM10&lt;S10-MarginTolerance,"Amber","Green")))</f>
        <v>Green</v>
      </c>
      <c r="BC10" s="12" t="str">
        <f aca="false">IF(J10="Planned","N/A",IF(OR(AZ10="Red",BA10="Red",BB10="Red"),"Red",IF(OR(AZ10="Amber",BA10="Amber",BB10="Amber"),"Amber","Green")))</f>
        <v>Green</v>
      </c>
      <c r="BD10" s="13" t="n">
        <f aca="false">IF(J10="Planned","",MAX(0,ROUND(100-MAX(0,AK10-T10)*150-MAX(0,AO10)*0.4-MAX(0,S10-AM10)*150,0)))</f>
        <v>99</v>
      </c>
    </row>
    <row r="11" customFormat="false" ht="15" hidden="false" customHeight="false" outlineLevel="0" collapsed="false">
      <c r="A11" s="18" t="s">
        <v>253</v>
      </c>
      <c r="B11" s="18" t="s">
        <v>254</v>
      </c>
      <c r="C11" s="18" t="s">
        <v>255</v>
      </c>
      <c r="D11" s="21" t="str">
        <f aca="false">IFERROR(INDEX(Clients!$B$2:$B$200,MATCH(C11,Clients!$A$2:$A$200,0)),"Unknown client")</f>
        <v>Bluewater Municipal Services</v>
      </c>
      <c r="E11" s="18" t="s">
        <v>133</v>
      </c>
      <c r="F11" s="18" t="s">
        <v>200</v>
      </c>
      <c r="G11" s="18" t="s">
        <v>231</v>
      </c>
      <c r="H11" s="21" t="str">
        <f aca="false">IFERROR(INDEX(Resources!$B$2:$B$500,MATCH(G11,Resources!$A$2:$A$500,0)),"")</f>
        <v>Fatima Cohen</v>
      </c>
      <c r="I11" s="18" t="s">
        <v>256</v>
      </c>
      <c r="J11" s="18" t="s">
        <v>203</v>
      </c>
      <c r="K11" s="18" t="s">
        <v>204</v>
      </c>
      <c r="L11" s="18" t="s">
        <v>205</v>
      </c>
      <c r="M11" s="18" t="s">
        <v>206</v>
      </c>
      <c r="N11" s="22" t="n">
        <v>10</v>
      </c>
      <c r="O11" s="19" t="n">
        <v>45992</v>
      </c>
      <c r="P11" s="19" t="n">
        <v>46262</v>
      </c>
      <c r="Q11" s="19" t="n">
        <v>46311</v>
      </c>
      <c r="R11" s="23" t="n">
        <v>735000</v>
      </c>
      <c r="S11" s="24" t="n">
        <v>0.38</v>
      </c>
      <c r="T11" s="24" t="n">
        <v>0.86</v>
      </c>
      <c r="U11" s="19" t="n">
        <v>46273</v>
      </c>
      <c r="V11" s="14" t="n">
        <f aca="false">SUMIFS(ChangeRequests!$H$2:$H$1000,ChangeRequests!$B$2:$B$1000,A11,ChangeRequests!$G$2:$G$1000,"Approved")</f>
        <v>30000</v>
      </c>
      <c r="W11" s="14" t="n">
        <f aca="false">R11+V11</f>
        <v>765000</v>
      </c>
      <c r="X11" s="14" t="n">
        <f aca="false">SUMIFS(Budget!$E$2:$E$2000,Budget!$B$2:$B$2000,A11)</f>
        <v>455000</v>
      </c>
      <c r="Y11" s="14" t="n">
        <f aca="false">SUMIFS(ChangeRequests!$I$2:$I$1000,ChangeRequests!$B$2:$B$1000,A11,ChangeRequests!$G$2:$G$1000,"Approved")</f>
        <v>42000</v>
      </c>
      <c r="Z11" s="14" t="n">
        <f aca="false">X11+Y11</f>
        <v>497000</v>
      </c>
      <c r="AA11" s="16" t="n">
        <f aca="false">SUMIFS(Actuals!$H$2:$H$6000,Actuals!$C$2:$C$6000,A11)</f>
        <v>5522.3</v>
      </c>
      <c r="AB11" s="14" t="n">
        <f aca="false">SUMIFS(Actuals!$J$2:$J$6000,Actuals!$C$2:$C$6000,A11)</f>
        <v>513842.3</v>
      </c>
      <c r="AC11" s="15" t="n">
        <f aca="false">IF(J11="Completed",1,IF(AsOfDate&lt;=O11,0,MIN(1,(AsOfDate-O11)/MAX(1,P11-O11))))</f>
        <v>1</v>
      </c>
      <c r="AD11" s="14" t="n">
        <f aca="false">T11*Z11</f>
        <v>427420</v>
      </c>
      <c r="AE11" s="14" t="n">
        <f aca="false">AC11*Z11</f>
        <v>497000</v>
      </c>
      <c r="AF11" s="25" t="n">
        <f aca="false">IF(AB11=0,1,AD11/AB11)</f>
        <v>0.831811627808766</v>
      </c>
      <c r="AG11" s="25" t="n">
        <f aca="false">IF(AE11=0,1,AD11/AE11)</f>
        <v>0.86</v>
      </c>
      <c r="AH11" s="14" t="n">
        <f aca="false">IF(J11="Completed",AB11,IF(T11&lt;0.05,MAX(Z11,AB11),AB11/T11))</f>
        <v>597491.046511628</v>
      </c>
      <c r="AI11" s="14" t="n">
        <f aca="false">MAX(0,AH11-AB11)</f>
        <v>83648.7465116279</v>
      </c>
      <c r="AJ11" s="14" t="n">
        <f aca="false">Z11-AH11</f>
        <v>-100491.046511628</v>
      </c>
      <c r="AK11" s="15" t="n">
        <f aca="false">IF(Z11=0,0,AB11/Z11)</f>
        <v>1.03388792756539</v>
      </c>
      <c r="AL11" s="14" t="n">
        <f aca="false">W11-AH11</f>
        <v>167508.953488372</v>
      </c>
      <c r="AM11" s="15" t="n">
        <f aca="false">IF(W11=0,0,AL11/W11)</f>
        <v>0.218965952272382</v>
      </c>
      <c r="AN11" s="15" t="n">
        <f aca="false">AM11-S11</f>
        <v>-0.161034047727618</v>
      </c>
      <c r="AO11" s="26" t="n">
        <f aca="false">Q11-P11</f>
        <v>49</v>
      </c>
      <c r="AP11" s="26" t="n">
        <f aca="false">IF(J11="Completed",0,MAX(0,Q11-AsOfDate))</f>
        <v>35</v>
      </c>
      <c r="AQ11" s="14" t="n">
        <f aca="false">SUMIFS(Invoices!$F$2:$F$2000,Invoices!$B$2:$B$2000,A11)</f>
        <v>441000</v>
      </c>
      <c r="AR11" s="14" t="n">
        <f aca="false">SUMIFS(Invoices!$F$2:$F$2000,Invoices!$B$2:$B$2000,A11,Invoices!$K$2:$K$2000,"Paid")</f>
        <v>220500</v>
      </c>
      <c r="AS11" s="14" t="n">
        <f aca="false">T11*W11-AQ11</f>
        <v>216900</v>
      </c>
      <c r="AT11" s="13" t="n">
        <f aca="false">COUNTIFS(RAID!$B$2:$B$2000,A11,RAID!$C$2:$C$2000,"Risk",RAID!$J$2:$J$2000,"&lt;&gt;Closed")</f>
        <v>2</v>
      </c>
      <c r="AU11" s="13" t="n">
        <f aca="false">COUNTIFS(RAID!$B$2:$B$2000,A11,RAID!$C$2:$C$2000,"Issue",RAID!$J$2:$J$2000,"&lt;&gt;Closed")</f>
        <v>1</v>
      </c>
      <c r="AV11" s="14" t="n">
        <f aca="false">SUMIFS(RAID!$Q$2:$Q$2000,RAID!$B$2:$B$2000,A11,RAID!$J$2:$J$2000,"&lt;&gt;Closed")</f>
        <v>286400</v>
      </c>
      <c r="AW11" s="13" t="n">
        <f aca="false">COUNTIFS(ChangeRequests!$B$2:$B$1000,A11,ChangeRequests!$P$2:$P$1000,"Yes")</f>
        <v>0</v>
      </c>
      <c r="AX11" s="13" t="n">
        <f aca="false">COUNTIFS(Allocations!$B$2:$B$2000,A11,Allocations!$K$2:$K$2000,"Yes")</f>
        <v>4</v>
      </c>
      <c r="AY11" s="27" t="n">
        <f aca="false">IF(COUNTIFS(Milestones!$B$2:$B$2000,A11,Milestones!$L$2:$L$2000,"&lt;&gt;Completed")=0,"",_xlfn.MINIFS(Milestones!$F$2:$F$2000,Milestones!$B$2:$B$2000,A11,Milestones!$L$2:$L$2000,"&lt;&gt;Completed"))</f>
        <v>46267</v>
      </c>
      <c r="AZ11" s="12" t="str">
        <f aca="false">IF(J11="Planned","N/A",IF(AK11-T11&gt;RAG_CostRed,"Red",IF(AK11-T11&gt;RAG_CostAmber,"Amber","Green")))</f>
        <v>Amber</v>
      </c>
      <c r="BA11" s="12" t="str">
        <f aca="false">IF(J11="Planned","N/A",IF(AO11&gt;RAG_ScheduleRedDays,"Red",IF(AO11&gt;RAG_ScheduleAmberDays,"Amber","Green")))</f>
        <v>Red</v>
      </c>
      <c r="BB11" s="12" t="str">
        <f aca="false">IF(J11="Planned","N/A",IF(AM11&lt;MarginFloor,"Red",IF(AM11&lt;S11-MarginTolerance,"Amber","Green")))</f>
        <v>Amber</v>
      </c>
      <c r="BC11" s="12" t="str">
        <f aca="false">IF(J11="Planned","N/A",IF(OR(AZ11="Red",BA11="Red",BB11="Red"),"Red",IF(OR(AZ11="Amber",BA11="Amber",BB11="Amber"),"Amber","Green")))</f>
        <v>Red</v>
      </c>
      <c r="BD11" s="13" t="n">
        <f aca="false">IF(J11="Planned","",MAX(0,ROUND(100-MAX(0,AK11-T11)*150-MAX(0,AO11)*0.4-MAX(0,S11-AM11)*150,0)))</f>
        <v>30</v>
      </c>
    </row>
    <row r="12" customFormat="false" ht="15" hidden="false" customHeight="false" outlineLevel="0" collapsed="false">
      <c r="A12" s="18" t="s">
        <v>257</v>
      </c>
      <c r="B12" s="18" t="s">
        <v>258</v>
      </c>
      <c r="C12" s="18" t="s">
        <v>259</v>
      </c>
      <c r="D12" s="21" t="str">
        <f aca="false">IFERROR(INDEX(Clients!$B$2:$B$200,MATCH(C12,Clients!$A$2:$A$200,0)),"Unknown client")</f>
        <v>Evergreen Pharma</v>
      </c>
      <c r="E12" s="18" t="s">
        <v>134</v>
      </c>
      <c r="F12" s="18" t="s">
        <v>200</v>
      </c>
      <c r="G12" s="18" t="s">
        <v>226</v>
      </c>
      <c r="H12" s="21" t="str">
        <f aca="false">IFERROR(INDEX(Resources!$B$2:$B$500,MATCH(G12,Resources!$A$2:$A$500,0)),"")</f>
        <v>Noah Rahimi</v>
      </c>
      <c r="I12" s="18" t="s">
        <v>260</v>
      </c>
      <c r="J12" s="18" t="s">
        <v>203</v>
      </c>
      <c r="K12" s="18" t="s">
        <v>213</v>
      </c>
      <c r="L12" s="18" t="s">
        <v>220</v>
      </c>
      <c r="M12" s="18" t="s">
        <v>221</v>
      </c>
      <c r="N12" s="22" t="n">
        <v>6</v>
      </c>
      <c r="O12" s="19" t="n">
        <v>46069</v>
      </c>
      <c r="P12" s="19" t="n">
        <v>46507</v>
      </c>
      <c r="Q12" s="19" t="n">
        <v>46507</v>
      </c>
      <c r="R12" s="23" t="n">
        <v>975000</v>
      </c>
      <c r="S12" s="24" t="n">
        <v>0.42</v>
      </c>
      <c r="T12" s="24" t="n">
        <v>0.42</v>
      </c>
      <c r="U12" s="19" t="n">
        <v>46272</v>
      </c>
      <c r="V12" s="14" t="n">
        <f aca="false">SUMIFS(ChangeRequests!$H$2:$H$1000,ChangeRequests!$B$2:$B$1000,A12,ChangeRequests!$G$2:$G$1000,"Approved")</f>
        <v>75000</v>
      </c>
      <c r="W12" s="14" t="n">
        <f aca="false">R12+V12</f>
        <v>1050000</v>
      </c>
      <c r="X12" s="14" t="n">
        <f aca="false">SUMIFS(Budget!$E$2:$E$2000,Budget!$B$2:$B$2000,A12)</f>
        <v>620700</v>
      </c>
      <c r="Y12" s="14" t="n">
        <f aca="false">SUMIFS(ChangeRequests!$I$2:$I$1000,ChangeRequests!$B$2:$B$1000,A12,ChangeRequests!$G$2:$G$1000,"Approved")</f>
        <v>48000</v>
      </c>
      <c r="Z12" s="14" t="n">
        <f aca="false">X12+Y12</f>
        <v>668700</v>
      </c>
      <c r="AA12" s="16" t="n">
        <f aca="false">SUMIFS(Actuals!$H$2:$H$6000,Actuals!$C$2:$C$6000,A12)</f>
        <v>2296.3</v>
      </c>
      <c r="AB12" s="14" t="n">
        <f aca="false">SUMIFS(Actuals!$J$2:$J$6000,Actuals!$C$2:$C$6000,A12)</f>
        <v>248297.41</v>
      </c>
      <c r="AC12" s="15" t="n">
        <f aca="false">IF(J12="Completed",1,IF(AsOfDate&lt;=O12,0,MIN(1,(AsOfDate-O12)/MAX(1,P12-O12))))</f>
        <v>0.472602739726027</v>
      </c>
      <c r="AD12" s="14" t="n">
        <f aca="false">T12*Z12</f>
        <v>280854</v>
      </c>
      <c r="AE12" s="14" t="n">
        <f aca="false">AC12*Z12</f>
        <v>316029.452054795</v>
      </c>
      <c r="AF12" s="25" t="n">
        <f aca="false">IF(AB12=0,1,AD12/AB12)</f>
        <v>1.13111932983916</v>
      </c>
      <c r="AG12" s="25" t="n">
        <f aca="false">IF(AE12=0,1,AD12/AE12)</f>
        <v>0.888695652173913</v>
      </c>
      <c r="AH12" s="14" t="n">
        <f aca="false">IF(J12="Completed",AB12,IF(T12&lt;0.05,MAX(Z12,AB12),AB12/T12))</f>
        <v>591184.30952381</v>
      </c>
      <c r="AI12" s="14" t="n">
        <f aca="false">MAX(0,AH12-AB12)</f>
        <v>342886.89952381</v>
      </c>
      <c r="AJ12" s="14" t="n">
        <f aca="false">Z12-AH12</f>
        <v>77515.6904761904</v>
      </c>
      <c r="AK12" s="15" t="n">
        <f aca="false">IF(Z12=0,0,AB12/Z12)</f>
        <v>0.371313608494093</v>
      </c>
      <c r="AL12" s="14" t="n">
        <f aca="false">W12-AH12</f>
        <v>458815.69047619</v>
      </c>
      <c r="AM12" s="15" t="n">
        <f aca="false">IF(W12=0,0,AL12/W12)</f>
        <v>0.436967324263038</v>
      </c>
      <c r="AN12" s="15" t="n">
        <f aca="false">AM12-S12</f>
        <v>0.0169673242630385</v>
      </c>
      <c r="AO12" s="26" t="n">
        <f aca="false">Q12-P12</f>
        <v>0</v>
      </c>
      <c r="AP12" s="26" t="n">
        <f aca="false">IF(J12="Completed",0,MAX(0,Q12-AsOfDate))</f>
        <v>231</v>
      </c>
      <c r="AQ12" s="14" t="n">
        <f aca="false">SUMIFS(Invoices!$F$2:$F$2000,Invoices!$B$2:$B$2000,A12)</f>
        <v>415431.38</v>
      </c>
      <c r="AR12" s="14" t="n">
        <f aca="false">SUMIFS(Invoices!$F$2:$F$2000,Invoices!$B$2:$B$2000,A12,Invoices!$K$2:$K$2000,"Paid")</f>
        <v>263059.05</v>
      </c>
      <c r="AS12" s="14" t="n">
        <f aca="false">T12*W12-AQ12</f>
        <v>25568.62</v>
      </c>
      <c r="AT12" s="13" t="n">
        <f aca="false">COUNTIFS(RAID!$B$2:$B$2000,A12,RAID!$C$2:$C$2000,"Risk",RAID!$J$2:$J$2000,"&lt;&gt;Closed")</f>
        <v>1</v>
      </c>
      <c r="AU12" s="13" t="n">
        <f aca="false">COUNTIFS(RAID!$B$2:$B$2000,A12,RAID!$C$2:$C$2000,"Issue",RAID!$J$2:$J$2000,"&lt;&gt;Closed")</f>
        <v>0</v>
      </c>
      <c r="AV12" s="14" t="n">
        <f aca="false">SUMIFS(RAID!$Q$2:$Q$2000,RAID!$B$2:$B$2000,A12,RAID!$J$2:$J$2000,"&lt;&gt;Closed")</f>
        <v>25200</v>
      </c>
      <c r="AW12" s="13" t="n">
        <f aca="false">COUNTIFS(ChangeRequests!$B$2:$B$1000,A12,ChangeRequests!$P$2:$P$1000,"Yes")</f>
        <v>0</v>
      </c>
      <c r="AX12" s="13" t="n">
        <f aca="false">COUNTIFS(Allocations!$B$2:$B$2000,A12,Allocations!$K$2:$K$2000,"Yes")</f>
        <v>6</v>
      </c>
      <c r="AY12" s="27" t="n">
        <f aca="false">IF(COUNTIFS(Milestones!$B$2:$B$2000,A12,Milestones!$L$2:$L$2000,"&lt;&gt;Completed")=0,"",_xlfn.MINIFS(Milestones!$F$2:$F$2000,Milestones!$B$2:$B$2000,A12,Milestones!$L$2:$L$2000,"&lt;&gt;Completed"))</f>
        <v>46374</v>
      </c>
      <c r="AZ12" s="12" t="str">
        <f aca="false">IF(J12="Planned","N/A",IF(AK12-T12&gt;RAG_CostRed,"Red",IF(AK12-T12&gt;RAG_CostAmber,"Amber","Green")))</f>
        <v>Green</v>
      </c>
      <c r="BA12" s="12" t="str">
        <f aca="false">IF(J12="Planned","N/A",IF(AO12&gt;RAG_ScheduleRedDays,"Red",IF(AO12&gt;RAG_ScheduleAmberDays,"Amber","Green")))</f>
        <v>Green</v>
      </c>
      <c r="BB12" s="12" t="str">
        <f aca="false">IF(J12="Planned","N/A",IF(AM12&lt;MarginFloor,"Red",IF(AM12&lt;S12-MarginTolerance,"Amber","Green")))</f>
        <v>Green</v>
      </c>
      <c r="BC12" s="12" t="str">
        <f aca="false">IF(J12="Planned","N/A",IF(OR(AZ12="Red",BA12="Red",BB12="Red"),"Red",IF(OR(AZ12="Amber",BA12="Amber",BB12="Amber"),"Amber","Green")))</f>
        <v>Green</v>
      </c>
      <c r="BD12" s="13" t="n">
        <f aca="false">IF(J12="Planned","",MAX(0,ROUND(100-MAX(0,AK12-T12)*150-MAX(0,AO12)*0.4-MAX(0,S12-AM12)*150,0)))</f>
        <v>100</v>
      </c>
    </row>
    <row r="13" customFormat="false" ht="15" hidden="false" customHeight="false" outlineLevel="0" collapsed="false">
      <c r="A13" s="18" t="s">
        <v>261</v>
      </c>
      <c r="B13" s="18" t="s">
        <v>262</v>
      </c>
      <c r="C13" s="18" t="s">
        <v>263</v>
      </c>
      <c r="D13" s="21" t="str">
        <f aca="false">IFERROR(INDEX(Clients!$B$2:$B$200,MATCH(C13,Clients!$A$2:$A$200,0)),"Unknown client")</f>
        <v>Lakeshore Energy</v>
      </c>
      <c r="E13" s="18" t="s">
        <v>134</v>
      </c>
      <c r="F13" s="18" t="s">
        <v>225</v>
      </c>
      <c r="G13" s="18" t="s">
        <v>247</v>
      </c>
      <c r="H13" s="21" t="str">
        <f aca="false">IFERROR(INDEX(Resources!$B$2:$B$500,MATCH(G13,Resources!$A$2:$A$500,0)),"")</f>
        <v>Arjun Baptiste</v>
      </c>
      <c r="I13" s="18" t="s">
        <v>264</v>
      </c>
      <c r="J13" s="18" t="s">
        <v>203</v>
      </c>
      <c r="K13" s="18" t="s">
        <v>213</v>
      </c>
      <c r="L13" s="18" t="s">
        <v>205</v>
      </c>
      <c r="M13" s="18" t="s">
        <v>206</v>
      </c>
      <c r="N13" s="22" t="n">
        <v>5</v>
      </c>
      <c r="O13" s="19" t="n">
        <v>46174</v>
      </c>
      <c r="P13" s="19" t="n">
        <v>46374</v>
      </c>
      <c r="Q13" s="19" t="n">
        <v>46374</v>
      </c>
      <c r="R13" s="23" t="n">
        <v>510000</v>
      </c>
      <c r="S13" s="24" t="n">
        <v>0.32</v>
      </c>
      <c r="T13" s="24" t="n">
        <v>0.44</v>
      </c>
      <c r="U13" s="19" t="n">
        <v>46271</v>
      </c>
      <c r="V13" s="14" t="n">
        <f aca="false">SUMIFS(ChangeRequests!$H$2:$H$1000,ChangeRequests!$B$2:$B$1000,A13,ChangeRequests!$G$2:$G$1000,"Approved")</f>
        <v>0</v>
      </c>
      <c r="W13" s="14" t="n">
        <f aca="false">R13+V13</f>
        <v>510000</v>
      </c>
      <c r="X13" s="14" t="n">
        <f aca="false">SUMIFS(Budget!$E$2:$E$2000,Budget!$B$2:$B$2000,A13)</f>
        <v>346500</v>
      </c>
      <c r="Y13" s="14" t="n">
        <f aca="false">SUMIFS(ChangeRequests!$I$2:$I$1000,ChangeRequests!$B$2:$B$1000,A13,ChangeRequests!$G$2:$G$1000,"Approved")</f>
        <v>0</v>
      </c>
      <c r="Z13" s="14" t="n">
        <f aca="false">X13+Y13</f>
        <v>346500</v>
      </c>
      <c r="AA13" s="16" t="n">
        <f aca="false">SUMIFS(Actuals!$H$2:$H$6000,Actuals!$C$2:$C$6000,A13)</f>
        <v>1289.2</v>
      </c>
      <c r="AB13" s="14" t="n">
        <f aca="false">SUMIFS(Actuals!$J$2:$J$6000,Actuals!$C$2:$C$6000,A13)</f>
        <v>142260.82</v>
      </c>
      <c r="AC13" s="15" t="n">
        <f aca="false">IF(J13="Completed",1,IF(AsOfDate&lt;=O13,0,MIN(1,(AsOfDate-O13)/MAX(1,P13-O13))))</f>
        <v>0.51</v>
      </c>
      <c r="AD13" s="14" t="n">
        <f aca="false">T13*Z13</f>
        <v>152460</v>
      </c>
      <c r="AE13" s="14" t="n">
        <f aca="false">AC13*Z13</f>
        <v>176715</v>
      </c>
      <c r="AF13" s="25" t="n">
        <f aca="false">IF(AB13=0,1,AD13/AB13)</f>
        <v>1.07169352742378</v>
      </c>
      <c r="AG13" s="25" t="n">
        <f aca="false">IF(AE13=0,1,AD13/AE13)</f>
        <v>0.862745098039216</v>
      </c>
      <c r="AH13" s="14" t="n">
        <f aca="false">IF(J13="Completed",AB13,IF(T13&lt;0.05,MAX(Z13,AB13),AB13/T13))</f>
        <v>323320.045454545</v>
      </c>
      <c r="AI13" s="14" t="n">
        <f aca="false">MAX(0,AH13-AB13)</f>
        <v>181059.225454545</v>
      </c>
      <c r="AJ13" s="14" t="n">
        <f aca="false">Z13-AH13</f>
        <v>23179.9545454545</v>
      </c>
      <c r="AK13" s="15" t="n">
        <f aca="false">IF(Z13=0,0,AB13/Z13)</f>
        <v>0.410565137085137</v>
      </c>
      <c r="AL13" s="14" t="n">
        <f aca="false">W13-AH13</f>
        <v>186679.954545455</v>
      </c>
      <c r="AM13" s="15" t="n">
        <f aca="false">IF(W13=0,0,AL13/W13)</f>
        <v>0.366039126559715</v>
      </c>
      <c r="AN13" s="15" t="n">
        <f aca="false">AM13-S13</f>
        <v>0.0460391265597148</v>
      </c>
      <c r="AO13" s="26" t="n">
        <f aca="false">Q13-P13</f>
        <v>0</v>
      </c>
      <c r="AP13" s="26" t="n">
        <f aca="false">IF(J13="Completed",0,MAX(0,Q13-AsOfDate))</f>
        <v>98</v>
      </c>
      <c r="AQ13" s="14" t="n">
        <f aca="false">SUMIFS(Invoices!$F$2:$F$2000,Invoices!$B$2:$B$2000,A13)</f>
        <v>153000</v>
      </c>
      <c r="AR13" s="14" t="n">
        <f aca="false">SUMIFS(Invoices!$F$2:$F$2000,Invoices!$B$2:$B$2000,A13,Invoices!$K$2:$K$2000,"Paid")</f>
        <v>153000</v>
      </c>
      <c r="AS13" s="14" t="n">
        <f aca="false">T13*W13-AQ13</f>
        <v>71400</v>
      </c>
      <c r="AT13" s="13" t="n">
        <f aca="false">COUNTIFS(RAID!$B$2:$B$2000,A13,RAID!$C$2:$C$2000,"Risk",RAID!$J$2:$J$2000,"&lt;&gt;Closed")</f>
        <v>0</v>
      </c>
      <c r="AU13" s="13" t="n">
        <f aca="false">COUNTIFS(RAID!$B$2:$B$2000,A13,RAID!$C$2:$C$2000,"Issue",RAID!$J$2:$J$2000,"&lt;&gt;Closed")</f>
        <v>0</v>
      </c>
      <c r="AV13" s="14" t="n">
        <f aca="false">SUMIFS(RAID!$Q$2:$Q$2000,RAID!$B$2:$B$2000,A13,RAID!$J$2:$J$2000,"&lt;&gt;Closed")</f>
        <v>0</v>
      </c>
      <c r="AW13" s="13" t="n">
        <f aca="false">COUNTIFS(ChangeRequests!$B$2:$B$1000,A13,ChangeRequests!$P$2:$P$1000,"Yes")</f>
        <v>0</v>
      </c>
      <c r="AX13" s="13" t="n">
        <f aca="false">COUNTIFS(Allocations!$B$2:$B$2000,A13,Allocations!$K$2:$K$2000,"Yes")</f>
        <v>6</v>
      </c>
      <c r="AY13" s="27" t="n">
        <f aca="false">IF(COUNTIFS(Milestones!$B$2:$B$2000,A13,Milestones!$L$2:$L$2000,"&lt;&gt;Completed")=0,"",_xlfn.MINIFS(Milestones!$F$2:$F$2000,Milestones!$B$2:$B$2000,A13,Milestones!$L$2:$L$2000,"&lt;&gt;Completed"))</f>
        <v>46314</v>
      </c>
      <c r="AZ13" s="12" t="str">
        <f aca="false">IF(J13="Planned","N/A",IF(AK13-T13&gt;RAG_CostRed,"Red",IF(AK13-T13&gt;RAG_CostAmber,"Amber","Green")))</f>
        <v>Green</v>
      </c>
      <c r="BA13" s="12" t="str">
        <f aca="false">IF(J13="Planned","N/A",IF(AO13&gt;RAG_ScheduleRedDays,"Red",IF(AO13&gt;RAG_ScheduleAmberDays,"Amber","Green")))</f>
        <v>Green</v>
      </c>
      <c r="BB13" s="12" t="str">
        <f aca="false">IF(J13="Planned","N/A",IF(AM13&lt;MarginFloor,"Red",IF(AM13&lt;S13-MarginTolerance,"Amber","Green")))</f>
        <v>Green</v>
      </c>
      <c r="BC13" s="12" t="str">
        <f aca="false">IF(J13="Planned","N/A",IF(OR(AZ13="Red",BA13="Red",BB13="Red"),"Red",IF(OR(AZ13="Amber",BA13="Amber",BB13="Amber"),"Amber","Green")))</f>
        <v>Green</v>
      </c>
      <c r="BD13" s="13" t="n">
        <f aca="false">IF(J13="Planned","",MAX(0,ROUND(100-MAX(0,AK13-T13)*150-MAX(0,AO13)*0.4-MAX(0,S13-AM13)*150,0)))</f>
        <v>100</v>
      </c>
    </row>
    <row r="14" customFormat="false" ht="15" hidden="false" customHeight="false" outlineLevel="0" collapsed="false">
      <c r="A14" s="18" t="s">
        <v>265</v>
      </c>
      <c r="B14" s="18" t="s">
        <v>266</v>
      </c>
      <c r="C14" s="18" t="s">
        <v>217</v>
      </c>
      <c r="D14" s="21" t="str">
        <f aca="false">IFERROR(INDEX(Clients!$B$2:$B$200,MATCH(C14,Clients!$A$2:$A$200,0)),"Unknown client")</f>
        <v>Maple Ridge Financial</v>
      </c>
      <c r="E14" s="18" t="s">
        <v>136</v>
      </c>
      <c r="F14" s="18" t="s">
        <v>210</v>
      </c>
      <c r="G14" s="18" t="s">
        <v>211</v>
      </c>
      <c r="H14" s="21" t="str">
        <f aca="false">IFERROR(INDEX(Resources!$B$2:$B$500,MATCH(G14,Resources!$A$2:$A$500,0)),"")</f>
        <v>Liam Roy</v>
      </c>
      <c r="I14" s="18" t="s">
        <v>219</v>
      </c>
      <c r="J14" s="18" t="s">
        <v>203</v>
      </c>
      <c r="K14" s="18" t="s">
        <v>204</v>
      </c>
      <c r="L14" s="18" t="s">
        <v>220</v>
      </c>
      <c r="M14" s="18" t="s">
        <v>206</v>
      </c>
      <c r="N14" s="22" t="n">
        <v>9</v>
      </c>
      <c r="O14" s="19" t="n">
        <v>45873</v>
      </c>
      <c r="P14" s="19" t="n">
        <v>46325</v>
      </c>
      <c r="Q14" s="19" t="n">
        <v>46342</v>
      </c>
      <c r="R14" s="23" t="n">
        <v>1415000</v>
      </c>
      <c r="S14" s="24" t="n">
        <v>0.34</v>
      </c>
      <c r="T14" s="24" t="n">
        <v>0.82</v>
      </c>
      <c r="U14" s="19" t="n">
        <v>46270</v>
      </c>
      <c r="V14" s="14" t="n">
        <f aca="false">SUMIFS(ChangeRequests!$H$2:$H$1000,ChangeRequests!$B$2:$B$1000,A14,ChangeRequests!$G$2:$G$1000,"Approved")</f>
        <v>95000</v>
      </c>
      <c r="W14" s="14" t="n">
        <f aca="false">R14+V14</f>
        <v>1510000</v>
      </c>
      <c r="X14" s="14" t="n">
        <f aca="false">SUMIFS(Budget!$E$2:$E$2000,Budget!$B$2:$B$2000,A14)</f>
        <v>934500</v>
      </c>
      <c r="Y14" s="14" t="n">
        <f aca="false">SUMIFS(ChangeRequests!$I$2:$I$1000,ChangeRequests!$B$2:$B$1000,A14,ChangeRequests!$G$2:$G$1000,"Approved")</f>
        <v>88000</v>
      </c>
      <c r="Z14" s="14" t="n">
        <f aca="false">X14+Y14</f>
        <v>1022500</v>
      </c>
      <c r="AA14" s="16" t="n">
        <f aca="false">SUMIFS(Actuals!$H$2:$H$6000,Actuals!$C$2:$C$6000,A14)</f>
        <v>9097.1</v>
      </c>
      <c r="AB14" s="14" t="n">
        <f aca="false">SUMIFS(Actuals!$J$2:$J$6000,Actuals!$C$2:$C$6000,A14)</f>
        <v>899800.48</v>
      </c>
      <c r="AC14" s="15" t="n">
        <f aca="false">IF(J14="Completed",1,IF(AsOfDate&lt;=O14,0,MIN(1,(AsOfDate-O14)/MAX(1,P14-O14))))</f>
        <v>0.891592920353982</v>
      </c>
      <c r="AD14" s="14" t="n">
        <f aca="false">T14*Z14</f>
        <v>838450</v>
      </c>
      <c r="AE14" s="14" t="n">
        <f aca="false">AC14*Z14</f>
        <v>911653.761061947</v>
      </c>
      <c r="AF14" s="25" t="n">
        <f aca="false">IF(AB14=0,1,AD14/AB14)</f>
        <v>0.931817684738288</v>
      </c>
      <c r="AG14" s="25" t="n">
        <f aca="false">IF(AE14=0,1,AD14/AE14)</f>
        <v>0.91970223325062</v>
      </c>
      <c r="AH14" s="14" t="n">
        <f aca="false">IF(J14="Completed",AB14,IF(T14&lt;0.05,MAX(Z14,AB14),AB14/T14))</f>
        <v>1097317.65853659</v>
      </c>
      <c r="AI14" s="14" t="n">
        <f aca="false">MAX(0,AH14-AB14)</f>
        <v>197517.178536586</v>
      </c>
      <c r="AJ14" s="14" t="n">
        <f aca="false">Z14-AH14</f>
        <v>-74817.6585365855</v>
      </c>
      <c r="AK14" s="15" t="n">
        <f aca="false">IF(Z14=0,0,AB14/Z14)</f>
        <v>0.880000469437653</v>
      </c>
      <c r="AL14" s="14" t="n">
        <f aca="false">W14-AH14</f>
        <v>412682.341463415</v>
      </c>
      <c r="AM14" s="15" t="n">
        <f aca="false">IF(W14=0,0,AL14/W14)</f>
        <v>0.273299563883056</v>
      </c>
      <c r="AN14" s="15" t="n">
        <f aca="false">AM14-S14</f>
        <v>-0.0667004361169441</v>
      </c>
      <c r="AO14" s="26" t="n">
        <f aca="false">Q14-P14</f>
        <v>17</v>
      </c>
      <c r="AP14" s="26" t="n">
        <f aca="false">IF(J14="Completed",0,MAX(0,Q14-AsOfDate))</f>
        <v>66</v>
      </c>
      <c r="AQ14" s="14" t="n">
        <f aca="false">SUMIFS(Invoices!$F$2:$F$2000,Invoices!$B$2:$B$2000,A14)</f>
        <v>849000</v>
      </c>
      <c r="AR14" s="14" t="n">
        <f aca="false">SUMIFS(Invoices!$F$2:$F$2000,Invoices!$B$2:$B$2000,A14,Invoices!$K$2:$K$2000,"Paid")</f>
        <v>849000</v>
      </c>
      <c r="AS14" s="14" t="n">
        <f aca="false">T14*W14-AQ14</f>
        <v>389200</v>
      </c>
      <c r="AT14" s="13" t="n">
        <f aca="false">COUNTIFS(RAID!$B$2:$B$2000,A14,RAID!$C$2:$C$2000,"Risk",RAID!$J$2:$J$2000,"&lt;&gt;Closed")</f>
        <v>1</v>
      </c>
      <c r="AU14" s="13" t="n">
        <f aca="false">COUNTIFS(RAID!$B$2:$B$2000,A14,RAID!$C$2:$C$2000,"Issue",RAID!$J$2:$J$2000,"&lt;&gt;Closed")</f>
        <v>0</v>
      </c>
      <c r="AV14" s="14" t="n">
        <f aca="false">SUMIFS(RAID!$Q$2:$Q$2000,RAID!$B$2:$B$2000,A14,RAID!$J$2:$J$2000,"&lt;&gt;Closed")</f>
        <v>9000</v>
      </c>
      <c r="AW14" s="13" t="n">
        <f aca="false">COUNTIFS(ChangeRequests!$B$2:$B$1000,A14,ChangeRequests!$P$2:$P$1000,"Yes")</f>
        <v>1</v>
      </c>
      <c r="AX14" s="13" t="n">
        <f aca="false">COUNTIFS(Allocations!$B$2:$B$2000,A14,Allocations!$K$2:$K$2000,"Yes")</f>
        <v>6</v>
      </c>
      <c r="AY14" s="27" t="n">
        <f aca="false">IF(COUNTIFS(Milestones!$B$2:$B$2000,A14,Milestones!$L$2:$L$2000,"&lt;&gt;Completed")=0,"",_xlfn.MINIFS(Milestones!$F$2:$F$2000,Milestones!$B$2:$B$2000,A14,Milestones!$L$2:$L$2000,"&lt;&gt;Completed"))</f>
        <v>46293</v>
      </c>
      <c r="AZ14" s="12" t="str">
        <f aca="false">IF(J14="Planned","N/A",IF(AK14-T14&gt;RAG_CostRed,"Red",IF(AK14-T14&gt;RAG_CostAmber,"Amber","Green")))</f>
        <v>Green</v>
      </c>
      <c r="BA14" s="12" t="str">
        <f aca="false">IF(J14="Planned","N/A",IF(AO14&gt;RAG_ScheduleRedDays,"Red",IF(AO14&gt;RAG_ScheduleAmberDays,"Amber","Green")))</f>
        <v>Amber</v>
      </c>
      <c r="BB14" s="12" t="str">
        <f aca="false">IF(J14="Planned","N/A",IF(AM14&lt;MarginFloor,"Red",IF(AM14&lt;S14-MarginTolerance,"Amber","Green")))</f>
        <v>Amber</v>
      </c>
      <c r="BC14" s="12" t="str">
        <f aca="false">IF(J14="Planned","N/A",IF(OR(AZ14="Red",BA14="Red",BB14="Red"),"Red",IF(OR(AZ14="Amber",BA14="Amber",BB14="Amber"),"Amber","Green")))</f>
        <v>Amber</v>
      </c>
      <c r="BD14" s="13" t="n">
        <f aca="false">IF(J14="Planned","",MAX(0,ROUND(100-MAX(0,AK14-T14)*150-MAX(0,AO14)*0.4-MAX(0,S14-AM14)*150,0)))</f>
        <v>74</v>
      </c>
    </row>
    <row r="15" customFormat="false" ht="15" hidden="false" customHeight="false" outlineLevel="0" collapsed="false">
      <c r="A15" s="18" t="s">
        <v>267</v>
      </c>
      <c r="B15" s="18" t="s">
        <v>268</v>
      </c>
      <c r="C15" s="18" t="s">
        <v>224</v>
      </c>
      <c r="D15" s="21" t="str">
        <f aca="false">IFERROR(INDEX(Clients!$B$2:$B$200,MATCH(C15,Clients!$A$2:$A$200,0)),"Unknown client")</f>
        <v>Harbourview Logistics</v>
      </c>
      <c r="E15" s="18" t="s">
        <v>135</v>
      </c>
      <c r="F15" s="18" t="s">
        <v>225</v>
      </c>
      <c r="G15" s="18" t="s">
        <v>242</v>
      </c>
      <c r="H15" s="21" t="str">
        <f aca="false">IFERROR(INDEX(Resources!$B$2:$B$500,MATCH(G15,Resources!$A$2:$A$500,0)),"")</f>
        <v>Ethan Park</v>
      </c>
      <c r="I15" s="18" t="s">
        <v>227</v>
      </c>
      <c r="J15" s="18" t="s">
        <v>203</v>
      </c>
      <c r="K15" s="18" t="s">
        <v>204</v>
      </c>
      <c r="L15" s="18" t="s">
        <v>205</v>
      </c>
      <c r="M15" s="18" t="s">
        <v>269</v>
      </c>
      <c r="N15" s="22" t="n">
        <v>8</v>
      </c>
      <c r="O15" s="19" t="n">
        <v>45839</v>
      </c>
      <c r="P15" s="19" t="n">
        <v>46387</v>
      </c>
      <c r="Q15" s="19" t="n">
        <v>46391</v>
      </c>
      <c r="R15" s="23" t="n">
        <v>1450000</v>
      </c>
      <c r="S15" s="24" t="n">
        <v>0.35</v>
      </c>
      <c r="T15" s="24" t="n">
        <v>0.81</v>
      </c>
      <c r="U15" s="19" t="n">
        <v>46269</v>
      </c>
      <c r="V15" s="14" t="n">
        <f aca="false">SUMIFS(ChangeRequests!$H$2:$H$1000,ChangeRequests!$B$2:$B$1000,A15,ChangeRequests!$G$2:$G$1000,"Approved")</f>
        <v>0</v>
      </c>
      <c r="W15" s="14" t="n">
        <f aca="false">R15+V15</f>
        <v>1450000</v>
      </c>
      <c r="X15" s="14" t="n">
        <f aca="false">SUMIFS(Budget!$E$2:$E$2000,Budget!$B$2:$B$2000,A15)</f>
        <v>943900</v>
      </c>
      <c r="Y15" s="14" t="n">
        <f aca="false">SUMIFS(ChangeRequests!$I$2:$I$1000,ChangeRequests!$B$2:$B$1000,A15,ChangeRequests!$G$2:$G$1000,"Approved")</f>
        <v>0</v>
      </c>
      <c r="Z15" s="14" t="n">
        <f aca="false">X15+Y15</f>
        <v>943900</v>
      </c>
      <c r="AA15" s="16" t="n">
        <f aca="false">SUMIFS(Actuals!$H$2:$H$6000,Actuals!$C$2:$C$6000,A15)</f>
        <v>5350.9</v>
      </c>
      <c r="AB15" s="14" t="n">
        <f aca="false">SUMIFS(Actuals!$J$2:$J$6000,Actuals!$C$2:$C$6000,A15)</f>
        <v>726209.58</v>
      </c>
      <c r="AC15" s="15" t="n">
        <f aca="false">IF(J15="Completed",1,IF(AsOfDate&lt;=O15,0,MIN(1,(AsOfDate-O15)/MAX(1,P15-O15))))</f>
        <v>0.797445255474453</v>
      </c>
      <c r="AD15" s="14" t="n">
        <f aca="false">T15*Z15</f>
        <v>764559</v>
      </c>
      <c r="AE15" s="14" t="n">
        <f aca="false">AC15*Z15</f>
        <v>752708.576642336</v>
      </c>
      <c r="AF15" s="25" t="n">
        <f aca="false">IF(AB15=0,1,AD15/AB15)</f>
        <v>1.05280764817231</v>
      </c>
      <c r="AG15" s="25" t="n">
        <f aca="false">IF(AE15=0,1,AD15/AE15)</f>
        <v>1.01574370709382</v>
      </c>
      <c r="AH15" s="14" t="n">
        <f aca="false">IF(J15="Completed",AB15,IF(T15&lt;0.05,MAX(Z15,AB15),AB15/T15))</f>
        <v>896555.037037037</v>
      </c>
      <c r="AI15" s="14" t="n">
        <f aca="false">MAX(0,AH15-AB15)</f>
        <v>170345.457037037</v>
      </c>
      <c r="AJ15" s="14" t="n">
        <f aca="false">Z15-AH15</f>
        <v>47344.962962963</v>
      </c>
      <c r="AK15" s="15" t="n">
        <f aca="false">IF(Z15=0,0,AB15/Z15)</f>
        <v>0.769371310520182</v>
      </c>
      <c r="AL15" s="14" t="n">
        <f aca="false">W15-AH15</f>
        <v>553444.962962963</v>
      </c>
      <c r="AM15" s="15" t="n">
        <f aca="false">IF(W15=0,0,AL15/W15)</f>
        <v>0.381686181353768</v>
      </c>
      <c r="AN15" s="15" t="n">
        <f aca="false">AM15-S15</f>
        <v>0.0316861813537676</v>
      </c>
      <c r="AO15" s="26" t="n">
        <f aca="false">Q15-P15</f>
        <v>4</v>
      </c>
      <c r="AP15" s="26" t="n">
        <f aca="false">IF(J15="Completed",0,MAX(0,Q15-AsOfDate))</f>
        <v>115</v>
      </c>
      <c r="AQ15" s="14" t="n">
        <f aca="false">SUMIFS(Invoices!$F$2:$F$2000,Invoices!$B$2:$B$2000,A15)</f>
        <v>1127777.84</v>
      </c>
      <c r="AR15" s="14" t="n">
        <f aca="false">SUMIFS(Invoices!$F$2:$F$2000,Invoices!$B$2:$B$2000,A15,Invoices!$K$2:$K$2000,"Paid")</f>
        <v>886111.16</v>
      </c>
      <c r="AS15" s="14" t="n">
        <f aca="false">T15*W15-AQ15</f>
        <v>46722.1600000002</v>
      </c>
      <c r="AT15" s="13" t="n">
        <f aca="false">COUNTIFS(RAID!$B$2:$B$2000,A15,RAID!$C$2:$C$2000,"Risk",RAID!$J$2:$J$2000,"&lt;&gt;Closed")</f>
        <v>0</v>
      </c>
      <c r="AU15" s="13" t="n">
        <f aca="false">COUNTIFS(RAID!$B$2:$B$2000,A15,RAID!$C$2:$C$2000,"Issue",RAID!$J$2:$J$2000,"&lt;&gt;Closed")</f>
        <v>2</v>
      </c>
      <c r="AV15" s="14" t="n">
        <f aca="false">SUMIFS(RAID!$Q$2:$Q$2000,RAID!$B$2:$B$2000,A15,RAID!$J$2:$J$2000,"&lt;&gt;Closed")</f>
        <v>55000</v>
      </c>
      <c r="AW15" s="13" t="n">
        <f aca="false">COUNTIFS(ChangeRequests!$B$2:$B$1000,A15,ChangeRequests!$P$2:$P$1000,"Yes")</f>
        <v>0</v>
      </c>
      <c r="AX15" s="13" t="n">
        <f aca="false">COUNTIFS(Allocations!$B$2:$B$2000,A15,Allocations!$K$2:$K$2000,"Yes")</f>
        <v>4</v>
      </c>
      <c r="AY15" s="27" t="n">
        <f aca="false">IF(COUNTIFS(Milestones!$B$2:$B$2000,A15,Milestones!$L$2:$L$2000,"&lt;&gt;Completed")=0,"",_xlfn.MINIFS(Milestones!$F$2:$F$2000,Milestones!$B$2:$B$2000,A15,Milestones!$L$2:$L$2000,"&lt;&gt;Completed"))</f>
        <v>46335</v>
      </c>
      <c r="AZ15" s="12" t="str">
        <f aca="false">IF(J15="Planned","N/A",IF(AK15-T15&gt;RAG_CostRed,"Red",IF(AK15-T15&gt;RAG_CostAmber,"Amber","Green")))</f>
        <v>Green</v>
      </c>
      <c r="BA15" s="12" t="str">
        <f aca="false">IF(J15="Planned","N/A",IF(AO15&gt;RAG_ScheduleRedDays,"Red",IF(AO15&gt;RAG_ScheduleAmberDays,"Amber","Green")))</f>
        <v>Green</v>
      </c>
      <c r="BB15" s="12" t="str">
        <f aca="false">IF(J15="Planned","N/A",IF(AM15&lt;MarginFloor,"Red",IF(AM15&lt;S15-MarginTolerance,"Amber","Green")))</f>
        <v>Green</v>
      </c>
      <c r="BC15" s="12" t="str">
        <f aca="false">IF(J15="Planned","N/A",IF(OR(AZ15="Red",BA15="Red",BB15="Red"),"Red",IF(OR(AZ15="Amber",BA15="Amber",BB15="Amber"),"Amber","Green")))</f>
        <v>Green</v>
      </c>
      <c r="BD15" s="13" t="n">
        <f aca="false">IF(J15="Planned","",MAX(0,ROUND(100-MAX(0,AK15-T15)*150-MAX(0,AO15)*0.4-MAX(0,S15-AM15)*150,0)))</f>
        <v>98</v>
      </c>
    </row>
    <row r="16" customFormat="false" ht="15" hidden="false" customHeight="false" outlineLevel="0" collapsed="false">
      <c r="A16" s="18" t="s">
        <v>270</v>
      </c>
      <c r="B16" s="18" t="s">
        <v>271</v>
      </c>
      <c r="C16" s="18" t="s">
        <v>209</v>
      </c>
      <c r="D16" s="21" t="str">
        <f aca="false">IFERROR(INDEX(Clients!$B$2:$B$200,MATCH(C16,Clients!$A$2:$A$200,0)),"Unknown client")</f>
        <v>Crestline Insurance</v>
      </c>
      <c r="E16" s="18" t="s">
        <v>136</v>
      </c>
      <c r="F16" s="18" t="s">
        <v>210</v>
      </c>
      <c r="G16" s="18" t="s">
        <v>237</v>
      </c>
      <c r="H16" s="21" t="str">
        <f aca="false">IFERROR(INDEX(Resources!$B$2:$B$500,MATCH(G16,Resources!$A$2:$A$500,0)),"")</f>
        <v>Olivia Silva</v>
      </c>
      <c r="I16" s="18" t="s">
        <v>212</v>
      </c>
      <c r="J16" s="18" t="s">
        <v>203</v>
      </c>
      <c r="K16" s="18" t="s">
        <v>213</v>
      </c>
      <c r="L16" s="18" t="s">
        <v>205</v>
      </c>
      <c r="M16" s="18" t="s">
        <v>206</v>
      </c>
      <c r="N16" s="22" t="n">
        <v>6</v>
      </c>
      <c r="O16" s="19" t="n">
        <v>46097</v>
      </c>
      <c r="P16" s="19" t="n">
        <v>46563</v>
      </c>
      <c r="Q16" s="19" t="n">
        <v>46573</v>
      </c>
      <c r="R16" s="23" t="n">
        <v>1315000</v>
      </c>
      <c r="S16" s="24" t="n">
        <v>0.32</v>
      </c>
      <c r="T16" s="24" t="n">
        <v>0.34</v>
      </c>
      <c r="U16" s="19" t="n">
        <v>46273</v>
      </c>
      <c r="V16" s="14" t="n">
        <f aca="false">SUMIFS(ChangeRequests!$H$2:$H$1000,ChangeRequests!$B$2:$B$1000,A16,ChangeRequests!$G$2:$G$1000,"Approved")</f>
        <v>150000</v>
      </c>
      <c r="W16" s="14" t="n">
        <f aca="false">R16+V16</f>
        <v>1465000</v>
      </c>
      <c r="X16" s="14" t="n">
        <f aca="false">SUMIFS(Budget!$E$2:$E$2000,Budget!$B$2:$B$2000,A16)</f>
        <v>892800</v>
      </c>
      <c r="Y16" s="14" t="n">
        <f aca="false">SUMIFS(ChangeRequests!$I$2:$I$1000,ChangeRequests!$B$2:$B$1000,A16,ChangeRequests!$G$2:$G$1000,"Approved")</f>
        <v>185000</v>
      </c>
      <c r="Z16" s="14" t="n">
        <f aca="false">X16+Y16</f>
        <v>1077800</v>
      </c>
      <c r="AA16" s="16" t="n">
        <f aca="false">SUMIFS(Actuals!$H$2:$H$6000,Actuals!$C$2:$C$6000,A16)</f>
        <v>3253.7</v>
      </c>
      <c r="AB16" s="14" t="n">
        <f aca="false">SUMIFS(Actuals!$J$2:$J$6000,Actuals!$C$2:$C$6000,A16)</f>
        <v>339750.83</v>
      </c>
      <c r="AC16" s="15" t="n">
        <f aca="false">IF(J16="Completed",1,IF(AsOfDate&lt;=O16,0,MIN(1,(AsOfDate-O16)/MAX(1,P16-O16))))</f>
        <v>0.38412017167382</v>
      </c>
      <c r="AD16" s="14" t="n">
        <f aca="false">T16*Z16</f>
        <v>366452</v>
      </c>
      <c r="AE16" s="14" t="n">
        <f aca="false">AC16*Z16</f>
        <v>414004.721030043</v>
      </c>
      <c r="AF16" s="25" t="n">
        <f aca="false">IF(AB16=0,1,AD16/AB16)</f>
        <v>1.07859044818228</v>
      </c>
      <c r="AG16" s="25" t="n">
        <f aca="false">IF(AE16=0,1,AD16/AE16)</f>
        <v>0.885139664804469</v>
      </c>
      <c r="AH16" s="14" t="n">
        <f aca="false">IF(J16="Completed",AB16,IF(T16&lt;0.05,MAX(Z16,AB16),AB16/T16))</f>
        <v>999267.147058824</v>
      </c>
      <c r="AI16" s="14" t="n">
        <f aca="false">MAX(0,AH16-AB16)</f>
        <v>659516.317058824</v>
      </c>
      <c r="AJ16" s="14" t="n">
        <f aca="false">Z16-AH16</f>
        <v>78532.8529411765</v>
      </c>
      <c r="AK16" s="15" t="n">
        <f aca="false">IF(Z16=0,0,AB16/Z16)</f>
        <v>0.315226229356096</v>
      </c>
      <c r="AL16" s="14" t="n">
        <f aca="false">W16-AH16</f>
        <v>465732.852941177</v>
      </c>
      <c r="AM16" s="15" t="n">
        <f aca="false">IF(W16=0,0,AL16/W16)</f>
        <v>0.317906384260189</v>
      </c>
      <c r="AN16" s="15" t="n">
        <f aca="false">AM16-S16</f>
        <v>-0.00209361573981126</v>
      </c>
      <c r="AO16" s="26" t="n">
        <f aca="false">Q16-P16</f>
        <v>10</v>
      </c>
      <c r="AP16" s="26" t="n">
        <f aca="false">IF(J16="Completed",0,MAX(0,Q16-AsOfDate))</f>
        <v>297</v>
      </c>
      <c r="AQ16" s="14" t="n">
        <f aca="false">SUMIFS(Invoices!$F$2:$F$2000,Invoices!$B$2:$B$2000,A16)</f>
        <v>394500</v>
      </c>
      <c r="AR16" s="14" t="n">
        <f aca="false">SUMIFS(Invoices!$F$2:$F$2000,Invoices!$B$2:$B$2000,A16,Invoices!$K$2:$K$2000,"Paid")</f>
        <v>394500</v>
      </c>
      <c r="AS16" s="14" t="n">
        <f aca="false">T16*W16-AQ16</f>
        <v>103600</v>
      </c>
      <c r="AT16" s="13" t="n">
        <f aca="false">COUNTIFS(RAID!$B$2:$B$2000,A16,RAID!$C$2:$C$2000,"Risk",RAID!$J$2:$J$2000,"&lt;&gt;Closed")</f>
        <v>2</v>
      </c>
      <c r="AU16" s="13" t="n">
        <f aca="false">COUNTIFS(RAID!$B$2:$B$2000,A16,RAID!$C$2:$C$2000,"Issue",RAID!$J$2:$J$2000,"&lt;&gt;Closed")</f>
        <v>0</v>
      </c>
      <c r="AV16" s="14" t="n">
        <f aca="false">SUMIFS(RAID!$Q$2:$Q$2000,RAID!$B$2:$B$2000,A16,RAID!$J$2:$J$2000,"&lt;&gt;Closed")</f>
        <v>29400</v>
      </c>
      <c r="AW16" s="13" t="n">
        <f aca="false">COUNTIFS(ChangeRequests!$B$2:$B$1000,A16,ChangeRequests!$P$2:$P$1000,"Yes")</f>
        <v>0</v>
      </c>
      <c r="AX16" s="13" t="n">
        <f aca="false">COUNTIFS(Allocations!$B$2:$B$2000,A16,Allocations!$K$2:$K$2000,"Yes")</f>
        <v>5</v>
      </c>
      <c r="AY16" s="27" t="n">
        <f aca="false">IF(COUNTIFS(Milestones!$B$2:$B$2000,A16,Milestones!$L$2:$L$2000,"&lt;&gt;Completed")=0,"",_xlfn.MINIFS(Milestones!$F$2:$F$2000,Milestones!$B$2:$B$2000,A16,Milestones!$L$2:$L$2000,"&lt;&gt;Completed"))</f>
        <v>46429</v>
      </c>
      <c r="AZ16" s="12" t="str">
        <f aca="false">IF(J16="Planned","N/A",IF(AK16-T16&gt;RAG_CostRed,"Red",IF(AK16-T16&gt;RAG_CostAmber,"Amber","Green")))</f>
        <v>Green</v>
      </c>
      <c r="BA16" s="12" t="str">
        <f aca="false">IF(J16="Planned","N/A",IF(AO16&gt;RAG_ScheduleRedDays,"Red",IF(AO16&gt;RAG_ScheduleAmberDays,"Amber","Green")))</f>
        <v>Green</v>
      </c>
      <c r="BB16" s="12" t="str">
        <f aca="false">IF(J16="Planned","N/A",IF(AM16&lt;MarginFloor,"Red",IF(AM16&lt;S16-MarginTolerance,"Amber","Green")))</f>
        <v>Green</v>
      </c>
      <c r="BC16" s="12" t="str">
        <f aca="false">IF(J16="Planned","N/A",IF(OR(AZ16="Red",BA16="Red",BB16="Red"),"Red",IF(OR(AZ16="Amber",BA16="Amber",BB16="Amber"),"Amber","Green")))</f>
        <v>Green</v>
      </c>
      <c r="BD16" s="13" t="n">
        <f aca="false">IF(J16="Planned","",MAX(0,ROUND(100-MAX(0,AK16-T16)*150-MAX(0,AO16)*0.4-MAX(0,S16-AM16)*150,0)))</f>
        <v>96</v>
      </c>
    </row>
    <row r="17" customFormat="false" ht="15" hidden="false" customHeight="false" outlineLevel="0" collapsed="false">
      <c r="A17" s="18" t="s">
        <v>272</v>
      </c>
      <c r="B17" s="18" t="s">
        <v>273</v>
      </c>
      <c r="C17" s="18" t="s">
        <v>224</v>
      </c>
      <c r="D17" s="21" t="str">
        <f aca="false">IFERROR(INDEX(Clients!$B$2:$B$200,MATCH(C17,Clients!$A$2:$A$200,0)),"Unknown client")</f>
        <v>Harbourview Logistics</v>
      </c>
      <c r="E17" s="18" t="s">
        <v>137</v>
      </c>
      <c r="F17" s="18" t="s">
        <v>225</v>
      </c>
      <c r="G17" s="18" t="s">
        <v>201</v>
      </c>
      <c r="H17" s="21" t="str">
        <f aca="false">IFERROR(INDEX(Resources!$B$2:$B$500,MATCH(G17,Resources!$A$2:$A$500,0)),"")</f>
        <v>Aisha Tremblay</v>
      </c>
      <c r="I17" s="18" t="s">
        <v>274</v>
      </c>
      <c r="J17" s="18" t="s">
        <v>203</v>
      </c>
      <c r="K17" s="18" t="s">
        <v>213</v>
      </c>
      <c r="L17" s="18" t="s">
        <v>205</v>
      </c>
      <c r="M17" s="18" t="s">
        <v>221</v>
      </c>
      <c r="N17" s="22" t="n">
        <v>10</v>
      </c>
      <c r="O17" s="19" t="n">
        <v>46125</v>
      </c>
      <c r="P17" s="19" t="n">
        <v>46346</v>
      </c>
      <c r="Q17" s="19" t="n">
        <v>46349</v>
      </c>
      <c r="R17" s="23" t="n">
        <v>405000</v>
      </c>
      <c r="S17" s="24" t="n">
        <v>0.42</v>
      </c>
      <c r="T17" s="24" t="n">
        <v>0.6</v>
      </c>
      <c r="U17" s="19" t="n">
        <v>46272</v>
      </c>
      <c r="V17" s="14" t="n">
        <f aca="false">SUMIFS(ChangeRequests!$H$2:$H$1000,ChangeRequests!$B$2:$B$1000,A17,ChangeRequests!$G$2:$G$1000,"Approved")</f>
        <v>65000</v>
      </c>
      <c r="W17" s="14" t="n">
        <f aca="false">R17+V17</f>
        <v>470000</v>
      </c>
      <c r="X17" s="14" t="n">
        <f aca="false">SUMIFS(Budget!$E$2:$E$2000,Budget!$B$2:$B$2000,A17)</f>
        <v>283700</v>
      </c>
      <c r="Y17" s="14" t="n">
        <f aca="false">SUMIFS(ChangeRequests!$I$2:$I$1000,ChangeRequests!$B$2:$B$1000,A17,ChangeRequests!$G$2:$G$1000,"Approved")</f>
        <v>41000</v>
      </c>
      <c r="Z17" s="14" t="n">
        <f aca="false">X17+Y17</f>
        <v>324700</v>
      </c>
      <c r="AA17" s="16" t="n">
        <f aca="false">SUMIFS(Actuals!$H$2:$H$6000,Actuals!$C$2:$C$6000,A17)</f>
        <v>1553</v>
      </c>
      <c r="AB17" s="14" t="n">
        <f aca="false">SUMIFS(Actuals!$J$2:$J$6000,Actuals!$C$2:$C$6000,A17)</f>
        <v>168612.03</v>
      </c>
      <c r="AC17" s="15" t="n">
        <f aca="false">IF(J17="Completed",1,IF(AsOfDate&lt;=O17,0,MIN(1,(AsOfDate-O17)/MAX(1,P17-O17))))</f>
        <v>0.683257918552036</v>
      </c>
      <c r="AD17" s="14" t="n">
        <f aca="false">T17*Z17</f>
        <v>194820</v>
      </c>
      <c r="AE17" s="14" t="n">
        <f aca="false">AC17*Z17</f>
        <v>221853.846153846</v>
      </c>
      <c r="AF17" s="25" t="n">
        <f aca="false">IF(AB17=0,1,AD17/AB17)</f>
        <v>1.15543357137685</v>
      </c>
      <c r="AG17" s="25" t="n">
        <f aca="false">IF(AE17=0,1,AD17/AE17)</f>
        <v>0.878145695364238</v>
      </c>
      <c r="AH17" s="14" t="n">
        <f aca="false">IF(J17="Completed",AB17,IF(T17&lt;0.05,MAX(Z17,AB17),AB17/T17))</f>
        <v>281020.05</v>
      </c>
      <c r="AI17" s="14" t="n">
        <f aca="false">MAX(0,AH17-AB17)</f>
        <v>112408.02</v>
      </c>
      <c r="AJ17" s="14" t="n">
        <f aca="false">Z17-AH17</f>
        <v>43679.95</v>
      </c>
      <c r="AK17" s="15" t="n">
        <f aca="false">IF(Z17=0,0,AB17/Z17)</f>
        <v>0.519285586695411</v>
      </c>
      <c r="AL17" s="14" t="n">
        <f aca="false">W17-AH17</f>
        <v>188979.95</v>
      </c>
      <c r="AM17" s="15" t="n">
        <f aca="false">IF(W17=0,0,AL17/W17)</f>
        <v>0.402085</v>
      </c>
      <c r="AN17" s="15" t="n">
        <f aca="false">AM17-S17</f>
        <v>-0.017915</v>
      </c>
      <c r="AO17" s="26" t="n">
        <f aca="false">Q17-P17</f>
        <v>3</v>
      </c>
      <c r="AP17" s="26" t="n">
        <f aca="false">IF(J17="Completed",0,MAX(0,Q17-AsOfDate))</f>
        <v>73</v>
      </c>
      <c r="AQ17" s="14" t="n">
        <f aca="false">SUMIFS(Invoices!$F$2:$F$2000,Invoices!$B$2:$B$2000,A17)</f>
        <v>248248.95</v>
      </c>
      <c r="AR17" s="14" t="n">
        <f aca="false">SUMIFS(Invoices!$F$2:$F$2000,Invoices!$B$2:$B$2000,A17,Invoices!$K$2:$K$2000,"Paid")</f>
        <v>85035.83</v>
      </c>
      <c r="AS17" s="14" t="n">
        <f aca="false">T17*W17-AQ17</f>
        <v>33751.05</v>
      </c>
      <c r="AT17" s="13" t="n">
        <f aca="false">COUNTIFS(RAID!$B$2:$B$2000,A17,RAID!$C$2:$C$2000,"Risk",RAID!$J$2:$J$2000,"&lt;&gt;Closed")</f>
        <v>1</v>
      </c>
      <c r="AU17" s="13" t="n">
        <f aca="false">COUNTIFS(RAID!$B$2:$B$2000,A17,RAID!$C$2:$C$2000,"Issue",RAID!$J$2:$J$2000,"&lt;&gt;Closed")</f>
        <v>0</v>
      </c>
      <c r="AV17" s="14" t="n">
        <f aca="false">SUMIFS(RAID!$Q$2:$Q$2000,RAID!$B$2:$B$2000,A17,RAID!$J$2:$J$2000,"&lt;&gt;Closed")</f>
        <v>31800</v>
      </c>
      <c r="AW17" s="13" t="n">
        <f aca="false">COUNTIFS(ChangeRequests!$B$2:$B$1000,A17,ChangeRequests!$P$2:$P$1000,"Yes")</f>
        <v>0</v>
      </c>
      <c r="AX17" s="13" t="n">
        <f aca="false">COUNTIFS(Allocations!$B$2:$B$2000,A17,Allocations!$K$2:$K$2000,"Yes")</f>
        <v>6</v>
      </c>
      <c r="AY17" s="27" t="n">
        <f aca="false">IF(COUNTIFS(Milestones!$B$2:$B$2000,A17,Milestones!$L$2:$L$2000,"&lt;&gt;Completed")=0,"",_xlfn.MINIFS(Milestones!$F$2:$F$2000,Milestones!$B$2:$B$2000,A17,Milestones!$L$2:$L$2000,"&lt;&gt;Completed"))</f>
        <v>46280</v>
      </c>
      <c r="AZ17" s="12" t="str">
        <f aca="false">IF(J17="Planned","N/A",IF(AK17-T17&gt;RAG_CostRed,"Red",IF(AK17-T17&gt;RAG_CostAmber,"Amber","Green")))</f>
        <v>Green</v>
      </c>
      <c r="BA17" s="12" t="str">
        <f aca="false">IF(J17="Planned","N/A",IF(AO17&gt;RAG_ScheduleRedDays,"Red",IF(AO17&gt;RAG_ScheduleAmberDays,"Amber","Green")))</f>
        <v>Green</v>
      </c>
      <c r="BB17" s="12" t="str">
        <f aca="false">IF(J17="Planned","N/A",IF(AM17&lt;MarginFloor,"Red",IF(AM17&lt;S17-MarginTolerance,"Amber","Green")))</f>
        <v>Green</v>
      </c>
      <c r="BC17" s="12" t="str">
        <f aca="false">IF(J17="Planned","N/A",IF(OR(AZ17="Red",BA17="Red",BB17="Red"),"Red",IF(OR(AZ17="Amber",BA17="Amber",BB17="Amber"),"Amber","Green")))</f>
        <v>Green</v>
      </c>
      <c r="BD17" s="13" t="n">
        <f aca="false">IF(J17="Planned","",MAX(0,ROUND(100-MAX(0,AK17-T17)*150-MAX(0,AO17)*0.4-MAX(0,S17-AM17)*150,0)))</f>
        <v>96</v>
      </c>
    </row>
    <row r="18" customFormat="false" ht="15" hidden="false" customHeight="false" outlineLevel="0" collapsed="false">
      <c r="A18" s="18" t="s">
        <v>275</v>
      </c>
      <c r="B18" s="18" t="s">
        <v>276</v>
      </c>
      <c r="C18" s="18" t="s">
        <v>235</v>
      </c>
      <c r="D18" s="21" t="str">
        <f aca="false">IFERROR(INDEX(Clients!$B$2:$B$200,MATCH(C18,Clients!$A$2:$A$200,0)),"Unknown client")</f>
        <v>Aurora Retail Group</v>
      </c>
      <c r="E18" s="18" t="s">
        <v>133</v>
      </c>
      <c r="F18" s="18" t="s">
        <v>236</v>
      </c>
      <c r="G18" s="18" t="s">
        <v>218</v>
      </c>
      <c r="H18" s="21" t="str">
        <f aca="false">IFERROR(INDEX(Resources!$B$2:$B$500,MATCH(G18,Resources!$A$2:$A$500,0)),"")</f>
        <v>Mei Fraser</v>
      </c>
      <c r="I18" s="18" t="s">
        <v>238</v>
      </c>
      <c r="J18" s="18" t="s">
        <v>203</v>
      </c>
      <c r="K18" s="18" t="s">
        <v>213</v>
      </c>
      <c r="L18" s="18" t="s">
        <v>214</v>
      </c>
      <c r="M18" s="18" t="s">
        <v>206</v>
      </c>
      <c r="N18" s="22" t="n">
        <v>5</v>
      </c>
      <c r="O18" s="19" t="n">
        <v>46041</v>
      </c>
      <c r="P18" s="19" t="n">
        <v>46295</v>
      </c>
      <c r="Q18" s="19" t="n">
        <v>46350</v>
      </c>
      <c r="R18" s="23" t="n">
        <v>465000</v>
      </c>
      <c r="S18" s="24" t="n">
        <v>0.3</v>
      </c>
      <c r="T18" s="24" t="n">
        <v>0.7</v>
      </c>
      <c r="U18" s="19" t="n">
        <v>46271</v>
      </c>
      <c r="V18" s="14" t="n">
        <f aca="false">SUMIFS(ChangeRequests!$H$2:$H$1000,ChangeRequests!$B$2:$B$1000,A18,ChangeRequests!$G$2:$G$1000,"Approved")</f>
        <v>0</v>
      </c>
      <c r="W18" s="14" t="n">
        <f aca="false">R18+V18</f>
        <v>465000</v>
      </c>
      <c r="X18" s="14" t="n">
        <f aca="false">SUMIFS(Budget!$E$2:$E$2000,Budget!$B$2:$B$2000,A18)</f>
        <v>324000</v>
      </c>
      <c r="Y18" s="14" t="n">
        <f aca="false">SUMIFS(ChangeRequests!$I$2:$I$1000,ChangeRequests!$B$2:$B$1000,A18,ChangeRequests!$G$2:$G$1000,"Approved")</f>
        <v>65000</v>
      </c>
      <c r="Z18" s="14" t="n">
        <f aca="false">X18+Y18</f>
        <v>389000</v>
      </c>
      <c r="AA18" s="16" t="n">
        <f aca="false">SUMIFS(Actuals!$H$2:$H$6000,Actuals!$C$2:$C$6000,A18)</f>
        <v>4351.8</v>
      </c>
      <c r="AB18" s="14" t="n">
        <f aca="false">SUMIFS(Actuals!$J$2:$J$6000,Actuals!$C$2:$C$6000,A18)</f>
        <v>371195.43</v>
      </c>
      <c r="AC18" s="15" t="n">
        <f aca="false">IF(J18="Completed",1,IF(AsOfDate&lt;=O18,0,MIN(1,(AsOfDate-O18)/MAX(1,P18-O18))))</f>
        <v>0.925196850393701</v>
      </c>
      <c r="AD18" s="14" t="n">
        <f aca="false">T18*Z18</f>
        <v>272300</v>
      </c>
      <c r="AE18" s="14" t="n">
        <f aca="false">AC18*Z18</f>
        <v>359901.57480315</v>
      </c>
      <c r="AF18" s="25" t="n">
        <f aca="false">IF(AB18=0,1,AD18/AB18)</f>
        <v>0.733575841706887</v>
      </c>
      <c r="AG18" s="25" t="n">
        <f aca="false">IF(AE18=0,1,AD18/AE18)</f>
        <v>0.756595744680851</v>
      </c>
      <c r="AH18" s="14" t="n">
        <f aca="false">IF(J18="Completed",AB18,IF(T18&lt;0.05,MAX(Z18,AB18),AB18/T18))</f>
        <v>530279.185714286</v>
      </c>
      <c r="AI18" s="14" t="n">
        <f aca="false">MAX(0,AH18-AB18)</f>
        <v>159083.755714286</v>
      </c>
      <c r="AJ18" s="14" t="n">
        <f aca="false">Z18-AH18</f>
        <v>-141279.185714286</v>
      </c>
      <c r="AK18" s="15" t="n">
        <f aca="false">IF(Z18=0,0,AB18/Z18)</f>
        <v>0.954229897172237</v>
      </c>
      <c r="AL18" s="14" t="n">
        <f aca="false">W18-AH18</f>
        <v>-65279.1857142857</v>
      </c>
      <c r="AM18" s="15" t="n">
        <f aca="false">IF(W18=0,0,AL18/W18)</f>
        <v>-0.14038534562212</v>
      </c>
      <c r="AN18" s="15" t="n">
        <f aca="false">AM18-S18</f>
        <v>-0.44038534562212</v>
      </c>
      <c r="AO18" s="26" t="n">
        <f aca="false">Q18-P18</f>
        <v>55</v>
      </c>
      <c r="AP18" s="26" t="n">
        <f aca="false">IF(J18="Completed",0,MAX(0,Q18-AsOfDate))</f>
        <v>74</v>
      </c>
      <c r="AQ18" s="14" t="n">
        <f aca="false">SUMIFS(Invoices!$F$2:$F$2000,Invoices!$B$2:$B$2000,A18)</f>
        <v>279000</v>
      </c>
      <c r="AR18" s="14" t="n">
        <f aca="false">SUMIFS(Invoices!$F$2:$F$2000,Invoices!$B$2:$B$2000,A18,Invoices!$K$2:$K$2000,"Paid")</f>
        <v>46500</v>
      </c>
      <c r="AS18" s="14" t="n">
        <f aca="false">T18*W18-AQ18</f>
        <v>46500</v>
      </c>
      <c r="AT18" s="13" t="n">
        <f aca="false">COUNTIFS(RAID!$B$2:$B$2000,A18,RAID!$C$2:$C$2000,"Risk",RAID!$J$2:$J$2000,"&lt;&gt;Closed")</f>
        <v>3</v>
      </c>
      <c r="AU18" s="13" t="n">
        <f aca="false">COUNTIFS(RAID!$B$2:$B$2000,A18,RAID!$C$2:$C$2000,"Issue",RAID!$J$2:$J$2000,"&lt;&gt;Closed")</f>
        <v>1</v>
      </c>
      <c r="AV18" s="14" t="n">
        <f aca="false">SUMIFS(RAID!$Q$2:$Q$2000,RAID!$B$2:$B$2000,A18,RAID!$J$2:$J$2000,"&lt;&gt;Closed")</f>
        <v>388400</v>
      </c>
      <c r="AW18" s="13" t="n">
        <f aca="false">COUNTIFS(ChangeRequests!$B$2:$B$1000,A18,ChangeRequests!$P$2:$P$1000,"Yes")</f>
        <v>1</v>
      </c>
      <c r="AX18" s="13" t="n">
        <f aca="false">COUNTIFS(Allocations!$B$2:$B$2000,A18,Allocations!$K$2:$K$2000,"Yes")</f>
        <v>4</v>
      </c>
      <c r="AY18" s="27" t="n">
        <f aca="false">IF(COUNTIFS(Milestones!$B$2:$B$2000,A18,Milestones!$L$2:$L$2000,"&lt;&gt;Completed")=0,"",_xlfn.MINIFS(Milestones!$F$2:$F$2000,Milestones!$B$2:$B$2000,A18,Milestones!$L$2:$L$2000,"&lt;&gt;Completed"))</f>
        <v>46270</v>
      </c>
      <c r="AZ18" s="12" t="str">
        <f aca="false">IF(J18="Planned","N/A",IF(AK18-T18&gt;RAG_CostRed,"Red",IF(AK18-T18&gt;RAG_CostAmber,"Amber","Green")))</f>
        <v>Red</v>
      </c>
      <c r="BA18" s="12" t="str">
        <f aca="false">IF(J18="Planned","N/A",IF(AO18&gt;RAG_ScheduleRedDays,"Red",IF(AO18&gt;RAG_ScheduleAmberDays,"Amber","Green")))</f>
        <v>Red</v>
      </c>
      <c r="BB18" s="12" t="str">
        <f aca="false">IF(J18="Planned","N/A",IF(AM18&lt;MarginFloor,"Red",IF(AM18&lt;S18-MarginTolerance,"Amber","Green")))</f>
        <v>Red</v>
      </c>
      <c r="BC18" s="12" t="str">
        <f aca="false">IF(J18="Planned","N/A",IF(OR(AZ18="Red",BA18="Red",BB18="Red"),"Red",IF(OR(AZ18="Amber",BA18="Amber",BB18="Amber"),"Amber","Green")))</f>
        <v>Red</v>
      </c>
      <c r="BD18" s="13" t="n">
        <f aca="false">IF(J18="Planned","",MAX(0,ROUND(100-MAX(0,AK18-T18)*150-MAX(0,AO18)*0.4-MAX(0,S18-AM18)*150,0)))</f>
        <v>0</v>
      </c>
    </row>
    <row r="19" customFormat="false" ht="15" hidden="false" customHeight="false" outlineLevel="0" collapsed="false">
      <c r="A19" s="18" t="s">
        <v>277</v>
      </c>
      <c r="B19" s="18" t="s">
        <v>278</v>
      </c>
      <c r="C19" s="18" t="s">
        <v>246</v>
      </c>
      <c r="D19" s="21" t="str">
        <f aca="false">IFERROR(INDEX(Clients!$B$2:$B$200,MATCH(C19,Clients!$A$2:$A$200,0)),"Unknown client")</f>
        <v>Summit Telecom</v>
      </c>
      <c r="E19" s="18" t="s">
        <v>135</v>
      </c>
      <c r="F19" s="18" t="s">
        <v>225</v>
      </c>
      <c r="G19" s="18" t="s">
        <v>226</v>
      </c>
      <c r="H19" s="21" t="str">
        <f aca="false">IFERROR(INDEX(Resources!$B$2:$B$500,MATCH(G19,Resources!$A$2:$A$500,0)),"")</f>
        <v>Noah Rahimi</v>
      </c>
      <c r="I19" s="18" t="s">
        <v>248</v>
      </c>
      <c r="J19" s="18" t="s">
        <v>279</v>
      </c>
      <c r="K19" s="18" t="s">
        <v>280</v>
      </c>
      <c r="L19" s="18" t="s">
        <v>205</v>
      </c>
      <c r="M19" s="18" t="s">
        <v>206</v>
      </c>
      <c r="N19" s="22" t="n">
        <v>6</v>
      </c>
      <c r="O19" s="19" t="n">
        <v>45810</v>
      </c>
      <c r="P19" s="19" t="n">
        <v>46010</v>
      </c>
      <c r="Q19" s="19" t="n">
        <v>46010</v>
      </c>
      <c r="R19" s="23" t="n">
        <v>620000</v>
      </c>
      <c r="S19" s="24" t="n">
        <v>0.32</v>
      </c>
      <c r="T19" s="24" t="n">
        <v>1</v>
      </c>
      <c r="U19" s="19" t="n">
        <v>46010</v>
      </c>
      <c r="V19" s="14" t="n">
        <f aca="false">SUMIFS(ChangeRequests!$H$2:$H$1000,ChangeRequests!$B$2:$B$1000,A19,ChangeRequests!$G$2:$G$1000,"Approved")</f>
        <v>0</v>
      </c>
      <c r="W19" s="14" t="n">
        <f aca="false">R19+V19</f>
        <v>620000</v>
      </c>
      <c r="X19" s="14" t="n">
        <f aca="false">SUMIFS(Budget!$E$2:$E$2000,Budget!$B$2:$B$2000,A19)</f>
        <v>421900</v>
      </c>
      <c r="Y19" s="14" t="n">
        <f aca="false">SUMIFS(ChangeRequests!$I$2:$I$1000,ChangeRequests!$B$2:$B$1000,A19,ChangeRequests!$G$2:$G$1000,"Approved")</f>
        <v>0</v>
      </c>
      <c r="Z19" s="14" t="n">
        <f aca="false">X19+Y19</f>
        <v>421900</v>
      </c>
      <c r="AA19" s="16" t="n">
        <f aca="false">SUMIFS(Actuals!$H$2:$H$6000,Actuals!$C$2:$C$6000,A19)</f>
        <v>2971.4</v>
      </c>
      <c r="AB19" s="14" t="n">
        <f aca="false">SUMIFS(Actuals!$J$2:$J$6000,Actuals!$C$2:$C$6000,A19)</f>
        <v>386550.33</v>
      </c>
      <c r="AC19" s="15" t="n">
        <f aca="false">IF(J19="Completed",1,IF(AsOfDate&lt;=O19,0,MIN(1,(AsOfDate-O19)/MAX(1,P19-O19))))</f>
        <v>1</v>
      </c>
      <c r="AD19" s="14" t="n">
        <f aca="false">T19*Z19</f>
        <v>421900</v>
      </c>
      <c r="AE19" s="14" t="n">
        <f aca="false">AC19*Z19</f>
        <v>421900</v>
      </c>
      <c r="AF19" s="25" t="n">
        <f aca="false">IF(AB19=0,1,AD19/AB19)</f>
        <v>1.091449074691</v>
      </c>
      <c r="AG19" s="25" t="n">
        <f aca="false">IF(AE19=0,1,AD19/AE19)</f>
        <v>1</v>
      </c>
      <c r="AH19" s="14" t="n">
        <f aca="false">IF(J19="Completed",AB19,IF(T19&lt;0.05,MAX(Z19,AB19),AB19/T19))</f>
        <v>386550.33</v>
      </c>
      <c r="AI19" s="14" t="n">
        <f aca="false">MAX(0,AH19-AB19)</f>
        <v>0</v>
      </c>
      <c r="AJ19" s="14" t="n">
        <f aca="false">Z19-AH19</f>
        <v>35349.67</v>
      </c>
      <c r="AK19" s="15" t="n">
        <f aca="false">IF(Z19=0,0,AB19/Z19)</f>
        <v>0.916213154776013</v>
      </c>
      <c r="AL19" s="14" t="n">
        <f aca="false">W19-AH19</f>
        <v>233449.67</v>
      </c>
      <c r="AM19" s="15" t="n">
        <f aca="false">IF(W19=0,0,AL19/W19)</f>
        <v>0.376531725806452</v>
      </c>
      <c r="AN19" s="15" t="n">
        <f aca="false">AM19-S19</f>
        <v>0.0565317258064516</v>
      </c>
      <c r="AO19" s="26" t="n">
        <f aca="false">Q19-P19</f>
        <v>0</v>
      </c>
      <c r="AP19" s="26" t="n">
        <f aca="false">IF(J19="Completed",0,MAX(0,Q19-AsOfDate))</f>
        <v>0</v>
      </c>
      <c r="AQ19" s="14" t="n">
        <f aca="false">SUMIFS(Invoices!$F$2:$F$2000,Invoices!$B$2:$B$2000,A19)</f>
        <v>620000</v>
      </c>
      <c r="AR19" s="14" t="n">
        <f aca="false">SUMIFS(Invoices!$F$2:$F$2000,Invoices!$B$2:$B$2000,A19,Invoices!$K$2:$K$2000,"Paid")</f>
        <v>620000</v>
      </c>
      <c r="AS19" s="14" t="n">
        <f aca="false">T19*W19-AQ19</f>
        <v>0</v>
      </c>
      <c r="AT19" s="13" t="n">
        <f aca="false">COUNTIFS(RAID!$B$2:$B$2000,A19,RAID!$C$2:$C$2000,"Risk",RAID!$J$2:$J$2000,"&lt;&gt;Closed")</f>
        <v>0</v>
      </c>
      <c r="AU19" s="13" t="n">
        <f aca="false">COUNTIFS(RAID!$B$2:$B$2000,A19,RAID!$C$2:$C$2000,"Issue",RAID!$J$2:$J$2000,"&lt;&gt;Closed")</f>
        <v>0</v>
      </c>
      <c r="AV19" s="14" t="n">
        <f aca="false">SUMIFS(RAID!$Q$2:$Q$2000,RAID!$B$2:$B$2000,A19,RAID!$J$2:$J$2000,"&lt;&gt;Closed")</f>
        <v>0</v>
      </c>
      <c r="AW19" s="13" t="n">
        <f aca="false">COUNTIFS(ChangeRequests!$B$2:$B$1000,A19,ChangeRequests!$P$2:$P$1000,"Yes")</f>
        <v>0</v>
      </c>
      <c r="AX19" s="13" t="n">
        <f aca="false">COUNTIFS(Allocations!$B$2:$B$2000,A19,Allocations!$K$2:$K$2000,"Yes")</f>
        <v>0</v>
      </c>
      <c r="AY19" s="27" t="str">
        <f aca="false">IF(COUNTIFS(Milestones!$B$2:$B$2000,A19,Milestones!$L$2:$L$2000,"&lt;&gt;Completed")=0,"",_xlfn.MINIFS(Milestones!$F$2:$F$2000,Milestones!$B$2:$B$2000,A19,Milestones!$L$2:$L$2000,"&lt;&gt;Completed"))</f>
        <v/>
      </c>
      <c r="AZ19" s="12" t="str">
        <f aca="false">IF(J19="Planned","N/A",IF(AK19-T19&gt;RAG_CostRed,"Red",IF(AK19-T19&gt;RAG_CostAmber,"Amber","Green")))</f>
        <v>Green</v>
      </c>
      <c r="BA19" s="12" t="str">
        <f aca="false">IF(J19="Planned","N/A",IF(AO19&gt;RAG_ScheduleRedDays,"Red",IF(AO19&gt;RAG_ScheduleAmberDays,"Amber","Green")))</f>
        <v>Green</v>
      </c>
      <c r="BB19" s="12" t="str">
        <f aca="false">IF(J19="Planned","N/A",IF(AM19&lt;MarginFloor,"Red",IF(AM19&lt;S19-MarginTolerance,"Amber","Green")))</f>
        <v>Green</v>
      </c>
      <c r="BC19" s="12" t="str">
        <f aca="false">IF(J19="Planned","N/A",IF(OR(AZ19="Red",BA19="Red",BB19="Red"),"Red",IF(OR(AZ19="Amber",BA19="Amber",BB19="Amber"),"Amber","Green")))</f>
        <v>Green</v>
      </c>
      <c r="BD19" s="13" t="n">
        <f aca="false">IF(J19="Planned","",MAX(0,ROUND(100-MAX(0,AK19-T19)*150-MAX(0,AO19)*0.4-MAX(0,S19-AM19)*150,0)))</f>
        <v>100</v>
      </c>
    </row>
    <row r="20" customFormat="false" ht="15" hidden="false" customHeight="false" outlineLevel="0" collapsed="false">
      <c r="A20" s="18" t="s">
        <v>281</v>
      </c>
      <c r="B20" s="18" t="s">
        <v>282</v>
      </c>
      <c r="C20" s="18" t="s">
        <v>241</v>
      </c>
      <c r="D20" s="21" t="str">
        <f aca="false">IFERROR(INDEX(Clients!$B$2:$B$200,MATCH(C20,Clients!$A$2:$A$200,0)),"Unknown client")</f>
        <v>Pinecrest University</v>
      </c>
      <c r="E20" s="18" t="s">
        <v>136</v>
      </c>
      <c r="F20" s="18" t="s">
        <v>200</v>
      </c>
      <c r="G20" s="18" t="s">
        <v>247</v>
      </c>
      <c r="H20" s="21" t="str">
        <f aca="false">IFERROR(INDEX(Resources!$B$2:$B$500,MATCH(G20,Resources!$A$2:$A$500,0)),"")</f>
        <v>Arjun Baptiste</v>
      </c>
      <c r="I20" s="18" t="s">
        <v>243</v>
      </c>
      <c r="J20" s="18" t="s">
        <v>279</v>
      </c>
      <c r="K20" s="18" t="s">
        <v>280</v>
      </c>
      <c r="L20" s="18" t="s">
        <v>214</v>
      </c>
      <c r="M20" s="18" t="s">
        <v>206</v>
      </c>
      <c r="N20" s="22" t="n">
        <v>9</v>
      </c>
      <c r="O20" s="19" t="n">
        <v>45782</v>
      </c>
      <c r="P20" s="19" t="n">
        <v>46080</v>
      </c>
      <c r="Q20" s="19" t="n">
        <v>46122</v>
      </c>
      <c r="R20" s="23" t="n">
        <v>985000</v>
      </c>
      <c r="S20" s="24" t="n">
        <v>0.38</v>
      </c>
      <c r="T20" s="24" t="n">
        <v>1</v>
      </c>
      <c r="U20" s="19" t="n">
        <v>46122</v>
      </c>
      <c r="V20" s="14" t="n">
        <f aca="false">SUMIFS(ChangeRequests!$H$2:$H$1000,ChangeRequests!$B$2:$B$1000,A20,ChangeRequests!$G$2:$G$1000,"Approved")</f>
        <v>60000</v>
      </c>
      <c r="W20" s="14" t="n">
        <f aca="false">R20+V20</f>
        <v>1045000</v>
      </c>
      <c r="X20" s="14" t="n">
        <f aca="false">SUMIFS(Budget!$E$2:$E$2000,Budget!$B$2:$B$2000,A20)</f>
        <v>609200</v>
      </c>
      <c r="Y20" s="14" t="n">
        <f aca="false">SUMIFS(ChangeRequests!$I$2:$I$1000,ChangeRequests!$B$2:$B$1000,A20,ChangeRequests!$G$2:$G$1000,"Approved")</f>
        <v>52000</v>
      </c>
      <c r="Z20" s="14" t="n">
        <f aca="false">X20+Y20</f>
        <v>661200</v>
      </c>
      <c r="AA20" s="16" t="n">
        <f aca="false">SUMIFS(Actuals!$H$2:$H$6000,Actuals!$C$2:$C$6000,A20)</f>
        <v>7207.3</v>
      </c>
      <c r="AB20" s="14" t="n">
        <f aca="false">SUMIFS(Actuals!$J$2:$J$6000,Actuals!$C$2:$C$6000,A20)</f>
        <v>699825.98</v>
      </c>
      <c r="AC20" s="15" t="n">
        <f aca="false">IF(J20="Completed",1,IF(AsOfDate&lt;=O20,0,MIN(1,(AsOfDate-O20)/MAX(1,P20-O20))))</f>
        <v>1</v>
      </c>
      <c r="AD20" s="14" t="n">
        <f aca="false">T20*Z20</f>
        <v>661200</v>
      </c>
      <c r="AE20" s="14" t="n">
        <f aca="false">AC20*Z20</f>
        <v>661200</v>
      </c>
      <c r="AF20" s="25" t="n">
        <f aca="false">IF(AB20=0,1,AD20/AB20)</f>
        <v>0.944806307419453</v>
      </c>
      <c r="AG20" s="25" t="n">
        <f aca="false">IF(AE20=0,1,AD20/AE20)</f>
        <v>1</v>
      </c>
      <c r="AH20" s="14" t="n">
        <f aca="false">IF(J20="Completed",AB20,IF(T20&lt;0.05,MAX(Z20,AB20),AB20/T20))</f>
        <v>699825.98</v>
      </c>
      <c r="AI20" s="14" t="n">
        <f aca="false">MAX(0,AH20-AB20)</f>
        <v>0</v>
      </c>
      <c r="AJ20" s="14" t="n">
        <f aca="false">Z20-AH20</f>
        <v>-38625.98</v>
      </c>
      <c r="AK20" s="15" t="n">
        <f aca="false">IF(Z20=0,0,AB20/Z20)</f>
        <v>1.05841799758016</v>
      </c>
      <c r="AL20" s="14" t="n">
        <f aca="false">W20-AH20</f>
        <v>345174.02</v>
      </c>
      <c r="AM20" s="15" t="n">
        <f aca="false">IF(W20=0,0,AL20/W20)</f>
        <v>0.330310066985646</v>
      </c>
      <c r="AN20" s="15" t="n">
        <f aca="false">AM20-S20</f>
        <v>-0.049689933014354</v>
      </c>
      <c r="AO20" s="26" t="n">
        <f aca="false">Q20-P20</f>
        <v>42</v>
      </c>
      <c r="AP20" s="26" t="n">
        <f aca="false">IF(J20="Completed",0,MAX(0,Q20-AsOfDate))</f>
        <v>0</v>
      </c>
      <c r="AQ20" s="14" t="n">
        <f aca="false">SUMIFS(Invoices!$F$2:$F$2000,Invoices!$B$2:$B$2000,A20)</f>
        <v>985000</v>
      </c>
      <c r="AR20" s="14" t="n">
        <f aca="false">SUMIFS(Invoices!$F$2:$F$2000,Invoices!$B$2:$B$2000,A20,Invoices!$K$2:$K$2000,"Paid")</f>
        <v>985000</v>
      </c>
      <c r="AS20" s="14" t="n">
        <f aca="false">T20*W20-AQ20</f>
        <v>60000</v>
      </c>
      <c r="AT20" s="13" t="n">
        <f aca="false">COUNTIFS(RAID!$B$2:$B$2000,A20,RAID!$C$2:$C$2000,"Risk",RAID!$J$2:$J$2000,"&lt;&gt;Closed")</f>
        <v>0</v>
      </c>
      <c r="AU20" s="13" t="n">
        <f aca="false">COUNTIFS(RAID!$B$2:$B$2000,A20,RAID!$C$2:$C$2000,"Issue",RAID!$J$2:$J$2000,"&lt;&gt;Closed")</f>
        <v>0</v>
      </c>
      <c r="AV20" s="14" t="n">
        <f aca="false">SUMIFS(RAID!$Q$2:$Q$2000,RAID!$B$2:$B$2000,A20,RAID!$J$2:$J$2000,"&lt;&gt;Closed")</f>
        <v>0</v>
      </c>
      <c r="AW20" s="13" t="n">
        <f aca="false">COUNTIFS(ChangeRequests!$B$2:$B$1000,A20,ChangeRequests!$P$2:$P$1000,"Yes")</f>
        <v>0</v>
      </c>
      <c r="AX20" s="13" t="n">
        <f aca="false">COUNTIFS(Allocations!$B$2:$B$2000,A20,Allocations!$K$2:$K$2000,"Yes")</f>
        <v>0</v>
      </c>
      <c r="AY20" s="27" t="str">
        <f aca="false">IF(COUNTIFS(Milestones!$B$2:$B$2000,A20,Milestones!$L$2:$L$2000,"&lt;&gt;Completed")=0,"",_xlfn.MINIFS(Milestones!$F$2:$F$2000,Milestones!$B$2:$B$2000,A20,Milestones!$L$2:$L$2000,"&lt;&gt;Completed"))</f>
        <v/>
      </c>
      <c r="AZ20" s="12" t="str">
        <f aca="false">IF(J20="Planned","N/A",IF(AK20-T20&gt;RAG_CostRed,"Red",IF(AK20-T20&gt;RAG_CostAmber,"Amber","Green")))</f>
        <v>Green</v>
      </c>
      <c r="BA20" s="12" t="str">
        <f aca="false">IF(J20="Planned","N/A",IF(AO20&gt;RAG_ScheduleRedDays,"Red",IF(AO20&gt;RAG_ScheduleAmberDays,"Amber","Green")))</f>
        <v>Amber</v>
      </c>
      <c r="BB20" s="12" t="str">
        <f aca="false">IF(J20="Planned","N/A",IF(AM20&lt;MarginFloor,"Red",IF(AM20&lt;S20-MarginTolerance,"Amber","Green")))</f>
        <v>Green</v>
      </c>
      <c r="BC20" s="12" t="str">
        <f aca="false">IF(J20="Planned","N/A",IF(OR(AZ20="Red",BA20="Red",BB20="Red"),"Red",IF(OR(AZ20="Amber",BA20="Amber",BB20="Amber"),"Amber","Green")))</f>
        <v>Amber</v>
      </c>
      <c r="BD20" s="13" t="n">
        <f aca="false">IF(J20="Planned","",MAX(0,ROUND(100-MAX(0,AK20-T20)*150-MAX(0,AO20)*0.4-MAX(0,S20-AM20)*150,0)))</f>
        <v>67</v>
      </c>
    </row>
    <row r="21" customFormat="false" ht="15" hidden="false" customHeight="false" outlineLevel="0" collapsed="false">
      <c r="A21" s="18" t="s">
        <v>283</v>
      </c>
      <c r="B21" s="18" t="s">
        <v>284</v>
      </c>
      <c r="C21" s="18" t="s">
        <v>251</v>
      </c>
      <c r="D21" s="21" t="str">
        <f aca="false">IFERROR(INDEX(Clients!$B$2:$B$200,MATCH(C21,Clients!$A$2:$A$200,0)),"Unknown client")</f>
        <v>Granite Manufacturing</v>
      </c>
      <c r="E21" s="18" t="s">
        <v>134</v>
      </c>
      <c r="F21" s="18" t="s">
        <v>225</v>
      </c>
      <c r="G21" s="18" t="s">
        <v>226</v>
      </c>
      <c r="H21" s="21" t="str">
        <f aca="false">IFERROR(INDEX(Resources!$B$2:$B$500,MATCH(G21,Resources!$A$2:$A$500,0)),"")</f>
        <v>Noah Rahimi</v>
      </c>
      <c r="I21" s="18" t="s">
        <v>252</v>
      </c>
      <c r="J21" s="18" t="s">
        <v>279</v>
      </c>
      <c r="K21" s="18" t="s">
        <v>280</v>
      </c>
      <c r="L21" s="18" t="s">
        <v>214</v>
      </c>
      <c r="M21" s="18" t="s">
        <v>221</v>
      </c>
      <c r="N21" s="22" t="n">
        <v>9</v>
      </c>
      <c r="O21" s="19" t="n">
        <v>45943</v>
      </c>
      <c r="P21" s="19" t="n">
        <v>46171</v>
      </c>
      <c r="Q21" s="19" t="n">
        <v>46174</v>
      </c>
      <c r="R21" s="23" t="n">
        <v>590000</v>
      </c>
      <c r="S21" s="24" t="n">
        <v>0.42</v>
      </c>
      <c r="T21" s="24" t="n">
        <v>1</v>
      </c>
      <c r="U21" s="19" t="n">
        <v>46174</v>
      </c>
      <c r="V21" s="14" t="n">
        <f aca="false">SUMIFS(ChangeRequests!$H$2:$H$1000,ChangeRequests!$B$2:$B$1000,A21,ChangeRequests!$G$2:$G$1000,"Approved")</f>
        <v>0</v>
      </c>
      <c r="W21" s="14" t="n">
        <f aca="false">R21+V21</f>
        <v>590000</v>
      </c>
      <c r="X21" s="14" t="n">
        <f aca="false">SUMIFS(Budget!$E$2:$E$2000,Budget!$B$2:$B$2000,A21)</f>
        <v>412900</v>
      </c>
      <c r="Y21" s="14" t="n">
        <f aca="false">SUMIFS(ChangeRequests!$I$2:$I$1000,ChangeRequests!$B$2:$B$1000,A21,ChangeRequests!$G$2:$G$1000,"Approved")</f>
        <v>0</v>
      </c>
      <c r="Z21" s="14" t="n">
        <f aca="false">X21+Y21</f>
        <v>412900</v>
      </c>
      <c r="AA21" s="16" t="n">
        <f aca="false">SUMIFS(Actuals!$H$2:$H$6000,Actuals!$C$2:$C$6000,A21)</f>
        <v>3546.4</v>
      </c>
      <c r="AB21" s="14" t="n">
        <f aca="false">SUMIFS(Actuals!$J$2:$J$6000,Actuals!$C$2:$C$6000,A21)</f>
        <v>376556.9</v>
      </c>
      <c r="AC21" s="15" t="n">
        <f aca="false">IF(J21="Completed",1,IF(AsOfDate&lt;=O21,0,MIN(1,(AsOfDate-O21)/MAX(1,P21-O21))))</f>
        <v>1</v>
      </c>
      <c r="AD21" s="14" t="n">
        <f aca="false">T21*Z21</f>
        <v>412900</v>
      </c>
      <c r="AE21" s="14" t="n">
        <f aca="false">AC21*Z21</f>
        <v>412900</v>
      </c>
      <c r="AF21" s="25" t="n">
        <f aca="false">IF(AB21=0,1,AD21/AB21)</f>
        <v>1.09651423197928</v>
      </c>
      <c r="AG21" s="25" t="n">
        <f aca="false">IF(AE21=0,1,AD21/AE21)</f>
        <v>1</v>
      </c>
      <c r="AH21" s="14" t="n">
        <f aca="false">IF(J21="Completed",AB21,IF(T21&lt;0.05,MAX(Z21,AB21),AB21/T21))</f>
        <v>376556.9</v>
      </c>
      <c r="AI21" s="14" t="n">
        <f aca="false">MAX(0,AH21-AB21)</f>
        <v>0</v>
      </c>
      <c r="AJ21" s="14" t="n">
        <f aca="false">Z21-AH21</f>
        <v>36343.1</v>
      </c>
      <c r="AK21" s="15" t="n">
        <f aca="false">IF(Z21=0,0,AB21/Z21)</f>
        <v>0.911980867038024</v>
      </c>
      <c r="AL21" s="14" t="n">
        <f aca="false">W21-AH21</f>
        <v>213443.1</v>
      </c>
      <c r="AM21" s="15" t="n">
        <f aca="false">IF(W21=0,0,AL21/W21)</f>
        <v>0.361767966101695</v>
      </c>
      <c r="AN21" s="15" t="n">
        <f aca="false">AM21-S21</f>
        <v>-0.0582320338983051</v>
      </c>
      <c r="AO21" s="26" t="n">
        <f aca="false">Q21-P21</f>
        <v>3</v>
      </c>
      <c r="AP21" s="26" t="n">
        <f aca="false">IF(J21="Completed",0,MAX(0,Q21-AsOfDate))</f>
        <v>0</v>
      </c>
      <c r="AQ21" s="14" t="n">
        <f aca="false">SUMIFS(Invoices!$F$2:$F$2000,Invoices!$B$2:$B$2000,A21)</f>
        <v>575520.34</v>
      </c>
      <c r="AR21" s="14" t="n">
        <f aca="false">SUMIFS(Invoices!$F$2:$F$2000,Invoices!$B$2:$B$2000,A21,Invoices!$K$2:$K$2000,"Paid")</f>
        <v>575520.34</v>
      </c>
      <c r="AS21" s="14" t="n">
        <f aca="false">T21*W21-AQ21</f>
        <v>14479.66</v>
      </c>
      <c r="AT21" s="13" t="n">
        <f aca="false">COUNTIFS(RAID!$B$2:$B$2000,A21,RAID!$C$2:$C$2000,"Risk",RAID!$J$2:$J$2000,"&lt;&gt;Closed")</f>
        <v>0</v>
      </c>
      <c r="AU21" s="13" t="n">
        <f aca="false">COUNTIFS(RAID!$B$2:$B$2000,A21,RAID!$C$2:$C$2000,"Issue",RAID!$J$2:$J$2000,"&lt;&gt;Closed")</f>
        <v>0</v>
      </c>
      <c r="AV21" s="14" t="n">
        <f aca="false">SUMIFS(RAID!$Q$2:$Q$2000,RAID!$B$2:$B$2000,A21,RAID!$J$2:$J$2000,"&lt;&gt;Closed")</f>
        <v>0</v>
      </c>
      <c r="AW21" s="13" t="n">
        <f aca="false">COUNTIFS(ChangeRequests!$B$2:$B$1000,A21,ChangeRequests!$P$2:$P$1000,"Yes")</f>
        <v>0</v>
      </c>
      <c r="AX21" s="13" t="n">
        <f aca="false">COUNTIFS(Allocations!$B$2:$B$2000,A21,Allocations!$K$2:$K$2000,"Yes")</f>
        <v>0</v>
      </c>
      <c r="AY21" s="27" t="str">
        <f aca="false">IF(COUNTIFS(Milestones!$B$2:$B$2000,A21,Milestones!$L$2:$L$2000,"&lt;&gt;Completed")=0,"",_xlfn.MINIFS(Milestones!$F$2:$F$2000,Milestones!$B$2:$B$2000,A21,Milestones!$L$2:$L$2000,"&lt;&gt;Completed"))</f>
        <v/>
      </c>
      <c r="AZ21" s="12" t="str">
        <f aca="false">IF(J21="Planned","N/A",IF(AK21-T21&gt;RAG_CostRed,"Red",IF(AK21-T21&gt;RAG_CostAmber,"Amber","Green")))</f>
        <v>Green</v>
      </c>
      <c r="BA21" s="12" t="str">
        <f aca="false">IF(J21="Planned","N/A",IF(AO21&gt;RAG_ScheduleRedDays,"Red",IF(AO21&gt;RAG_ScheduleAmberDays,"Amber","Green")))</f>
        <v>Green</v>
      </c>
      <c r="BB21" s="12" t="str">
        <f aca="false">IF(J21="Planned","N/A",IF(AM21&lt;MarginFloor,"Red",IF(AM21&lt;S21-MarginTolerance,"Amber","Green")))</f>
        <v>Amber</v>
      </c>
      <c r="BC21" s="12" t="str">
        <f aca="false">IF(J21="Planned","N/A",IF(OR(AZ21="Red",BA21="Red",BB21="Red"),"Red",IF(OR(AZ21="Amber",BA21="Amber",BB21="Amber"),"Amber","Green")))</f>
        <v>Amber</v>
      </c>
      <c r="BD21" s="13" t="n">
        <f aca="false">IF(J21="Planned","",MAX(0,ROUND(100-MAX(0,AK21-T21)*150-MAX(0,AO21)*0.4-MAX(0,S21-AM21)*150,0)))</f>
        <v>90</v>
      </c>
    </row>
    <row r="22" customFormat="false" ht="15" hidden="false" customHeight="false" outlineLevel="0" collapsed="false">
      <c r="A22" s="18" t="s">
        <v>285</v>
      </c>
      <c r="B22" s="18" t="s">
        <v>286</v>
      </c>
      <c r="C22" s="18" t="s">
        <v>263</v>
      </c>
      <c r="D22" s="21" t="str">
        <f aca="false">IFERROR(INDEX(Clients!$B$2:$B$200,MATCH(C22,Clients!$A$2:$A$200,0)),"Unknown client")</f>
        <v>Lakeshore Energy</v>
      </c>
      <c r="E22" s="18" t="s">
        <v>137</v>
      </c>
      <c r="F22" s="18" t="s">
        <v>225</v>
      </c>
      <c r="G22" s="18" t="s">
        <v>247</v>
      </c>
      <c r="H22" s="21" t="str">
        <f aca="false">IFERROR(INDEX(Resources!$B$2:$B$500,MATCH(G22,Resources!$A$2:$A$500,0)),"")</f>
        <v>Arjun Baptiste</v>
      </c>
      <c r="I22" s="18" t="s">
        <v>264</v>
      </c>
      <c r="J22" s="18" t="s">
        <v>287</v>
      </c>
      <c r="K22" s="18" t="s">
        <v>213</v>
      </c>
      <c r="L22" s="18" t="s">
        <v>214</v>
      </c>
      <c r="M22" s="18" t="s">
        <v>206</v>
      </c>
      <c r="N22" s="22" t="n">
        <v>7</v>
      </c>
      <c r="O22" s="19" t="n">
        <v>46062</v>
      </c>
      <c r="P22" s="19" t="n">
        <v>46360</v>
      </c>
      <c r="Q22" s="19" t="n">
        <v>46450</v>
      </c>
      <c r="R22" s="23" t="n">
        <v>625000</v>
      </c>
      <c r="S22" s="24" t="n">
        <v>0.36</v>
      </c>
      <c r="T22" s="24" t="n">
        <v>0.42</v>
      </c>
      <c r="U22" s="19" t="n">
        <v>46213</v>
      </c>
      <c r="V22" s="14" t="n">
        <f aca="false">SUMIFS(ChangeRequests!$H$2:$H$1000,ChangeRequests!$B$2:$B$1000,A22,ChangeRequests!$G$2:$G$1000,"Approved")</f>
        <v>0</v>
      </c>
      <c r="W22" s="14" t="n">
        <f aca="false">R22+V22</f>
        <v>625000</v>
      </c>
      <c r="X22" s="14" t="n">
        <f aca="false">SUMIFS(Budget!$E$2:$E$2000,Budget!$B$2:$B$2000,A22)</f>
        <v>398600</v>
      </c>
      <c r="Y22" s="14" t="n">
        <f aca="false">SUMIFS(ChangeRequests!$I$2:$I$1000,ChangeRequests!$B$2:$B$1000,A22,ChangeRequests!$G$2:$G$1000,"Approved")</f>
        <v>0</v>
      </c>
      <c r="Z22" s="14" t="n">
        <f aca="false">X22+Y22</f>
        <v>398600</v>
      </c>
      <c r="AA22" s="16" t="n">
        <f aca="false">SUMIFS(Actuals!$H$2:$H$6000,Actuals!$C$2:$C$6000,A22)</f>
        <v>1962</v>
      </c>
      <c r="AB22" s="14" t="n">
        <f aca="false">SUMIFS(Actuals!$J$2:$J$6000,Actuals!$C$2:$C$6000,A22)</f>
        <v>183595.87</v>
      </c>
      <c r="AC22" s="15" t="n">
        <f aca="false">IF(J22="Completed",1,IF(AsOfDate&lt;=O22,0,MIN(1,(AsOfDate-O22)/MAX(1,P22-O22))))</f>
        <v>0.718120805369128</v>
      </c>
      <c r="AD22" s="14" t="n">
        <f aca="false">T22*Z22</f>
        <v>167412</v>
      </c>
      <c r="AE22" s="14" t="n">
        <f aca="false">AC22*Z22</f>
        <v>286242.953020134</v>
      </c>
      <c r="AF22" s="25" t="n">
        <f aca="false">IF(AB22=0,1,AD22/AB22)</f>
        <v>0.911850577030954</v>
      </c>
      <c r="AG22" s="25" t="n">
        <f aca="false">IF(AE22=0,1,AD22/AE22)</f>
        <v>0.584859813084112</v>
      </c>
      <c r="AH22" s="14" t="n">
        <f aca="false">IF(J22="Completed",AB22,IF(T22&lt;0.05,MAX(Z22,AB22),AB22/T22))</f>
        <v>437133.023809524</v>
      </c>
      <c r="AI22" s="14" t="n">
        <f aca="false">MAX(0,AH22-AB22)</f>
        <v>253537.153809524</v>
      </c>
      <c r="AJ22" s="14" t="n">
        <f aca="false">Z22-AH22</f>
        <v>-38533.0238095238</v>
      </c>
      <c r="AK22" s="15" t="n">
        <f aca="false">IF(Z22=0,0,AB22/Z22)</f>
        <v>0.46060178123432</v>
      </c>
      <c r="AL22" s="14" t="n">
        <f aca="false">W22-AH22</f>
        <v>187866.976190476</v>
      </c>
      <c r="AM22" s="15" t="n">
        <f aca="false">IF(W22=0,0,AL22/W22)</f>
        <v>0.300587161904762</v>
      </c>
      <c r="AN22" s="15" t="n">
        <f aca="false">AM22-S22</f>
        <v>-0.0594128380952381</v>
      </c>
      <c r="AO22" s="26" t="n">
        <f aca="false">Q22-P22</f>
        <v>90</v>
      </c>
      <c r="AP22" s="26" t="n">
        <f aca="false">IF(J22="Completed",0,MAX(0,Q22-AsOfDate))</f>
        <v>174</v>
      </c>
      <c r="AQ22" s="14" t="n">
        <f aca="false">SUMIFS(Invoices!$F$2:$F$2000,Invoices!$B$2:$B$2000,A22)</f>
        <v>187500</v>
      </c>
      <c r="AR22" s="14" t="n">
        <f aca="false">SUMIFS(Invoices!$F$2:$F$2000,Invoices!$B$2:$B$2000,A22,Invoices!$K$2:$K$2000,"Paid")</f>
        <v>187500</v>
      </c>
      <c r="AS22" s="14" t="n">
        <f aca="false">T22*W22-AQ22</f>
        <v>75000</v>
      </c>
      <c r="AT22" s="13" t="n">
        <f aca="false">COUNTIFS(RAID!$B$2:$B$2000,A22,RAID!$C$2:$C$2000,"Risk",RAID!$J$2:$J$2000,"&lt;&gt;Closed")</f>
        <v>1</v>
      </c>
      <c r="AU22" s="13" t="n">
        <f aca="false">COUNTIFS(RAID!$B$2:$B$2000,A22,RAID!$C$2:$C$2000,"Issue",RAID!$J$2:$J$2000,"&lt;&gt;Closed")</f>
        <v>0</v>
      </c>
      <c r="AV22" s="14" t="n">
        <f aca="false">SUMIFS(RAID!$Q$2:$Q$2000,RAID!$B$2:$B$2000,A22,RAID!$J$2:$J$2000,"&lt;&gt;Closed")</f>
        <v>51000</v>
      </c>
      <c r="AW22" s="13" t="n">
        <f aca="false">COUNTIFS(ChangeRequests!$B$2:$B$1000,A22,ChangeRequests!$P$2:$P$1000,"Yes")</f>
        <v>0</v>
      </c>
      <c r="AX22" s="13" t="n">
        <f aca="false">COUNTIFS(Allocations!$B$2:$B$2000,A22,Allocations!$K$2:$K$2000,"Yes")</f>
        <v>0</v>
      </c>
      <c r="AY22" s="27" t="n">
        <f aca="false">IF(COUNTIFS(Milestones!$B$2:$B$2000,A22,Milestones!$L$2:$L$2000,"&lt;&gt;Completed")=0,"",_xlfn.MINIFS(Milestones!$F$2:$F$2000,Milestones!$B$2:$B$2000,A22,Milestones!$L$2:$L$2000,"&lt;&gt;Completed"))</f>
        <v>46325</v>
      </c>
      <c r="AZ22" s="12" t="str">
        <f aca="false">IF(J22="Planned","N/A",IF(AK22-T22&gt;RAG_CostRed,"Red",IF(AK22-T22&gt;RAG_CostAmber,"Amber","Green")))</f>
        <v>Green</v>
      </c>
      <c r="BA22" s="12" t="str">
        <f aca="false">IF(J22="Planned","N/A",IF(AO22&gt;RAG_ScheduleRedDays,"Red",IF(AO22&gt;RAG_ScheduleAmberDays,"Amber","Green")))</f>
        <v>Red</v>
      </c>
      <c r="BB22" s="12" t="str">
        <f aca="false">IF(J22="Planned","N/A",IF(AM22&lt;MarginFloor,"Red",IF(AM22&lt;S22-MarginTolerance,"Amber","Green")))</f>
        <v>Amber</v>
      </c>
      <c r="BC22" s="12" t="str">
        <f aca="false">IF(J22="Planned","N/A",IF(OR(AZ22="Red",BA22="Red",BB22="Red"),"Red",IF(OR(AZ22="Amber",BA22="Amber",BB22="Amber"),"Amber","Green")))</f>
        <v>Red</v>
      </c>
      <c r="BD22" s="13" t="n">
        <f aca="false">IF(J22="Planned","",MAX(0,ROUND(100-MAX(0,AK22-T22)*150-MAX(0,AO22)*0.4-MAX(0,S22-AM22)*150,0)))</f>
        <v>49</v>
      </c>
    </row>
    <row r="23" customFormat="false" ht="15" hidden="false" customHeight="false" outlineLevel="0" collapsed="false">
      <c r="A23" s="18" t="s">
        <v>288</v>
      </c>
      <c r="B23" s="18" t="s">
        <v>289</v>
      </c>
      <c r="C23" s="18" t="s">
        <v>230</v>
      </c>
      <c r="D23" s="21" t="str">
        <f aca="false">IFERROR(INDEX(Clients!$B$2:$B$200,MATCH(C23,Clients!$A$2:$A$200,0)),"Unknown client")</f>
        <v>Ironbridge Capital</v>
      </c>
      <c r="E23" s="18" t="s">
        <v>137</v>
      </c>
      <c r="F23" s="18" t="s">
        <v>210</v>
      </c>
      <c r="G23" s="18" t="s">
        <v>201</v>
      </c>
      <c r="H23" s="21" t="str">
        <f aca="false">IFERROR(INDEX(Resources!$B$2:$B$500,MATCH(G23,Resources!$A$2:$A$500,0)),"")</f>
        <v>Aisha Tremblay</v>
      </c>
      <c r="I23" s="18" t="s">
        <v>232</v>
      </c>
      <c r="J23" s="18" t="s">
        <v>290</v>
      </c>
      <c r="K23" s="18" t="s">
        <v>291</v>
      </c>
      <c r="L23" s="18" t="s">
        <v>205</v>
      </c>
      <c r="M23" s="18" t="s">
        <v>206</v>
      </c>
      <c r="N23" s="22" t="n">
        <v>9</v>
      </c>
      <c r="O23" s="19" t="n">
        <v>46300</v>
      </c>
      <c r="P23" s="19" t="n">
        <v>46535</v>
      </c>
      <c r="Q23" s="19" t="n">
        <v>46535</v>
      </c>
      <c r="R23" s="23" t="n">
        <v>515000</v>
      </c>
      <c r="S23" s="24" t="n">
        <v>0.34</v>
      </c>
      <c r="T23" s="24" t="n">
        <v>0</v>
      </c>
      <c r="U23" s="19" t="n">
        <v>46254</v>
      </c>
      <c r="V23" s="14" t="n">
        <f aca="false">SUMIFS(ChangeRequests!$H$2:$H$1000,ChangeRequests!$B$2:$B$1000,A23,ChangeRequests!$G$2:$G$1000,"Approved")</f>
        <v>0</v>
      </c>
      <c r="W23" s="14" t="n">
        <f aca="false">R23+V23</f>
        <v>515000</v>
      </c>
      <c r="X23" s="14" t="n">
        <f aca="false">SUMIFS(Budget!$E$2:$E$2000,Budget!$B$2:$B$2000,A23)</f>
        <v>340500</v>
      </c>
      <c r="Y23" s="14" t="n">
        <f aca="false">SUMIFS(ChangeRequests!$I$2:$I$1000,ChangeRequests!$B$2:$B$1000,A23,ChangeRequests!$G$2:$G$1000,"Approved")</f>
        <v>0</v>
      </c>
      <c r="Z23" s="14" t="n">
        <f aca="false">X23+Y23</f>
        <v>340500</v>
      </c>
      <c r="AA23" s="16" t="n">
        <f aca="false">SUMIFS(Actuals!$H$2:$H$6000,Actuals!$C$2:$C$6000,A23)</f>
        <v>0</v>
      </c>
      <c r="AB23" s="14" t="n">
        <f aca="false">SUMIFS(Actuals!$J$2:$J$6000,Actuals!$C$2:$C$6000,A23)</f>
        <v>0</v>
      </c>
      <c r="AC23" s="15" t="n">
        <f aca="false">IF(J23="Completed",1,IF(AsOfDate&lt;=O23,0,MIN(1,(AsOfDate-O23)/MAX(1,P23-O23))))</f>
        <v>0</v>
      </c>
      <c r="AD23" s="14" t="n">
        <f aca="false">T23*Z23</f>
        <v>0</v>
      </c>
      <c r="AE23" s="14" t="n">
        <f aca="false">AC23*Z23</f>
        <v>0</v>
      </c>
      <c r="AF23" s="25" t="n">
        <f aca="false">IF(AB23=0,1,AD23/AB23)</f>
        <v>1</v>
      </c>
      <c r="AG23" s="25" t="n">
        <f aca="false">IF(AE23=0,1,AD23/AE23)</f>
        <v>1</v>
      </c>
      <c r="AH23" s="14" t="n">
        <f aca="false">IF(J23="Completed",AB23,IF(T23&lt;0.05,MAX(Z23,AB23),AB23/T23))</f>
        <v>340500</v>
      </c>
      <c r="AI23" s="14" t="n">
        <f aca="false">MAX(0,AH23-AB23)</f>
        <v>340500</v>
      </c>
      <c r="AJ23" s="14" t="n">
        <f aca="false">Z23-AH23</f>
        <v>0</v>
      </c>
      <c r="AK23" s="15" t="n">
        <f aca="false">IF(Z23=0,0,AB23/Z23)</f>
        <v>0</v>
      </c>
      <c r="AL23" s="14" t="n">
        <f aca="false">W23-AH23</f>
        <v>174500</v>
      </c>
      <c r="AM23" s="15" t="n">
        <f aca="false">IF(W23=0,0,AL23/W23)</f>
        <v>0.338834951456311</v>
      </c>
      <c r="AN23" s="15" t="n">
        <f aca="false">AM23-S23</f>
        <v>-0.00116504854368932</v>
      </c>
      <c r="AO23" s="26" t="n">
        <f aca="false">Q23-P23</f>
        <v>0</v>
      </c>
      <c r="AP23" s="26" t="n">
        <f aca="false">IF(J23="Completed",0,MAX(0,Q23-AsOfDate))</f>
        <v>259</v>
      </c>
      <c r="AQ23" s="14" t="n">
        <f aca="false">SUMIFS(Invoices!$F$2:$F$2000,Invoices!$B$2:$B$2000,A23)</f>
        <v>0</v>
      </c>
      <c r="AR23" s="14" t="n">
        <f aca="false">SUMIFS(Invoices!$F$2:$F$2000,Invoices!$B$2:$B$2000,A23,Invoices!$K$2:$K$2000,"Paid")</f>
        <v>0</v>
      </c>
      <c r="AS23" s="14" t="n">
        <f aca="false">T23*W23-AQ23</f>
        <v>0</v>
      </c>
      <c r="AT23" s="13" t="n">
        <f aca="false">COUNTIFS(RAID!$B$2:$B$2000,A23,RAID!$C$2:$C$2000,"Risk",RAID!$J$2:$J$2000,"&lt;&gt;Closed")</f>
        <v>1</v>
      </c>
      <c r="AU23" s="13" t="n">
        <f aca="false">COUNTIFS(RAID!$B$2:$B$2000,A23,RAID!$C$2:$C$2000,"Issue",RAID!$J$2:$J$2000,"&lt;&gt;Closed")</f>
        <v>0</v>
      </c>
      <c r="AV23" s="14" t="n">
        <f aca="false">SUMIFS(RAID!$Q$2:$Q$2000,RAID!$B$2:$B$2000,A23,RAID!$J$2:$J$2000,"&lt;&gt;Closed")</f>
        <v>18000</v>
      </c>
      <c r="AW23" s="13" t="n">
        <f aca="false">COUNTIFS(ChangeRequests!$B$2:$B$1000,A23,ChangeRequests!$P$2:$P$1000,"Yes")</f>
        <v>0</v>
      </c>
      <c r="AX23" s="13" t="n">
        <f aca="false">COUNTIFS(Allocations!$B$2:$B$2000,A23,Allocations!$K$2:$K$2000,"Yes")</f>
        <v>0</v>
      </c>
      <c r="AY23" s="27" t="n">
        <f aca="false">IF(COUNTIFS(Milestones!$B$2:$B$2000,A23,Milestones!$L$2:$L$2000,"&lt;&gt;Completed")=0,"",_xlfn.MINIFS(Milestones!$F$2:$F$2000,Milestones!$B$2:$B$2000,A23,Milestones!$L$2:$L$2000,"&lt;&gt;Completed"))</f>
        <v>46323</v>
      </c>
      <c r="AZ23" s="12" t="str">
        <f aca="false">IF(J23="Planned","N/A",IF(AK23-T23&gt;RAG_CostRed,"Red",IF(AK23-T23&gt;RAG_CostAmber,"Amber","Green")))</f>
        <v>N/A</v>
      </c>
      <c r="BA23" s="12" t="str">
        <f aca="false">IF(J23="Planned","N/A",IF(AO23&gt;RAG_ScheduleRedDays,"Red",IF(AO23&gt;RAG_ScheduleAmberDays,"Amber","Green")))</f>
        <v>N/A</v>
      </c>
      <c r="BB23" s="12" t="str">
        <f aca="false">IF(J23="Planned","N/A",IF(AM23&lt;MarginFloor,"Red",IF(AM23&lt;S23-MarginTolerance,"Amber","Green")))</f>
        <v>N/A</v>
      </c>
      <c r="BC23" s="12" t="str">
        <f aca="false">IF(J23="Planned","N/A",IF(OR(AZ23="Red",BA23="Red",BB23="Red"),"Red",IF(OR(AZ23="Amber",BA23="Amber",BB23="Amber"),"Amber","Green")))</f>
        <v>N/A</v>
      </c>
      <c r="BD23" s="13" t="str">
        <f aca="false">IF(J23="Planned","",MAX(0,ROUND(100-MAX(0,AK23-T23)*150-MAX(0,AO23)*0.4-MAX(0,S23-AM23)*150,0)))</f>
        <v/>
      </c>
    </row>
    <row r="24" customFormat="false" ht="15" hidden="false" customHeight="false" outlineLevel="0" collapsed="false">
      <c r="A24" s="18" t="s">
        <v>292</v>
      </c>
      <c r="B24" s="18" t="s">
        <v>293</v>
      </c>
      <c r="C24" s="18" t="s">
        <v>259</v>
      </c>
      <c r="D24" s="21" t="str">
        <f aca="false">IFERROR(INDEX(Clients!$B$2:$B$200,MATCH(C24,Clients!$A$2:$A$200,0)),"Unknown client")</f>
        <v>Evergreen Pharma</v>
      </c>
      <c r="E24" s="18" t="s">
        <v>134</v>
      </c>
      <c r="F24" s="18" t="s">
        <v>200</v>
      </c>
      <c r="G24" s="18" t="s">
        <v>211</v>
      </c>
      <c r="H24" s="21" t="str">
        <f aca="false">IFERROR(INDEX(Resources!$B$2:$B$500,MATCH(G24,Resources!$A$2:$A$500,0)),"")</f>
        <v>Liam Roy</v>
      </c>
      <c r="I24" s="18" t="s">
        <v>260</v>
      </c>
      <c r="J24" s="18" t="s">
        <v>290</v>
      </c>
      <c r="K24" s="18" t="s">
        <v>291</v>
      </c>
      <c r="L24" s="18" t="s">
        <v>205</v>
      </c>
      <c r="M24" s="18" t="s">
        <v>221</v>
      </c>
      <c r="N24" s="22" t="n">
        <v>8</v>
      </c>
      <c r="O24" s="19" t="n">
        <v>46328</v>
      </c>
      <c r="P24" s="19" t="n">
        <v>46563</v>
      </c>
      <c r="Q24" s="19" t="n">
        <v>46563</v>
      </c>
      <c r="R24" s="23" t="n">
        <v>520000</v>
      </c>
      <c r="S24" s="24" t="n">
        <v>0.42</v>
      </c>
      <c r="T24" s="24" t="n">
        <v>0</v>
      </c>
      <c r="U24" s="19" t="n">
        <v>46253</v>
      </c>
      <c r="V24" s="14" t="n">
        <f aca="false">SUMIFS(ChangeRequests!$H$2:$H$1000,ChangeRequests!$B$2:$B$1000,A24,ChangeRequests!$G$2:$G$1000,"Approved")</f>
        <v>0</v>
      </c>
      <c r="W24" s="14" t="n">
        <f aca="false">R24+V24</f>
        <v>520000</v>
      </c>
      <c r="X24" s="14" t="n">
        <f aca="false">SUMIFS(Budget!$E$2:$E$2000,Budget!$B$2:$B$2000,A24)</f>
        <v>340000</v>
      </c>
      <c r="Y24" s="14" t="n">
        <f aca="false">SUMIFS(ChangeRequests!$I$2:$I$1000,ChangeRequests!$B$2:$B$1000,A24,ChangeRequests!$G$2:$G$1000,"Approved")</f>
        <v>0</v>
      </c>
      <c r="Z24" s="14" t="n">
        <f aca="false">X24+Y24</f>
        <v>340000</v>
      </c>
      <c r="AA24" s="16" t="n">
        <f aca="false">SUMIFS(Actuals!$H$2:$H$6000,Actuals!$C$2:$C$6000,A24)</f>
        <v>0</v>
      </c>
      <c r="AB24" s="14" t="n">
        <f aca="false">SUMIFS(Actuals!$J$2:$J$6000,Actuals!$C$2:$C$6000,A24)</f>
        <v>0</v>
      </c>
      <c r="AC24" s="15" t="n">
        <f aca="false">IF(J24="Completed",1,IF(AsOfDate&lt;=O24,0,MIN(1,(AsOfDate-O24)/MAX(1,P24-O24))))</f>
        <v>0</v>
      </c>
      <c r="AD24" s="14" t="n">
        <f aca="false">T24*Z24</f>
        <v>0</v>
      </c>
      <c r="AE24" s="14" t="n">
        <f aca="false">AC24*Z24</f>
        <v>0</v>
      </c>
      <c r="AF24" s="25" t="n">
        <f aca="false">IF(AB24=0,1,AD24/AB24)</f>
        <v>1</v>
      </c>
      <c r="AG24" s="25" t="n">
        <f aca="false">IF(AE24=0,1,AD24/AE24)</f>
        <v>1</v>
      </c>
      <c r="AH24" s="14" t="n">
        <f aca="false">IF(J24="Completed",AB24,IF(T24&lt;0.05,MAX(Z24,AB24),AB24/T24))</f>
        <v>340000</v>
      </c>
      <c r="AI24" s="14" t="n">
        <f aca="false">MAX(0,AH24-AB24)</f>
        <v>340000</v>
      </c>
      <c r="AJ24" s="14" t="n">
        <f aca="false">Z24-AH24</f>
        <v>0</v>
      </c>
      <c r="AK24" s="15" t="n">
        <f aca="false">IF(Z24=0,0,AB24/Z24)</f>
        <v>0</v>
      </c>
      <c r="AL24" s="14" t="n">
        <f aca="false">W24-AH24</f>
        <v>180000</v>
      </c>
      <c r="AM24" s="15" t="n">
        <f aca="false">IF(W24=0,0,AL24/W24)</f>
        <v>0.346153846153846</v>
      </c>
      <c r="AN24" s="15" t="n">
        <f aca="false">AM24-S24</f>
        <v>-0.0738461538461538</v>
      </c>
      <c r="AO24" s="26" t="n">
        <f aca="false">Q24-P24</f>
        <v>0</v>
      </c>
      <c r="AP24" s="26" t="n">
        <f aca="false">IF(J24="Completed",0,MAX(0,Q24-AsOfDate))</f>
        <v>287</v>
      </c>
      <c r="AQ24" s="14" t="n">
        <f aca="false">SUMIFS(Invoices!$F$2:$F$2000,Invoices!$B$2:$B$2000,A24)</f>
        <v>0</v>
      </c>
      <c r="AR24" s="14" t="n">
        <f aca="false">SUMIFS(Invoices!$F$2:$F$2000,Invoices!$B$2:$B$2000,A24,Invoices!$K$2:$K$2000,"Paid")</f>
        <v>0</v>
      </c>
      <c r="AS24" s="14" t="n">
        <f aca="false">T24*W24-AQ24</f>
        <v>0</v>
      </c>
      <c r="AT24" s="13" t="n">
        <f aca="false">COUNTIFS(RAID!$B$2:$B$2000,A24,RAID!$C$2:$C$2000,"Risk",RAID!$J$2:$J$2000,"&lt;&gt;Closed")</f>
        <v>0</v>
      </c>
      <c r="AU24" s="13" t="n">
        <f aca="false">COUNTIFS(RAID!$B$2:$B$2000,A24,RAID!$C$2:$C$2000,"Issue",RAID!$J$2:$J$2000,"&lt;&gt;Closed")</f>
        <v>0</v>
      </c>
      <c r="AV24" s="14" t="n">
        <f aca="false">SUMIFS(RAID!$Q$2:$Q$2000,RAID!$B$2:$B$2000,A24,RAID!$J$2:$J$2000,"&lt;&gt;Closed")</f>
        <v>0</v>
      </c>
      <c r="AW24" s="13" t="n">
        <f aca="false">COUNTIFS(ChangeRequests!$B$2:$B$1000,A24,ChangeRequests!$P$2:$P$1000,"Yes")</f>
        <v>0</v>
      </c>
      <c r="AX24" s="13" t="n">
        <f aca="false">COUNTIFS(Allocations!$B$2:$B$2000,A24,Allocations!$K$2:$K$2000,"Yes")</f>
        <v>0</v>
      </c>
      <c r="AY24" s="27" t="n">
        <f aca="false">IF(COUNTIFS(Milestones!$B$2:$B$2000,A24,Milestones!$L$2:$L$2000,"&lt;&gt;Completed")=0,"",_xlfn.MINIFS(Milestones!$F$2:$F$2000,Milestones!$B$2:$B$2000,A24,Milestones!$L$2:$L$2000,"&lt;&gt;Completed"))</f>
        <v>46351</v>
      </c>
      <c r="AZ24" s="12" t="str">
        <f aca="false">IF(J24="Planned","N/A",IF(AK24-T24&gt;RAG_CostRed,"Red",IF(AK24-T24&gt;RAG_CostAmber,"Amber","Green")))</f>
        <v>N/A</v>
      </c>
      <c r="BA24" s="12" t="str">
        <f aca="false">IF(J24="Planned","N/A",IF(AO24&gt;RAG_ScheduleRedDays,"Red",IF(AO24&gt;RAG_ScheduleAmberDays,"Amber","Green")))</f>
        <v>N/A</v>
      </c>
      <c r="BB24" s="12" t="str">
        <f aca="false">IF(J24="Planned","N/A",IF(AM24&lt;MarginFloor,"Red",IF(AM24&lt;S24-MarginTolerance,"Amber","Green")))</f>
        <v>N/A</v>
      </c>
      <c r="BC24" s="12" t="str">
        <f aca="false">IF(J24="Planned","N/A",IF(OR(AZ24="Red",BA24="Red",BB24="Red"),"Red",IF(OR(AZ24="Amber",BA24="Amber",BB24="Amber"),"Amber","Green")))</f>
        <v>N/A</v>
      </c>
      <c r="BD24" s="13" t="str">
        <f aca="false">IF(J24="Planned","",MAX(0,ROUND(100-MAX(0,AK24-T24)*150-MAX(0,AO24)*0.4-MAX(0,S24-AM24)*150,0)))</f>
        <v/>
      </c>
    </row>
    <row r="25" customFormat="false" ht="15" hidden="false" customHeight="false" outlineLevel="0" collapsed="false">
      <c r="A25" s="18" t="s">
        <v>294</v>
      </c>
      <c r="B25" s="18" t="s">
        <v>295</v>
      </c>
      <c r="C25" s="18" t="s">
        <v>255</v>
      </c>
      <c r="D25" s="21" t="str">
        <f aca="false">IFERROR(INDEX(Clients!$B$2:$B$200,MATCH(C25,Clients!$A$2:$A$200,0)),"Unknown client")</f>
        <v>Bluewater Municipal Services</v>
      </c>
      <c r="E25" s="18" t="s">
        <v>136</v>
      </c>
      <c r="F25" s="18" t="s">
        <v>200</v>
      </c>
      <c r="G25" s="18" t="s">
        <v>218</v>
      </c>
      <c r="H25" s="21" t="str">
        <f aca="false">IFERROR(INDEX(Resources!$B$2:$B$500,MATCH(G25,Resources!$A$2:$A$500,0)),"")</f>
        <v>Mei Fraser</v>
      </c>
      <c r="I25" s="18" t="s">
        <v>256</v>
      </c>
      <c r="J25" s="18" t="s">
        <v>290</v>
      </c>
      <c r="K25" s="18" t="s">
        <v>291</v>
      </c>
      <c r="L25" s="18" t="s">
        <v>205</v>
      </c>
      <c r="M25" s="18" t="s">
        <v>206</v>
      </c>
      <c r="N25" s="22" t="n">
        <v>9</v>
      </c>
      <c r="O25" s="19" t="n">
        <v>46398</v>
      </c>
      <c r="P25" s="19" t="n">
        <v>46689</v>
      </c>
      <c r="Q25" s="19" t="n">
        <v>46689</v>
      </c>
      <c r="R25" s="23" t="n">
        <v>1090000</v>
      </c>
      <c r="S25" s="24" t="n">
        <v>0.36</v>
      </c>
      <c r="T25" s="24" t="n">
        <v>0</v>
      </c>
      <c r="U25" s="19" t="n">
        <v>46252</v>
      </c>
      <c r="V25" s="14" t="n">
        <f aca="false">SUMIFS(ChangeRequests!$H$2:$H$1000,ChangeRequests!$B$2:$B$1000,A25,ChangeRequests!$G$2:$G$1000,"Approved")</f>
        <v>0</v>
      </c>
      <c r="W25" s="14" t="n">
        <f aca="false">R25+V25</f>
        <v>1090000</v>
      </c>
      <c r="X25" s="14" t="n">
        <f aca="false">SUMIFS(Budget!$E$2:$E$2000,Budget!$B$2:$B$2000,A25)</f>
        <v>698500</v>
      </c>
      <c r="Y25" s="14" t="n">
        <f aca="false">SUMIFS(ChangeRequests!$I$2:$I$1000,ChangeRequests!$B$2:$B$1000,A25,ChangeRequests!$G$2:$G$1000,"Approved")</f>
        <v>0</v>
      </c>
      <c r="Z25" s="14" t="n">
        <f aca="false">X25+Y25</f>
        <v>698500</v>
      </c>
      <c r="AA25" s="16" t="n">
        <f aca="false">SUMIFS(Actuals!$H$2:$H$6000,Actuals!$C$2:$C$6000,A25)</f>
        <v>0</v>
      </c>
      <c r="AB25" s="14" t="n">
        <f aca="false">SUMIFS(Actuals!$J$2:$J$6000,Actuals!$C$2:$C$6000,A25)</f>
        <v>0</v>
      </c>
      <c r="AC25" s="15" t="n">
        <f aca="false">IF(J25="Completed",1,IF(AsOfDate&lt;=O25,0,MIN(1,(AsOfDate-O25)/MAX(1,P25-O25))))</f>
        <v>0</v>
      </c>
      <c r="AD25" s="14" t="n">
        <f aca="false">T25*Z25</f>
        <v>0</v>
      </c>
      <c r="AE25" s="14" t="n">
        <f aca="false">AC25*Z25</f>
        <v>0</v>
      </c>
      <c r="AF25" s="25" t="n">
        <f aca="false">IF(AB25=0,1,AD25/AB25)</f>
        <v>1</v>
      </c>
      <c r="AG25" s="25" t="n">
        <f aca="false">IF(AE25=0,1,AD25/AE25)</f>
        <v>1</v>
      </c>
      <c r="AH25" s="14" t="n">
        <f aca="false">IF(J25="Completed",AB25,IF(T25&lt;0.05,MAX(Z25,AB25),AB25/T25))</f>
        <v>698500</v>
      </c>
      <c r="AI25" s="14" t="n">
        <f aca="false">MAX(0,AH25-AB25)</f>
        <v>698500</v>
      </c>
      <c r="AJ25" s="14" t="n">
        <f aca="false">Z25-AH25</f>
        <v>0</v>
      </c>
      <c r="AK25" s="15" t="n">
        <f aca="false">IF(Z25=0,0,AB25/Z25)</f>
        <v>0</v>
      </c>
      <c r="AL25" s="14" t="n">
        <f aca="false">W25-AH25</f>
        <v>391500</v>
      </c>
      <c r="AM25" s="15" t="n">
        <f aca="false">IF(W25=0,0,AL25/W25)</f>
        <v>0.359174311926606</v>
      </c>
      <c r="AN25" s="15" t="n">
        <f aca="false">AM25-S25</f>
        <v>-0.000825688073394504</v>
      </c>
      <c r="AO25" s="26" t="n">
        <f aca="false">Q25-P25</f>
        <v>0</v>
      </c>
      <c r="AP25" s="26" t="n">
        <f aca="false">IF(J25="Completed",0,MAX(0,Q25-AsOfDate))</f>
        <v>413</v>
      </c>
      <c r="AQ25" s="14" t="n">
        <f aca="false">SUMIFS(Invoices!$F$2:$F$2000,Invoices!$B$2:$B$2000,A25)</f>
        <v>0</v>
      </c>
      <c r="AR25" s="14" t="n">
        <f aca="false">SUMIFS(Invoices!$F$2:$F$2000,Invoices!$B$2:$B$2000,A25,Invoices!$K$2:$K$2000,"Paid")</f>
        <v>0</v>
      </c>
      <c r="AS25" s="14" t="n">
        <f aca="false">T25*W25-AQ25</f>
        <v>0</v>
      </c>
      <c r="AT25" s="13" t="n">
        <f aca="false">COUNTIFS(RAID!$B$2:$B$2000,A25,RAID!$C$2:$C$2000,"Risk",RAID!$J$2:$J$2000,"&lt;&gt;Closed")</f>
        <v>0</v>
      </c>
      <c r="AU25" s="13" t="n">
        <f aca="false">COUNTIFS(RAID!$B$2:$B$2000,A25,RAID!$C$2:$C$2000,"Issue",RAID!$J$2:$J$2000,"&lt;&gt;Closed")</f>
        <v>0</v>
      </c>
      <c r="AV25" s="14" t="n">
        <f aca="false">SUMIFS(RAID!$Q$2:$Q$2000,RAID!$B$2:$B$2000,A25,RAID!$J$2:$J$2000,"&lt;&gt;Closed")</f>
        <v>0</v>
      </c>
      <c r="AW25" s="13" t="n">
        <f aca="false">COUNTIFS(ChangeRequests!$B$2:$B$1000,A25,ChangeRequests!$P$2:$P$1000,"Yes")</f>
        <v>0</v>
      </c>
      <c r="AX25" s="13" t="n">
        <f aca="false">COUNTIFS(Allocations!$B$2:$B$2000,A25,Allocations!$K$2:$K$2000,"Yes")</f>
        <v>0</v>
      </c>
      <c r="AY25" s="27" t="n">
        <f aca="false">IF(COUNTIFS(Milestones!$B$2:$B$2000,A25,Milestones!$L$2:$L$2000,"&lt;&gt;Completed")=0,"",_xlfn.MINIFS(Milestones!$F$2:$F$2000,Milestones!$B$2:$B$2000,A25,Milestones!$L$2:$L$2000,"&lt;&gt;Completed"))</f>
        <v>46427</v>
      </c>
      <c r="AZ25" s="12" t="str">
        <f aca="false">IF(J25="Planned","N/A",IF(AK25-T25&gt;RAG_CostRed,"Red",IF(AK25-T25&gt;RAG_CostAmber,"Amber","Green")))</f>
        <v>N/A</v>
      </c>
      <c r="BA25" s="12" t="str">
        <f aca="false">IF(J25="Planned","N/A",IF(AO25&gt;RAG_ScheduleRedDays,"Red",IF(AO25&gt;RAG_ScheduleAmberDays,"Amber","Green")))</f>
        <v>N/A</v>
      </c>
      <c r="BB25" s="12" t="str">
        <f aca="false">IF(J25="Planned","N/A",IF(AM25&lt;MarginFloor,"Red",IF(AM25&lt;S25-MarginTolerance,"Amber","Green")))</f>
        <v>N/A</v>
      </c>
      <c r="BC25" s="12" t="str">
        <f aca="false">IF(J25="Planned","N/A",IF(OR(AZ25="Red",BA25="Red",BB25="Red"),"Red",IF(OR(AZ25="Amber",BA25="Amber",BB25="Amber"),"Amber","Green")))</f>
        <v>N/A</v>
      </c>
      <c r="BD25" s="13" t="str">
        <f aca="false">IF(J25="Planned","",MAX(0,ROUND(100-MAX(0,AK25-T25)*150-MAX(0,AO25)*0.4-MAX(0,S25-AM25)*150,0)))</f>
        <v/>
      </c>
    </row>
  </sheetData>
  <conditionalFormatting sqref="AZ2:AZ25">
    <cfRule type="cellIs" priority="2" operator="equal" aboveAverage="0" equalAverage="0" bottom="0" percent="0" rank="0" text="" dxfId="12">
      <formula>"Red"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"Green"</formula>
    </cfRule>
    <cfRule type="cellIs" priority="5" operator="equal" aboveAverage="0" equalAverage="0" bottom="0" percent="0" rank="0" text="" dxfId="15">
      <formula>"N/A"</formula>
    </cfRule>
  </conditionalFormatting>
  <conditionalFormatting sqref="BA2:BA25">
    <cfRule type="cellIs" priority="6" operator="equal" aboveAverage="0" equalAverage="0" bottom="0" percent="0" rank="0" text="" dxfId="12">
      <formula>"Red"</formula>
    </cfRule>
    <cfRule type="cellIs" priority="7" operator="equal" aboveAverage="0" equalAverage="0" bottom="0" percent="0" rank="0" text="" dxfId="13">
      <formula>"Amber"</formula>
    </cfRule>
    <cfRule type="cellIs" priority="8" operator="equal" aboveAverage="0" equalAverage="0" bottom="0" percent="0" rank="0" text="" dxfId="14">
      <formula>"Green"</formula>
    </cfRule>
    <cfRule type="cellIs" priority="9" operator="equal" aboveAverage="0" equalAverage="0" bottom="0" percent="0" rank="0" text="" dxfId="15">
      <formula>"N/A"</formula>
    </cfRule>
  </conditionalFormatting>
  <conditionalFormatting sqref="BB2:BB25">
    <cfRule type="cellIs" priority="10" operator="equal" aboveAverage="0" equalAverage="0" bottom="0" percent="0" rank="0" text="" dxfId="12">
      <formula>"Red"</formula>
    </cfRule>
    <cfRule type="cellIs" priority="11" operator="equal" aboveAverage="0" equalAverage="0" bottom="0" percent="0" rank="0" text="" dxfId="13">
      <formula>"Amber"</formula>
    </cfRule>
    <cfRule type="cellIs" priority="12" operator="equal" aboveAverage="0" equalAverage="0" bottom="0" percent="0" rank="0" text="" dxfId="14">
      <formula>"Green"</formula>
    </cfRule>
    <cfRule type="cellIs" priority="13" operator="equal" aboveAverage="0" equalAverage="0" bottom="0" percent="0" rank="0" text="" dxfId="15">
      <formula>"N/A"</formula>
    </cfRule>
  </conditionalFormatting>
  <conditionalFormatting sqref="BC2:BC25">
    <cfRule type="cellIs" priority="14" operator="equal" aboveAverage="0" equalAverage="0" bottom="0" percent="0" rank="0" text="" dxfId="12">
      <formula>"Red"</formula>
    </cfRule>
    <cfRule type="cellIs" priority="15" operator="equal" aboveAverage="0" equalAverage="0" bottom="0" percent="0" rank="0" text="" dxfId="13">
      <formula>"Amber"</formula>
    </cfRule>
    <cfRule type="cellIs" priority="16" operator="equal" aboveAverage="0" equalAverage="0" bottom="0" percent="0" rank="0" text="" dxfId="14">
      <formula>"Green"</formula>
    </cfRule>
    <cfRule type="cellIs" priority="17" operator="equal" aboveAverage="0" equalAverage="0" bottom="0" percent="0" rank="0" text="" dxfId="15">
      <formula>"N/A"</formula>
    </cfRule>
  </conditionalFormatting>
  <conditionalFormatting sqref="T2:T25">
    <cfRule type="dataBar" priority="18">
      <dataBar showValue="1" minLength="10" maxLength="90">
        <cfvo type="num" val="0"/>
        <cfvo type="num" val="1.2"/>
        <color rgb="FF5B9BD5"/>
      </dataBar>
      <extLst>
        <ext xmlns:x14="http://schemas.microsoft.com/office/spreadsheetml/2009/9/main" uri="{B025F937-C7B1-47D3-B67F-A62EFF666E3E}">
          <x14:id>{EC8FE3F1-F77C-4453-9718-7C2C108EFBB4}</x14:id>
        </ext>
      </extLst>
    </cfRule>
  </conditionalFormatting>
  <conditionalFormatting sqref="AK2:AK25">
    <cfRule type="dataBar" priority="19">
      <dataBar showValue="1" minLength="10" maxLength="90">
        <cfvo type="num" val="0"/>
        <cfvo type="num" val="1.2"/>
        <color rgb="FFED7D31"/>
      </dataBar>
      <extLst>
        <ext xmlns:x14="http://schemas.microsoft.com/office/spreadsheetml/2009/9/main" uri="{B025F937-C7B1-47D3-B67F-A62EFF666E3E}">
          <x14:id>{AF223580-97E6-4C6F-8FB0-514AC0F0DA35}</x14:id>
        </ext>
      </extLst>
    </cfRule>
  </conditionalFormatting>
  <conditionalFormatting sqref="BD2:BD25">
    <cfRule type="cellIs" priority="20" operator="lessThan" aboveAverage="0" equalAverage="0" bottom="0" percent="0" rank="0" text="" dxfId="12">
      <formula>60</formula>
    </cfRule>
  </conditionalFormatting>
  <dataValidations count="6">
    <dataValidation allowBlank="true" error="Pick a value from the list." errorStyle="stop" errorTitle="Invalid value" operator="between" showDropDown="false" showErrorMessage="true" showInputMessage="false" sqref="J2:J500" type="list">
      <formula1>"Planned,Active,On Hold,Completed"</formula1>
      <formula2>0</formula2>
    </dataValidation>
    <dataValidation allowBlank="true" error="Pick a value from the list." errorStyle="stop" errorTitle="Invalid value" operator="between" showDropDown="false" showErrorMessage="true" showInputMessage="false" sqref="K2:K500" type="list">
      <formula1>"Initiate,Plan,Execute,Test &amp; Deploy,Close"</formula1>
      <formula2>0</formula2>
    </dataValidation>
    <dataValidation allowBlank="true" error="Pick a value from the list." errorStyle="stop" errorTitle="Invalid value" operator="between" showDropDown="false" showErrorMessage="true" showInputMessage="false" sqref="L2:L500" type="list">
      <formula1>"P1,P2,P3"</formula1>
      <formula2>0</formula2>
    </dataValidation>
    <dataValidation allowBlank="true" error="Pick a value from the list." errorStyle="stop" errorTitle="Invalid value" operator="between" showDropDown="false" showErrorMessage="true" showInputMessage="false" sqref="M2:M500" type="list">
      <formula1>"Fixed Price,Time &amp; Materials,Retainer"</formula1>
      <formula2>0</formula2>
    </dataValidation>
    <dataValidation allowBlank="true" error="Pick a value from the list." errorStyle="stop" errorTitle="Invalid value" operator="between" showDropDown="false" showErrorMessage="true" showInputMessage="false" sqref="E2:E500" type="list">
      <formula1>"Customer Experience,Data &amp; AI,Cloud &amp; Infrastructure,Digital Transformation,Operational Excellence"</formula1>
      <formula2>0</formula2>
    </dataValidation>
    <dataValidation allowBlank="false" error="Enter a fraction between 0 and 1 (0.5 = 50%)." errorStyle="stop" operator="between" showDropDown="false" showErrorMessage="true" showInputMessage="false" sqref="T2:T5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8FE3F1-F77C-4453-9718-7C2C108EFBB4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5B9BD5"/>
              <x14:axisColor rgb="FF000000"/>
            </x14:dataBar>
          </x14:cfRule>
          <xm:sqref>T2:T25</xm:sqref>
        </x14:conditionalFormatting>
        <x14:conditionalFormatting xmlns:xm="http://schemas.microsoft.com/office/excel/2006/main">
          <x14:cfRule type="dataBar" id="{AF223580-97E6-4C6F-8FB0-514AC0F0DA35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ED7D31"/>
              <x14:axisColor rgb="FF000000"/>
            </x14:dataBar>
          </x14:cfRule>
          <xm:sqref>AK2:AK25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U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20" min="19" style="0" width="12"/>
    <col collapsed="false" customWidth="true" hidden="false" outlineLevel="0" max="21" min="21" style="0" width="11"/>
  </cols>
  <sheetData>
    <row r="1" customFormat="false" ht="30" hidden="false" customHeight="true" outlineLevel="0" collapsed="false">
      <c r="A1" s="20" t="s">
        <v>43</v>
      </c>
      <c r="B1" s="20" t="s">
        <v>296</v>
      </c>
      <c r="C1" s="20" t="s">
        <v>297</v>
      </c>
      <c r="D1" s="20" t="s">
        <v>298</v>
      </c>
      <c r="E1" s="20" t="s">
        <v>299</v>
      </c>
      <c r="F1" s="20" t="s">
        <v>300</v>
      </c>
      <c r="G1" s="20" t="s">
        <v>301</v>
      </c>
      <c r="H1" s="20" t="s">
        <v>302</v>
      </c>
      <c r="I1" s="20" t="s">
        <v>303</v>
      </c>
      <c r="J1" s="20" t="s">
        <v>304</v>
      </c>
      <c r="K1" s="20" t="s">
        <v>305</v>
      </c>
      <c r="L1" s="20" t="s">
        <v>306</v>
      </c>
      <c r="M1" s="20" t="s">
        <v>307</v>
      </c>
      <c r="N1" s="20" t="s">
        <v>308</v>
      </c>
      <c r="O1" s="20" t="s">
        <v>309</v>
      </c>
      <c r="P1" s="20" t="s">
        <v>310</v>
      </c>
      <c r="Q1" s="20" t="s">
        <v>311</v>
      </c>
      <c r="R1" s="20" t="s">
        <v>312</v>
      </c>
      <c r="S1" s="20" t="s">
        <v>313</v>
      </c>
      <c r="T1" s="20" t="s">
        <v>314</v>
      </c>
      <c r="U1" s="20" t="s">
        <v>315</v>
      </c>
    </row>
    <row r="2" customFormat="false" ht="15" hidden="false" customHeight="false" outlineLevel="0" collapsed="false">
      <c r="A2" s="18" t="s">
        <v>316</v>
      </c>
      <c r="B2" s="18" t="s">
        <v>317</v>
      </c>
      <c r="C2" s="18" t="s">
        <v>318</v>
      </c>
      <c r="D2" s="18" t="s">
        <v>319</v>
      </c>
      <c r="E2" s="18" t="s">
        <v>320</v>
      </c>
      <c r="F2" s="18" t="s">
        <v>321</v>
      </c>
      <c r="G2" s="18" t="s">
        <v>322</v>
      </c>
      <c r="H2" s="28" t="n">
        <v>135</v>
      </c>
      <c r="I2" s="28" t="n">
        <v>0</v>
      </c>
      <c r="J2" s="22" t="n">
        <v>0</v>
      </c>
      <c r="K2" s="18"/>
      <c r="L2" s="21" t="str">
        <f aca="false">IFERROR(INDEX(Resources!$B$2:$B$500,MATCH(K2,Resources!$A$2:$A$500,0)),"")</f>
        <v/>
      </c>
      <c r="M2" s="18" t="s">
        <v>323</v>
      </c>
      <c r="N2" s="19" t="n">
        <v>42436</v>
      </c>
      <c r="O2" s="15" t="n">
        <f aca="false">SUMIFS(Allocations!$J$2:$J$2000,Allocations!$D$2:$D$2000,A2,Allocations!$H$2:$H$2000,"&lt;="&amp;AsOfDate,Allocations!$I$2:$I$2000,"&gt;="&amp;AsOfDate)</f>
        <v>0</v>
      </c>
      <c r="P2" s="13" t="n">
        <f aca="false">COUNTIFS(Allocations!$D$2:$D$2000,A2,Allocations!$H$2:$H$2000,"&lt;="&amp;AsOfDate,Allocations!$I$2:$I$2000,"&gt;="&amp;AsOfDate)</f>
        <v>0</v>
      </c>
      <c r="Q2" s="16" t="n">
        <f aca="false">ROUND(J2*MAX(0,1-O2),1)</f>
        <v>0</v>
      </c>
      <c r="R2" s="12" t="str">
        <f aca="false">IF(J2=0,"Non-assignable",IF(O2&gt;OverallocationThreshold,"Overallocated",IF(O2&lt;UnderutilizationThreshold,"Under-utilized","Healthy")))</f>
        <v>Non-assignable</v>
      </c>
      <c r="S2" s="16" t="n">
        <f aca="false">SUMIFS(Actuals!$H$2:$H$6000,Actuals!$E$2:$E$6000,A2,Actuals!$B$2:$B$6000,"&gt;="&amp;DATE(YEAR(AsOfDate),1,1))</f>
        <v>0</v>
      </c>
      <c r="T2" s="16" t="n">
        <f aca="false">SUMIFS(Actuals!$H$2:$H$6000,Actuals!$E$2:$E$6000,A2,Actuals!$B$2:$B$6000,"&gt;="&amp;DATE(YEAR(AsOfDate),1,1),Actuals!$I$2:$I$6000,"Yes")</f>
        <v>0</v>
      </c>
      <c r="U2" s="15" t="n">
        <f aca="false">IF(S2=0,0,T2/S2)</f>
        <v>0</v>
      </c>
    </row>
    <row r="3" customFormat="false" ht="15" hidden="false" customHeight="false" outlineLevel="0" collapsed="false">
      <c r="A3" s="18" t="s">
        <v>324</v>
      </c>
      <c r="B3" s="18" t="s">
        <v>325</v>
      </c>
      <c r="C3" s="18" t="s">
        <v>326</v>
      </c>
      <c r="D3" s="18" t="s">
        <v>327</v>
      </c>
      <c r="E3" s="18" t="s">
        <v>320</v>
      </c>
      <c r="F3" s="18" t="s">
        <v>321</v>
      </c>
      <c r="G3" s="18" t="s">
        <v>322</v>
      </c>
      <c r="H3" s="28" t="n">
        <v>140</v>
      </c>
      <c r="I3" s="28" t="n">
        <v>0</v>
      </c>
      <c r="J3" s="22" t="n">
        <v>0</v>
      </c>
      <c r="K3" s="18"/>
      <c r="L3" s="21" t="str">
        <f aca="false">IFERROR(INDEX(Resources!$B$2:$B$500,MATCH(K3,Resources!$A$2:$A$500,0)),"")</f>
        <v/>
      </c>
      <c r="M3" s="18" t="s">
        <v>328</v>
      </c>
      <c r="N3" s="19" t="n">
        <v>42989</v>
      </c>
      <c r="O3" s="15" t="n">
        <f aca="false">SUMIFS(Allocations!$J$2:$J$2000,Allocations!$D$2:$D$2000,A3,Allocations!$H$2:$H$2000,"&lt;="&amp;AsOfDate,Allocations!$I$2:$I$2000,"&gt;="&amp;AsOfDate)</f>
        <v>0</v>
      </c>
      <c r="P3" s="13" t="n">
        <f aca="false">COUNTIFS(Allocations!$D$2:$D$2000,A3,Allocations!$H$2:$H$2000,"&lt;="&amp;AsOfDate,Allocations!$I$2:$I$2000,"&gt;="&amp;AsOfDate)</f>
        <v>0</v>
      </c>
      <c r="Q3" s="16" t="n">
        <f aca="false">ROUND(J3*MAX(0,1-O3),1)</f>
        <v>0</v>
      </c>
      <c r="R3" s="12" t="str">
        <f aca="false">IF(J3=0,"Non-assignable",IF(O3&gt;OverallocationThreshold,"Overallocated",IF(O3&lt;UnderutilizationThreshold,"Under-utilized","Healthy")))</f>
        <v>Non-assignable</v>
      </c>
      <c r="S3" s="16" t="n">
        <f aca="false">SUMIFS(Actuals!$H$2:$H$6000,Actuals!$E$2:$E$6000,A3,Actuals!$B$2:$B$6000,"&gt;="&amp;DATE(YEAR(AsOfDate),1,1))</f>
        <v>0</v>
      </c>
      <c r="T3" s="16" t="n">
        <f aca="false">SUMIFS(Actuals!$H$2:$H$6000,Actuals!$E$2:$E$6000,A3,Actuals!$B$2:$B$6000,"&gt;="&amp;DATE(YEAR(AsOfDate),1,1),Actuals!$I$2:$I$6000,"Yes")</f>
        <v>0</v>
      </c>
      <c r="U3" s="15" t="n">
        <f aca="false">IF(S3=0,0,T3/S3)</f>
        <v>0</v>
      </c>
    </row>
    <row r="4" customFormat="false" ht="15" hidden="false" customHeight="false" outlineLevel="0" collapsed="false">
      <c r="A4" s="18" t="s">
        <v>201</v>
      </c>
      <c r="B4" s="18" t="s">
        <v>329</v>
      </c>
      <c r="C4" s="18" t="s">
        <v>330</v>
      </c>
      <c r="D4" s="18" t="s">
        <v>319</v>
      </c>
      <c r="E4" s="18" t="s">
        <v>331</v>
      </c>
      <c r="F4" s="18" t="s">
        <v>321</v>
      </c>
      <c r="G4" s="18" t="s">
        <v>322</v>
      </c>
      <c r="H4" s="28" t="n">
        <v>102.08</v>
      </c>
      <c r="I4" s="28" t="n">
        <v>205</v>
      </c>
      <c r="J4" s="22" t="n">
        <v>40</v>
      </c>
      <c r="K4" s="18" t="s">
        <v>316</v>
      </c>
      <c r="L4" s="21" t="str">
        <f aca="false">IFERROR(INDEX(Resources!$B$2:$B$500,MATCH(K4,Resources!$A$2:$A$500,0)),"")</f>
        <v>Helena Marsh</v>
      </c>
      <c r="M4" s="18" t="s">
        <v>332</v>
      </c>
      <c r="N4" s="19" t="n">
        <v>44614</v>
      </c>
      <c r="O4" s="15" t="n">
        <f aca="false">SUMIFS(Allocations!$J$2:$J$2000,Allocations!$D$2:$D$2000,A4,Allocations!$H$2:$H$2000,"&lt;="&amp;AsOfDate,Allocations!$I$2:$I$2000,"&gt;="&amp;AsOfDate)</f>
        <v>0.75</v>
      </c>
      <c r="P4" s="13" t="n">
        <f aca="false">COUNTIFS(Allocations!$D$2:$D$2000,A4,Allocations!$H$2:$H$2000,"&lt;="&amp;AsOfDate,Allocations!$I$2:$I$2000,"&gt;="&amp;AsOfDate)</f>
        <v>2</v>
      </c>
      <c r="Q4" s="16" t="n">
        <f aca="false">ROUND(J4*MAX(0,1-O4),1)</f>
        <v>10</v>
      </c>
      <c r="R4" s="12" t="str">
        <f aca="false">IF(J4=0,"Non-assignable",IF(O4&gt;OverallocationThreshold,"Overallocated",IF(O4&lt;UnderutilizationThreshold,"Under-utilized","Healthy")))</f>
        <v>Healthy</v>
      </c>
      <c r="S4" s="16" t="n">
        <f aca="false">SUMIFS(Actuals!$H$2:$H$6000,Actuals!$E$2:$E$6000,A4,Actuals!$B$2:$B$6000,"&gt;="&amp;DATE(YEAR(AsOfDate),1,1))</f>
        <v>876.7</v>
      </c>
      <c r="T4" s="16" t="n">
        <f aca="false">SUMIFS(Actuals!$H$2:$H$6000,Actuals!$E$2:$E$6000,A4,Actuals!$B$2:$B$6000,"&gt;="&amp;DATE(YEAR(AsOfDate),1,1),Actuals!$I$2:$I$6000,"Yes")</f>
        <v>673.1</v>
      </c>
      <c r="U4" s="15" t="n">
        <f aca="false">IF(S4=0,0,T4/S4)</f>
        <v>0.767765484202122</v>
      </c>
    </row>
    <row r="5" customFormat="false" ht="15" hidden="false" customHeight="false" outlineLevel="0" collapsed="false">
      <c r="A5" s="18" t="s">
        <v>211</v>
      </c>
      <c r="B5" s="18" t="s">
        <v>333</v>
      </c>
      <c r="C5" s="18" t="s">
        <v>330</v>
      </c>
      <c r="D5" s="18" t="s">
        <v>319</v>
      </c>
      <c r="E5" s="18" t="s">
        <v>331</v>
      </c>
      <c r="F5" s="18" t="s">
        <v>334</v>
      </c>
      <c r="G5" s="18" t="s">
        <v>322</v>
      </c>
      <c r="H5" s="28" t="n">
        <v>102.08</v>
      </c>
      <c r="I5" s="28" t="n">
        <v>205</v>
      </c>
      <c r="J5" s="22" t="n">
        <v>40</v>
      </c>
      <c r="K5" s="18" t="s">
        <v>201</v>
      </c>
      <c r="L5" s="21" t="str">
        <f aca="false">IFERROR(INDEX(Resources!$B$2:$B$500,MATCH(K5,Resources!$A$2:$A$500,0)),"")</f>
        <v>Aisha Tremblay</v>
      </c>
      <c r="M5" s="18" t="s">
        <v>332</v>
      </c>
      <c r="N5" s="19" t="n">
        <v>43033</v>
      </c>
      <c r="O5" s="15" t="n">
        <f aca="false">SUMIFS(Allocations!$J$2:$J$2000,Allocations!$D$2:$D$2000,A5,Allocations!$H$2:$H$2000,"&lt;="&amp;AsOfDate,Allocations!$I$2:$I$2000,"&gt;="&amp;AsOfDate)</f>
        <v>0.75</v>
      </c>
      <c r="P5" s="13" t="n">
        <f aca="false">COUNTIFS(Allocations!$D$2:$D$2000,A5,Allocations!$H$2:$H$2000,"&lt;="&amp;AsOfDate,Allocations!$I$2:$I$2000,"&gt;="&amp;AsOfDate)</f>
        <v>2</v>
      </c>
      <c r="Q5" s="16" t="n">
        <f aca="false">ROUND(J5*MAX(0,1-O5),1)</f>
        <v>10</v>
      </c>
      <c r="R5" s="12" t="str">
        <f aca="false">IF(J5=0,"Non-assignable",IF(O5&gt;OverallocationThreshold,"Overallocated",IF(O5&lt;UnderutilizationThreshold,"Under-utilized","Healthy")))</f>
        <v>Healthy</v>
      </c>
      <c r="S5" s="16" t="n">
        <f aca="false">SUMIFS(Actuals!$H$2:$H$6000,Actuals!$E$2:$E$6000,A5,Actuals!$B$2:$B$6000,"&gt;="&amp;DATE(YEAR(AsOfDate),1,1))</f>
        <v>1358.1</v>
      </c>
      <c r="T5" s="16" t="n">
        <f aca="false">SUMIFS(Actuals!$H$2:$H$6000,Actuals!$E$2:$E$6000,A5,Actuals!$B$2:$B$6000,"&gt;="&amp;DATE(YEAR(AsOfDate),1,1),Actuals!$I$2:$I$6000,"Yes")</f>
        <v>1358.1</v>
      </c>
      <c r="U5" s="15" t="n">
        <f aca="false">IF(S5=0,0,T5/S5)</f>
        <v>1</v>
      </c>
    </row>
    <row r="6" customFormat="false" ht="15" hidden="false" customHeight="false" outlineLevel="0" collapsed="false">
      <c r="A6" s="18" t="s">
        <v>218</v>
      </c>
      <c r="B6" s="18" t="s">
        <v>335</v>
      </c>
      <c r="C6" s="18" t="s">
        <v>330</v>
      </c>
      <c r="D6" s="18" t="s">
        <v>319</v>
      </c>
      <c r="E6" s="18" t="s">
        <v>336</v>
      </c>
      <c r="F6" s="18" t="s">
        <v>337</v>
      </c>
      <c r="G6" s="18" t="s">
        <v>322</v>
      </c>
      <c r="H6" s="28" t="n">
        <v>74.8</v>
      </c>
      <c r="I6" s="28" t="n">
        <v>150</v>
      </c>
      <c r="J6" s="22" t="n">
        <v>40</v>
      </c>
      <c r="K6" s="18" t="s">
        <v>201</v>
      </c>
      <c r="L6" s="21" t="str">
        <f aca="false">IFERROR(INDEX(Resources!$B$2:$B$500,MATCH(K6,Resources!$A$2:$A$500,0)),"")</f>
        <v>Aisha Tremblay</v>
      </c>
      <c r="M6" s="18" t="s">
        <v>332</v>
      </c>
      <c r="N6" s="19" t="n">
        <v>45256</v>
      </c>
      <c r="O6" s="15" t="n">
        <f aca="false">SUMIFS(Allocations!$J$2:$J$2000,Allocations!$D$2:$D$2000,A6,Allocations!$H$2:$H$2000,"&lt;="&amp;AsOfDate,Allocations!$I$2:$I$2000,"&gt;="&amp;AsOfDate)</f>
        <v>1.25</v>
      </c>
      <c r="P6" s="13" t="n">
        <f aca="false">COUNTIFS(Allocations!$D$2:$D$2000,A6,Allocations!$H$2:$H$2000,"&lt;="&amp;AsOfDate,Allocations!$I$2:$I$2000,"&gt;="&amp;AsOfDate)</f>
        <v>3</v>
      </c>
      <c r="Q6" s="16" t="n">
        <f aca="false">ROUND(J6*MAX(0,1-O6),1)</f>
        <v>0</v>
      </c>
      <c r="R6" s="12" t="str">
        <f aca="false">IF(J6=0,"Non-assignable",IF(O6&gt;OverallocationThreshold,"Overallocated",IF(O6&lt;UnderutilizationThreshold,"Under-utilized","Healthy")))</f>
        <v>Overallocated</v>
      </c>
      <c r="S6" s="16" t="n">
        <f aca="false">SUMIFS(Actuals!$H$2:$H$6000,Actuals!$E$2:$E$6000,A6,Actuals!$B$2:$B$6000,"&gt;="&amp;DATE(YEAR(AsOfDate),1,1))</f>
        <v>1621.1</v>
      </c>
      <c r="T6" s="16" t="n">
        <f aca="false">SUMIFS(Actuals!$H$2:$H$6000,Actuals!$E$2:$E$6000,A6,Actuals!$B$2:$B$6000,"&gt;="&amp;DATE(YEAR(AsOfDate),1,1),Actuals!$I$2:$I$6000,"Yes")</f>
        <v>1248.4</v>
      </c>
      <c r="U6" s="15" t="n">
        <f aca="false">IF(S6=0,0,T6/S6)</f>
        <v>0.770094380359016</v>
      </c>
    </row>
    <row r="7" customFormat="false" ht="15" hidden="false" customHeight="false" outlineLevel="0" collapsed="false">
      <c r="A7" s="18" t="s">
        <v>226</v>
      </c>
      <c r="B7" s="18" t="s">
        <v>338</v>
      </c>
      <c r="C7" s="18" t="s">
        <v>330</v>
      </c>
      <c r="D7" s="18" t="s">
        <v>319</v>
      </c>
      <c r="E7" s="18" t="s">
        <v>339</v>
      </c>
      <c r="F7" s="18" t="s">
        <v>340</v>
      </c>
      <c r="G7" s="18" t="s">
        <v>322</v>
      </c>
      <c r="H7" s="28" t="n">
        <v>88</v>
      </c>
      <c r="I7" s="28" t="n">
        <v>175</v>
      </c>
      <c r="J7" s="22" t="n">
        <v>40</v>
      </c>
      <c r="K7" s="18" t="s">
        <v>201</v>
      </c>
      <c r="L7" s="21" t="str">
        <f aca="false">IFERROR(INDEX(Resources!$B$2:$B$500,MATCH(K7,Resources!$A$2:$A$500,0)),"")</f>
        <v>Aisha Tremblay</v>
      </c>
      <c r="M7" s="18" t="s">
        <v>332</v>
      </c>
      <c r="N7" s="19" t="n">
        <v>44045</v>
      </c>
      <c r="O7" s="15" t="n">
        <f aca="false">SUMIFS(Allocations!$J$2:$J$2000,Allocations!$D$2:$D$2000,A7,Allocations!$H$2:$H$2000,"&lt;="&amp;AsOfDate,Allocations!$I$2:$I$2000,"&gt;="&amp;AsOfDate)</f>
        <v>0.5</v>
      </c>
      <c r="P7" s="13" t="n">
        <f aca="false">COUNTIFS(Allocations!$D$2:$D$2000,A7,Allocations!$H$2:$H$2000,"&lt;="&amp;AsOfDate,Allocations!$I$2:$I$2000,"&gt;="&amp;AsOfDate)</f>
        <v>2</v>
      </c>
      <c r="Q7" s="16" t="n">
        <f aca="false">ROUND(J7*MAX(0,1-O7),1)</f>
        <v>20</v>
      </c>
      <c r="R7" s="12" t="str">
        <f aca="false">IF(J7=0,"Non-assignable",IF(O7&gt;OverallocationThreshold,"Overallocated",IF(O7&lt;UnderutilizationThreshold,"Under-utilized","Healthy")))</f>
        <v>Under-utilized</v>
      </c>
      <c r="S7" s="16" t="n">
        <f aca="false">SUMIFS(Actuals!$H$2:$H$6000,Actuals!$E$2:$E$6000,A7,Actuals!$B$2:$B$6000,"&gt;="&amp;DATE(YEAR(AsOfDate),1,1))</f>
        <v>1000.5</v>
      </c>
      <c r="T7" s="16" t="n">
        <f aca="false">SUMIFS(Actuals!$H$2:$H$6000,Actuals!$E$2:$E$6000,A7,Actuals!$B$2:$B$6000,"&gt;="&amp;DATE(YEAR(AsOfDate),1,1),Actuals!$I$2:$I$6000,"Yes")</f>
        <v>303.8</v>
      </c>
      <c r="U7" s="15" t="n">
        <f aca="false">IF(S7=0,0,T7/S7)</f>
        <v>0.303648175912044</v>
      </c>
    </row>
    <row r="8" customFormat="false" ht="15" hidden="false" customHeight="false" outlineLevel="0" collapsed="false">
      <c r="A8" s="18" t="s">
        <v>231</v>
      </c>
      <c r="B8" s="18" t="s">
        <v>341</v>
      </c>
      <c r="C8" s="18" t="s">
        <v>330</v>
      </c>
      <c r="D8" s="18" t="s">
        <v>319</v>
      </c>
      <c r="E8" s="18" t="s">
        <v>331</v>
      </c>
      <c r="F8" s="18" t="s">
        <v>321</v>
      </c>
      <c r="G8" s="18" t="s">
        <v>322</v>
      </c>
      <c r="H8" s="28" t="n">
        <v>102.08</v>
      </c>
      <c r="I8" s="28" t="n">
        <v>205</v>
      </c>
      <c r="J8" s="22" t="n">
        <v>40</v>
      </c>
      <c r="K8" s="18" t="s">
        <v>201</v>
      </c>
      <c r="L8" s="21" t="str">
        <f aca="false">IFERROR(INDEX(Resources!$B$2:$B$500,MATCH(K8,Resources!$A$2:$A$500,0)),"")</f>
        <v>Aisha Tremblay</v>
      </c>
      <c r="M8" s="18" t="s">
        <v>342</v>
      </c>
      <c r="N8" s="19" t="n">
        <v>43021</v>
      </c>
      <c r="O8" s="15" t="n">
        <f aca="false">SUMIFS(Allocations!$J$2:$J$2000,Allocations!$D$2:$D$2000,A8,Allocations!$H$2:$H$2000,"&lt;="&amp;AsOfDate,Allocations!$I$2:$I$2000,"&gt;="&amp;AsOfDate)</f>
        <v>0.75</v>
      </c>
      <c r="P8" s="13" t="n">
        <f aca="false">COUNTIFS(Allocations!$D$2:$D$2000,A8,Allocations!$H$2:$H$2000,"&lt;="&amp;AsOfDate,Allocations!$I$2:$I$2000,"&gt;="&amp;AsOfDate)</f>
        <v>2</v>
      </c>
      <c r="Q8" s="16" t="n">
        <f aca="false">ROUND(J8*MAX(0,1-O8),1)</f>
        <v>10</v>
      </c>
      <c r="R8" s="12" t="str">
        <f aca="false">IF(J8=0,"Non-assignable",IF(O8&gt;OverallocationThreshold,"Overallocated",IF(O8&lt;UnderutilizationThreshold,"Under-utilized","Healthy")))</f>
        <v>Healthy</v>
      </c>
      <c r="S8" s="16" t="n">
        <f aca="false">SUMIFS(Actuals!$H$2:$H$6000,Actuals!$E$2:$E$6000,A8,Actuals!$B$2:$B$6000,"&gt;="&amp;DATE(YEAR(AsOfDate),1,1))</f>
        <v>1229.3</v>
      </c>
      <c r="T8" s="16" t="n">
        <f aca="false">SUMIFS(Actuals!$H$2:$H$6000,Actuals!$E$2:$E$6000,A8,Actuals!$B$2:$B$6000,"&gt;="&amp;DATE(YEAR(AsOfDate),1,1),Actuals!$I$2:$I$6000,"Yes")</f>
        <v>1229.3</v>
      </c>
      <c r="U8" s="15" t="n">
        <f aca="false">IF(S8=0,0,T8/S8)</f>
        <v>1</v>
      </c>
    </row>
    <row r="9" customFormat="false" ht="15" hidden="false" customHeight="false" outlineLevel="0" collapsed="false">
      <c r="A9" s="18" t="s">
        <v>242</v>
      </c>
      <c r="B9" s="18" t="s">
        <v>343</v>
      </c>
      <c r="C9" s="18" t="s">
        <v>330</v>
      </c>
      <c r="D9" s="18" t="s">
        <v>319</v>
      </c>
      <c r="E9" s="18" t="s">
        <v>344</v>
      </c>
      <c r="F9" s="18" t="s">
        <v>321</v>
      </c>
      <c r="G9" s="18" t="s">
        <v>322</v>
      </c>
      <c r="H9" s="28" t="n">
        <v>95.04</v>
      </c>
      <c r="I9" s="28" t="n">
        <v>190</v>
      </c>
      <c r="J9" s="22" t="n">
        <v>40</v>
      </c>
      <c r="K9" s="18" t="s">
        <v>201</v>
      </c>
      <c r="L9" s="21" t="str">
        <f aca="false">IFERROR(INDEX(Resources!$B$2:$B$500,MATCH(K9,Resources!$A$2:$A$500,0)),"")</f>
        <v>Aisha Tremblay</v>
      </c>
      <c r="M9" s="18" t="s">
        <v>345</v>
      </c>
      <c r="N9" s="19" t="n">
        <v>45041</v>
      </c>
      <c r="O9" s="15" t="n">
        <f aca="false">SUMIFS(Allocations!$J$2:$J$2000,Allocations!$D$2:$D$2000,A9,Allocations!$H$2:$H$2000,"&lt;="&amp;AsOfDate,Allocations!$I$2:$I$2000,"&gt;="&amp;AsOfDate)</f>
        <v>0.75</v>
      </c>
      <c r="P9" s="13" t="n">
        <f aca="false">COUNTIFS(Allocations!$D$2:$D$2000,A9,Allocations!$H$2:$H$2000,"&lt;="&amp;AsOfDate,Allocations!$I$2:$I$2000,"&gt;="&amp;AsOfDate)</f>
        <v>2</v>
      </c>
      <c r="Q9" s="16" t="n">
        <f aca="false">ROUND(J9*MAX(0,1-O9),1)</f>
        <v>10</v>
      </c>
      <c r="R9" s="12" t="str">
        <f aca="false">IF(J9=0,"Non-assignable",IF(O9&gt;OverallocationThreshold,"Overallocated",IF(O9&lt;UnderutilizationThreshold,"Under-utilized","Healthy")))</f>
        <v>Healthy</v>
      </c>
      <c r="S9" s="16" t="n">
        <f aca="false">SUMIFS(Actuals!$H$2:$H$6000,Actuals!$E$2:$E$6000,A9,Actuals!$B$2:$B$6000,"&gt;="&amp;DATE(YEAR(AsOfDate),1,1))</f>
        <v>766.6</v>
      </c>
      <c r="T9" s="16" t="n">
        <f aca="false">SUMIFS(Actuals!$H$2:$H$6000,Actuals!$E$2:$E$6000,A9,Actuals!$B$2:$B$6000,"&gt;="&amp;DATE(YEAR(AsOfDate),1,1),Actuals!$I$2:$I$6000,"Yes")</f>
        <v>766.6</v>
      </c>
      <c r="U9" s="15" t="n">
        <f aca="false">IF(S9=0,0,T9/S9)</f>
        <v>1</v>
      </c>
    </row>
    <row r="10" customFormat="false" ht="15" hidden="false" customHeight="false" outlineLevel="0" collapsed="false">
      <c r="A10" s="18" t="s">
        <v>237</v>
      </c>
      <c r="B10" s="18" t="s">
        <v>346</v>
      </c>
      <c r="C10" s="18" t="s">
        <v>330</v>
      </c>
      <c r="D10" s="18" t="s">
        <v>319</v>
      </c>
      <c r="E10" s="18" t="s">
        <v>336</v>
      </c>
      <c r="F10" s="18" t="s">
        <v>337</v>
      </c>
      <c r="G10" s="18" t="s">
        <v>322</v>
      </c>
      <c r="H10" s="28" t="n">
        <v>74.8</v>
      </c>
      <c r="I10" s="28" t="n">
        <v>150</v>
      </c>
      <c r="J10" s="22" t="n">
        <v>40</v>
      </c>
      <c r="K10" s="18" t="s">
        <v>201</v>
      </c>
      <c r="L10" s="21" t="str">
        <f aca="false">IFERROR(INDEX(Resources!$B$2:$B$500,MATCH(K10,Resources!$A$2:$A$500,0)),"")</f>
        <v>Aisha Tremblay</v>
      </c>
      <c r="M10" s="18" t="s">
        <v>345</v>
      </c>
      <c r="N10" s="19" t="n">
        <v>45038</v>
      </c>
      <c r="O10" s="15" t="n">
        <f aca="false">SUMIFS(Allocations!$J$2:$J$2000,Allocations!$D$2:$D$2000,A10,Allocations!$H$2:$H$2000,"&lt;="&amp;AsOfDate,Allocations!$I$2:$I$2000,"&gt;="&amp;AsOfDate)</f>
        <v>1</v>
      </c>
      <c r="P10" s="13" t="n">
        <f aca="false">COUNTIFS(Allocations!$D$2:$D$2000,A10,Allocations!$H$2:$H$2000,"&lt;="&amp;AsOfDate,Allocations!$I$2:$I$2000,"&gt;="&amp;AsOfDate)</f>
        <v>2</v>
      </c>
      <c r="Q10" s="16" t="n">
        <f aca="false">ROUND(J10*MAX(0,1-O10),1)</f>
        <v>0</v>
      </c>
      <c r="R10" s="12" t="str">
        <f aca="false">IF(J10=0,"Non-assignable",IF(O10&gt;OverallocationThreshold,"Overallocated",IF(O10&lt;UnderutilizationThreshold,"Under-utilized","Healthy")))</f>
        <v>Healthy</v>
      </c>
      <c r="S10" s="16" t="n">
        <f aca="false">SUMIFS(Actuals!$H$2:$H$6000,Actuals!$E$2:$E$6000,A10,Actuals!$B$2:$B$6000,"&gt;="&amp;DATE(YEAR(AsOfDate),1,1))</f>
        <v>1444.7</v>
      </c>
      <c r="T10" s="16" t="n">
        <f aca="false">SUMIFS(Actuals!$H$2:$H$6000,Actuals!$E$2:$E$6000,A10,Actuals!$B$2:$B$6000,"&gt;="&amp;DATE(YEAR(AsOfDate),1,1),Actuals!$I$2:$I$6000,"Yes")</f>
        <v>1444.7</v>
      </c>
      <c r="U10" s="15" t="n">
        <f aca="false">IF(S10=0,0,T10/S10)</f>
        <v>1</v>
      </c>
    </row>
    <row r="11" customFormat="false" ht="15" hidden="false" customHeight="false" outlineLevel="0" collapsed="false">
      <c r="A11" s="18" t="s">
        <v>247</v>
      </c>
      <c r="B11" s="18" t="s">
        <v>347</v>
      </c>
      <c r="C11" s="18" t="s">
        <v>330</v>
      </c>
      <c r="D11" s="18" t="s">
        <v>319</v>
      </c>
      <c r="E11" s="18" t="s">
        <v>339</v>
      </c>
      <c r="F11" s="18" t="s">
        <v>321</v>
      </c>
      <c r="G11" s="18" t="s">
        <v>322</v>
      </c>
      <c r="H11" s="28" t="n">
        <v>88</v>
      </c>
      <c r="I11" s="28" t="n">
        <v>175</v>
      </c>
      <c r="J11" s="22" t="n">
        <v>40</v>
      </c>
      <c r="K11" s="18" t="s">
        <v>201</v>
      </c>
      <c r="L11" s="21" t="str">
        <f aca="false">IFERROR(INDEX(Resources!$B$2:$B$500,MATCH(K11,Resources!$A$2:$A$500,0)),"")</f>
        <v>Aisha Tremblay</v>
      </c>
      <c r="M11" s="18" t="s">
        <v>345</v>
      </c>
      <c r="N11" s="19" t="n">
        <v>44887</v>
      </c>
      <c r="O11" s="15" t="n">
        <f aca="false">SUMIFS(Allocations!$J$2:$J$2000,Allocations!$D$2:$D$2000,A11,Allocations!$H$2:$H$2000,"&lt;="&amp;AsOfDate,Allocations!$I$2:$I$2000,"&gt;="&amp;AsOfDate)</f>
        <v>0.75</v>
      </c>
      <c r="P11" s="13" t="n">
        <f aca="false">COUNTIFS(Allocations!$D$2:$D$2000,A11,Allocations!$H$2:$H$2000,"&lt;="&amp;AsOfDate,Allocations!$I$2:$I$2000,"&gt;="&amp;AsOfDate)</f>
        <v>2</v>
      </c>
      <c r="Q11" s="16" t="n">
        <f aca="false">ROUND(J11*MAX(0,1-O11),1)</f>
        <v>10</v>
      </c>
      <c r="R11" s="12" t="str">
        <f aca="false">IF(J11=0,"Non-assignable",IF(O11&gt;OverallocationThreshold,"Overallocated",IF(O11&lt;UnderutilizationThreshold,"Under-utilized","Healthy")))</f>
        <v>Healthy</v>
      </c>
      <c r="S11" s="16" t="n">
        <f aca="false">SUMIFS(Actuals!$H$2:$H$6000,Actuals!$E$2:$E$6000,A11,Actuals!$B$2:$B$6000,"&gt;="&amp;DATE(YEAR(AsOfDate),1,1))</f>
        <v>1256.1</v>
      </c>
      <c r="T11" s="16" t="n">
        <f aca="false">SUMIFS(Actuals!$H$2:$H$6000,Actuals!$E$2:$E$6000,A11,Actuals!$B$2:$B$6000,"&gt;="&amp;DATE(YEAR(AsOfDate),1,1),Actuals!$I$2:$I$6000,"Yes")</f>
        <v>838.4</v>
      </c>
      <c r="U11" s="15" t="n">
        <f aca="false">IF(S11=0,0,T11/S11)</f>
        <v>0.667462781625667</v>
      </c>
    </row>
    <row r="12" customFormat="false" ht="15" hidden="false" customHeight="false" outlineLevel="0" collapsed="false">
      <c r="A12" s="18" t="s">
        <v>348</v>
      </c>
      <c r="B12" s="18" t="s">
        <v>349</v>
      </c>
      <c r="C12" s="18" t="s">
        <v>350</v>
      </c>
      <c r="D12" s="18" t="s">
        <v>351</v>
      </c>
      <c r="E12" s="18" t="s">
        <v>331</v>
      </c>
      <c r="F12" s="18" t="s">
        <v>352</v>
      </c>
      <c r="G12" s="18" t="s">
        <v>322</v>
      </c>
      <c r="H12" s="28" t="n">
        <v>129.92</v>
      </c>
      <c r="I12" s="28" t="n">
        <v>260</v>
      </c>
      <c r="J12" s="22" t="n">
        <v>40</v>
      </c>
      <c r="K12" s="18" t="s">
        <v>324</v>
      </c>
      <c r="L12" s="21" t="str">
        <f aca="false">IFERROR(INDEX(Resources!$B$2:$B$500,MATCH(K12,Resources!$A$2:$A$500,0)),"")</f>
        <v>Gordon Achebe</v>
      </c>
      <c r="M12" s="18" t="s">
        <v>353</v>
      </c>
      <c r="N12" s="19" t="n">
        <v>45635</v>
      </c>
      <c r="O12" s="15" t="n">
        <f aca="false">SUMIFS(Allocations!$J$2:$J$2000,Allocations!$D$2:$D$2000,A12,Allocations!$H$2:$H$2000,"&lt;="&amp;AsOfDate,Allocations!$I$2:$I$2000,"&gt;="&amp;AsOfDate)</f>
        <v>0.25</v>
      </c>
      <c r="P12" s="13" t="n">
        <f aca="false">COUNTIFS(Allocations!$D$2:$D$2000,A12,Allocations!$H$2:$H$2000,"&lt;="&amp;AsOfDate,Allocations!$I$2:$I$2000,"&gt;="&amp;AsOfDate)</f>
        <v>1</v>
      </c>
      <c r="Q12" s="16" t="n">
        <f aca="false">ROUND(J12*MAX(0,1-O12),1)</f>
        <v>30</v>
      </c>
      <c r="R12" s="12" t="str">
        <f aca="false">IF(J12=0,"Non-assignable",IF(O12&gt;OverallocationThreshold,"Overallocated",IF(O12&lt;UnderutilizationThreshold,"Under-utilized","Healthy")))</f>
        <v>Under-utilized</v>
      </c>
      <c r="S12" s="16" t="n">
        <f aca="false">SUMIFS(Actuals!$H$2:$H$6000,Actuals!$E$2:$E$6000,A12,Actuals!$B$2:$B$6000,"&gt;="&amp;DATE(YEAR(AsOfDate),1,1))</f>
        <v>583.6</v>
      </c>
      <c r="T12" s="16" t="n">
        <f aca="false">SUMIFS(Actuals!$H$2:$H$6000,Actuals!$E$2:$E$6000,A12,Actuals!$B$2:$B$6000,"&gt;="&amp;DATE(YEAR(AsOfDate),1,1),Actuals!$I$2:$I$6000,"Yes")</f>
        <v>583.6</v>
      </c>
      <c r="U12" s="15" t="n">
        <f aca="false">IF(S12=0,0,T12/S12)</f>
        <v>1</v>
      </c>
    </row>
    <row r="13" customFormat="false" ht="15" hidden="false" customHeight="false" outlineLevel="0" collapsed="false">
      <c r="A13" s="18" t="s">
        <v>354</v>
      </c>
      <c r="B13" s="18" t="s">
        <v>355</v>
      </c>
      <c r="C13" s="18" t="s">
        <v>350</v>
      </c>
      <c r="D13" s="18" t="s">
        <v>351</v>
      </c>
      <c r="E13" s="18" t="s">
        <v>331</v>
      </c>
      <c r="F13" s="18" t="s">
        <v>356</v>
      </c>
      <c r="G13" s="18" t="s">
        <v>322</v>
      </c>
      <c r="H13" s="28" t="n">
        <v>129.92</v>
      </c>
      <c r="I13" s="28" t="n">
        <v>260</v>
      </c>
      <c r="J13" s="22" t="n">
        <v>40</v>
      </c>
      <c r="K13" s="18" t="s">
        <v>348</v>
      </c>
      <c r="L13" s="21" t="str">
        <f aca="false">IFERROR(INDEX(Resources!$B$2:$B$500,MATCH(K13,Resources!$A$2:$A$500,0)),"")</f>
        <v>Chloe Reyes</v>
      </c>
      <c r="M13" s="18" t="s">
        <v>353</v>
      </c>
      <c r="N13" s="19" t="n">
        <v>45941</v>
      </c>
      <c r="O13" s="15" t="n">
        <f aca="false">SUMIFS(Allocations!$J$2:$J$2000,Allocations!$D$2:$D$2000,A13,Allocations!$H$2:$H$2000,"&lt;="&amp;AsOfDate,Allocations!$I$2:$I$2000,"&gt;="&amp;AsOfDate)</f>
        <v>0.25</v>
      </c>
      <c r="P13" s="13" t="n">
        <f aca="false">COUNTIFS(Allocations!$D$2:$D$2000,A13,Allocations!$H$2:$H$2000,"&lt;="&amp;AsOfDate,Allocations!$I$2:$I$2000,"&gt;="&amp;AsOfDate)</f>
        <v>1</v>
      </c>
      <c r="Q13" s="16" t="n">
        <f aca="false">ROUND(J13*MAX(0,1-O13),1)</f>
        <v>30</v>
      </c>
      <c r="R13" s="12" t="str">
        <f aca="false">IF(J13=0,"Non-assignable",IF(O13&gt;OverallocationThreshold,"Overallocated",IF(O13&lt;UnderutilizationThreshold,"Under-utilized","Healthy")))</f>
        <v>Under-utilized</v>
      </c>
      <c r="S13" s="16" t="n">
        <f aca="false">SUMIFS(Actuals!$H$2:$H$6000,Actuals!$E$2:$E$6000,A13,Actuals!$B$2:$B$6000,"&gt;="&amp;DATE(YEAR(AsOfDate),1,1))</f>
        <v>711</v>
      </c>
      <c r="T13" s="16" t="n">
        <f aca="false">SUMIFS(Actuals!$H$2:$H$6000,Actuals!$E$2:$E$6000,A13,Actuals!$B$2:$B$6000,"&gt;="&amp;DATE(YEAR(AsOfDate),1,1),Actuals!$I$2:$I$6000,"Yes")</f>
        <v>711</v>
      </c>
      <c r="U13" s="15" t="n">
        <f aca="false">IF(S13=0,0,T13/S13)</f>
        <v>1</v>
      </c>
    </row>
    <row r="14" customFormat="false" ht="15" hidden="false" customHeight="false" outlineLevel="0" collapsed="false">
      <c r="A14" s="18" t="s">
        <v>357</v>
      </c>
      <c r="B14" s="18" t="s">
        <v>358</v>
      </c>
      <c r="C14" s="18" t="s">
        <v>350</v>
      </c>
      <c r="D14" s="18" t="s">
        <v>351</v>
      </c>
      <c r="E14" s="18" t="s">
        <v>344</v>
      </c>
      <c r="F14" s="18" t="s">
        <v>352</v>
      </c>
      <c r="G14" s="18" t="s">
        <v>322</v>
      </c>
      <c r="H14" s="28" t="n">
        <v>120.96</v>
      </c>
      <c r="I14" s="28" t="n">
        <v>245</v>
      </c>
      <c r="J14" s="22" t="n">
        <v>40</v>
      </c>
      <c r="K14" s="18" t="s">
        <v>348</v>
      </c>
      <c r="L14" s="21" t="str">
        <f aca="false">IFERROR(INDEX(Resources!$B$2:$B$500,MATCH(K14,Resources!$A$2:$A$500,0)),"")</f>
        <v>Chloe Reyes</v>
      </c>
      <c r="M14" s="18" t="s">
        <v>359</v>
      </c>
      <c r="N14" s="19" t="n">
        <v>44238</v>
      </c>
      <c r="O14" s="15" t="n">
        <f aca="false">SUMIFS(Allocations!$J$2:$J$2000,Allocations!$D$2:$D$2000,A14,Allocations!$H$2:$H$2000,"&lt;="&amp;AsOfDate,Allocations!$I$2:$I$2000,"&gt;="&amp;AsOfDate)</f>
        <v>0.5</v>
      </c>
      <c r="P14" s="13" t="n">
        <f aca="false">COUNTIFS(Allocations!$D$2:$D$2000,A14,Allocations!$H$2:$H$2000,"&lt;="&amp;AsOfDate,Allocations!$I$2:$I$2000,"&gt;="&amp;AsOfDate)</f>
        <v>2</v>
      </c>
      <c r="Q14" s="16" t="n">
        <f aca="false">ROUND(J14*MAX(0,1-O14),1)</f>
        <v>20</v>
      </c>
      <c r="R14" s="12" t="str">
        <f aca="false">IF(J14=0,"Non-assignable",IF(O14&gt;OverallocationThreshold,"Overallocated",IF(O14&lt;UnderutilizationThreshold,"Under-utilized","Healthy")))</f>
        <v>Under-utilized</v>
      </c>
      <c r="S14" s="16" t="n">
        <f aca="false">SUMIFS(Actuals!$H$2:$H$6000,Actuals!$E$2:$E$6000,A14,Actuals!$B$2:$B$6000,"&gt;="&amp;DATE(YEAR(AsOfDate),1,1))</f>
        <v>790</v>
      </c>
      <c r="T14" s="16" t="n">
        <f aca="false">SUMIFS(Actuals!$H$2:$H$6000,Actuals!$E$2:$E$6000,A14,Actuals!$B$2:$B$6000,"&gt;="&amp;DATE(YEAR(AsOfDate),1,1),Actuals!$I$2:$I$6000,"Yes")</f>
        <v>790</v>
      </c>
      <c r="U14" s="15" t="n">
        <f aca="false">IF(S14=0,0,T14/S14)</f>
        <v>1</v>
      </c>
    </row>
    <row r="15" customFormat="false" ht="15" hidden="false" customHeight="false" outlineLevel="0" collapsed="false">
      <c r="A15" s="18" t="s">
        <v>360</v>
      </c>
      <c r="B15" s="18" t="s">
        <v>361</v>
      </c>
      <c r="C15" s="18" t="s">
        <v>350</v>
      </c>
      <c r="D15" s="18" t="s">
        <v>351</v>
      </c>
      <c r="E15" s="18" t="s">
        <v>362</v>
      </c>
      <c r="F15" s="18" t="s">
        <v>337</v>
      </c>
      <c r="G15" s="18" t="s">
        <v>322</v>
      </c>
      <c r="H15" s="28" t="n">
        <v>104.16</v>
      </c>
      <c r="I15" s="28" t="n">
        <v>210</v>
      </c>
      <c r="J15" s="22" t="n">
        <v>40</v>
      </c>
      <c r="K15" s="18" t="s">
        <v>348</v>
      </c>
      <c r="L15" s="21" t="str">
        <f aca="false">IFERROR(INDEX(Resources!$B$2:$B$500,MATCH(K15,Resources!$A$2:$A$500,0)),"")</f>
        <v>Chloe Reyes</v>
      </c>
      <c r="M15" s="18" t="s">
        <v>359</v>
      </c>
      <c r="N15" s="19" t="n">
        <v>44129</v>
      </c>
      <c r="O15" s="15" t="n">
        <f aca="false">SUMIFS(Allocations!$J$2:$J$2000,Allocations!$D$2:$D$2000,A15,Allocations!$H$2:$H$2000,"&lt;="&amp;AsOfDate,Allocations!$I$2:$I$2000,"&gt;="&amp;AsOfDate)</f>
        <v>0.5</v>
      </c>
      <c r="P15" s="13" t="n">
        <f aca="false">COUNTIFS(Allocations!$D$2:$D$2000,A15,Allocations!$H$2:$H$2000,"&lt;="&amp;AsOfDate,Allocations!$I$2:$I$2000,"&gt;="&amp;AsOfDate)</f>
        <v>1</v>
      </c>
      <c r="Q15" s="16" t="n">
        <f aca="false">ROUND(J15*MAX(0,1-O15),1)</f>
        <v>20</v>
      </c>
      <c r="R15" s="12" t="str">
        <f aca="false">IF(J15=0,"Non-assignable",IF(O15&gt;OverallocationThreshold,"Overallocated",IF(O15&lt;UnderutilizationThreshold,"Under-utilized","Healthy")))</f>
        <v>Under-utilized</v>
      </c>
      <c r="S15" s="16" t="n">
        <f aca="false">SUMIFS(Actuals!$H$2:$H$6000,Actuals!$E$2:$E$6000,A15,Actuals!$B$2:$B$6000,"&gt;="&amp;DATE(YEAR(AsOfDate),1,1))</f>
        <v>775.1</v>
      </c>
      <c r="T15" s="16" t="n">
        <f aca="false">SUMIFS(Actuals!$H$2:$H$6000,Actuals!$E$2:$E$6000,A15,Actuals!$B$2:$B$6000,"&gt;="&amp;DATE(YEAR(AsOfDate),1,1),Actuals!$I$2:$I$6000,"Yes")</f>
        <v>775.1</v>
      </c>
      <c r="U15" s="15" t="n">
        <f aca="false">IF(S15=0,0,T15/S15)</f>
        <v>1</v>
      </c>
    </row>
    <row r="16" customFormat="false" ht="15" hidden="false" customHeight="false" outlineLevel="0" collapsed="false">
      <c r="A16" s="18" t="s">
        <v>363</v>
      </c>
      <c r="B16" s="18" t="s">
        <v>364</v>
      </c>
      <c r="C16" s="18" t="s">
        <v>365</v>
      </c>
      <c r="D16" s="18" t="s">
        <v>366</v>
      </c>
      <c r="E16" s="18" t="s">
        <v>331</v>
      </c>
      <c r="F16" s="18" t="s">
        <v>321</v>
      </c>
      <c r="G16" s="18" t="s">
        <v>322</v>
      </c>
      <c r="H16" s="28" t="n">
        <v>78.88</v>
      </c>
      <c r="I16" s="28" t="n">
        <v>160</v>
      </c>
      <c r="J16" s="22" t="n">
        <v>40</v>
      </c>
      <c r="K16" s="18" t="s">
        <v>316</v>
      </c>
      <c r="L16" s="21" t="str">
        <f aca="false">IFERROR(INDEX(Resources!$B$2:$B$500,MATCH(K16,Resources!$A$2:$A$500,0)),"")</f>
        <v>Helena Marsh</v>
      </c>
      <c r="M16" s="18" t="s">
        <v>367</v>
      </c>
      <c r="N16" s="19" t="n">
        <v>45051</v>
      </c>
      <c r="O16" s="15" t="n">
        <f aca="false">SUMIFS(Allocations!$J$2:$J$2000,Allocations!$D$2:$D$2000,A16,Allocations!$H$2:$H$2000,"&lt;="&amp;AsOfDate,Allocations!$I$2:$I$2000,"&gt;="&amp;AsOfDate)</f>
        <v>0.5</v>
      </c>
      <c r="P16" s="13" t="n">
        <f aca="false">COUNTIFS(Allocations!$D$2:$D$2000,A16,Allocations!$H$2:$H$2000,"&lt;="&amp;AsOfDate,Allocations!$I$2:$I$2000,"&gt;="&amp;AsOfDate)</f>
        <v>1</v>
      </c>
      <c r="Q16" s="16" t="n">
        <f aca="false">ROUND(J16*MAX(0,1-O16),1)</f>
        <v>20</v>
      </c>
      <c r="R16" s="12" t="str">
        <f aca="false">IF(J16=0,"Non-assignable",IF(O16&gt;OverallocationThreshold,"Overallocated",IF(O16&lt;UnderutilizationThreshold,"Under-utilized","Healthy")))</f>
        <v>Under-utilized</v>
      </c>
      <c r="S16" s="16" t="n">
        <f aca="false">SUMIFS(Actuals!$H$2:$H$6000,Actuals!$E$2:$E$6000,A16,Actuals!$B$2:$B$6000,"&gt;="&amp;DATE(YEAR(AsOfDate),1,1))</f>
        <v>976.9</v>
      </c>
      <c r="T16" s="16" t="n">
        <f aca="false">SUMIFS(Actuals!$H$2:$H$6000,Actuals!$E$2:$E$6000,A16,Actuals!$B$2:$B$6000,"&gt;="&amp;DATE(YEAR(AsOfDate),1,1),Actuals!$I$2:$I$6000,"Yes")</f>
        <v>976.9</v>
      </c>
      <c r="U16" s="15" t="n">
        <f aca="false">IF(S16=0,0,T16/S16)</f>
        <v>1</v>
      </c>
    </row>
    <row r="17" customFormat="false" ht="15" hidden="false" customHeight="false" outlineLevel="0" collapsed="false">
      <c r="A17" s="18" t="s">
        <v>368</v>
      </c>
      <c r="B17" s="18" t="s">
        <v>369</v>
      </c>
      <c r="C17" s="18" t="s">
        <v>365</v>
      </c>
      <c r="D17" s="18" t="s">
        <v>366</v>
      </c>
      <c r="E17" s="18" t="s">
        <v>344</v>
      </c>
      <c r="F17" s="18" t="s">
        <v>352</v>
      </c>
      <c r="G17" s="18" t="s">
        <v>322</v>
      </c>
      <c r="H17" s="28" t="n">
        <v>73.44</v>
      </c>
      <c r="I17" s="28" t="n">
        <v>150</v>
      </c>
      <c r="J17" s="22" t="n">
        <v>40</v>
      </c>
      <c r="K17" s="18" t="s">
        <v>363</v>
      </c>
      <c r="L17" s="21" t="str">
        <f aca="false">IFERROR(INDEX(Resources!$B$2:$B$500,MATCH(K17,Resources!$A$2:$A$500,0)),"")</f>
        <v>Zara Vasquez</v>
      </c>
      <c r="M17" s="18" t="s">
        <v>370</v>
      </c>
      <c r="N17" s="19" t="n">
        <v>44943</v>
      </c>
      <c r="O17" s="15" t="n">
        <f aca="false">SUMIFS(Allocations!$J$2:$J$2000,Allocations!$D$2:$D$2000,A17,Allocations!$H$2:$H$2000,"&lt;="&amp;AsOfDate,Allocations!$I$2:$I$2000,"&gt;="&amp;AsOfDate)</f>
        <v>0.5</v>
      </c>
      <c r="P17" s="13" t="n">
        <f aca="false">COUNTIFS(Allocations!$D$2:$D$2000,A17,Allocations!$H$2:$H$2000,"&lt;="&amp;AsOfDate,Allocations!$I$2:$I$2000,"&gt;="&amp;AsOfDate)</f>
        <v>1</v>
      </c>
      <c r="Q17" s="16" t="n">
        <f aca="false">ROUND(J17*MAX(0,1-O17),1)</f>
        <v>20</v>
      </c>
      <c r="R17" s="12" t="str">
        <f aca="false">IF(J17=0,"Non-assignable",IF(O17&gt;OverallocationThreshold,"Overallocated",IF(O17&lt;UnderutilizationThreshold,"Under-utilized","Healthy")))</f>
        <v>Under-utilized</v>
      </c>
      <c r="S17" s="16" t="n">
        <f aca="false">SUMIFS(Actuals!$H$2:$H$6000,Actuals!$E$2:$E$6000,A17,Actuals!$B$2:$B$6000,"&gt;="&amp;DATE(YEAR(AsOfDate),1,1))</f>
        <v>1413</v>
      </c>
      <c r="T17" s="16" t="n">
        <f aca="false">SUMIFS(Actuals!$H$2:$H$6000,Actuals!$E$2:$E$6000,A17,Actuals!$B$2:$B$6000,"&gt;="&amp;DATE(YEAR(AsOfDate),1,1),Actuals!$I$2:$I$6000,"Yes")</f>
        <v>1413</v>
      </c>
      <c r="U17" s="15" t="n">
        <f aca="false">IF(S17=0,0,T17/S17)</f>
        <v>1</v>
      </c>
    </row>
    <row r="18" customFormat="false" ht="15" hidden="false" customHeight="false" outlineLevel="0" collapsed="false">
      <c r="A18" s="18" t="s">
        <v>371</v>
      </c>
      <c r="B18" s="18" t="s">
        <v>372</v>
      </c>
      <c r="C18" s="18" t="s">
        <v>365</v>
      </c>
      <c r="D18" s="18" t="s">
        <v>366</v>
      </c>
      <c r="E18" s="18" t="s">
        <v>362</v>
      </c>
      <c r="F18" s="18" t="s">
        <v>352</v>
      </c>
      <c r="G18" s="18" t="s">
        <v>322</v>
      </c>
      <c r="H18" s="28" t="n">
        <v>63.24</v>
      </c>
      <c r="I18" s="28" t="n">
        <v>130</v>
      </c>
      <c r="J18" s="22" t="n">
        <v>40</v>
      </c>
      <c r="K18" s="18" t="s">
        <v>363</v>
      </c>
      <c r="L18" s="21" t="str">
        <f aca="false">IFERROR(INDEX(Resources!$B$2:$B$500,MATCH(K18,Resources!$A$2:$A$500,0)),"")</f>
        <v>Zara Vasquez</v>
      </c>
      <c r="M18" s="18" t="s">
        <v>370</v>
      </c>
      <c r="N18" s="19" t="n">
        <v>43740</v>
      </c>
      <c r="O18" s="15" t="n">
        <f aca="false">SUMIFS(Allocations!$J$2:$J$2000,Allocations!$D$2:$D$2000,A18,Allocations!$H$2:$H$2000,"&lt;="&amp;AsOfDate,Allocations!$I$2:$I$2000,"&gt;="&amp;AsOfDate)</f>
        <v>0.5</v>
      </c>
      <c r="P18" s="13" t="n">
        <f aca="false">COUNTIFS(Allocations!$D$2:$D$2000,A18,Allocations!$H$2:$H$2000,"&lt;="&amp;AsOfDate,Allocations!$I$2:$I$2000,"&gt;="&amp;AsOfDate)</f>
        <v>1</v>
      </c>
      <c r="Q18" s="16" t="n">
        <f aca="false">ROUND(J18*MAX(0,1-O18),1)</f>
        <v>20</v>
      </c>
      <c r="R18" s="12" t="str">
        <f aca="false">IF(J18=0,"Non-assignable",IF(O18&gt;OverallocationThreshold,"Overallocated",IF(O18&lt;UnderutilizationThreshold,"Under-utilized","Healthy")))</f>
        <v>Under-utilized</v>
      </c>
      <c r="S18" s="16" t="n">
        <f aca="false">SUMIFS(Actuals!$H$2:$H$6000,Actuals!$E$2:$E$6000,A18,Actuals!$B$2:$B$6000,"&gt;="&amp;DATE(YEAR(AsOfDate),1,1))</f>
        <v>1462.2</v>
      </c>
      <c r="T18" s="16" t="n">
        <f aca="false">SUMIFS(Actuals!$H$2:$H$6000,Actuals!$E$2:$E$6000,A18,Actuals!$B$2:$B$6000,"&gt;="&amp;DATE(YEAR(AsOfDate),1,1),Actuals!$I$2:$I$6000,"Yes")</f>
        <v>1462.2</v>
      </c>
      <c r="U18" s="15" t="n">
        <f aca="false">IF(S18=0,0,T18/S18)</f>
        <v>1</v>
      </c>
    </row>
    <row r="19" customFormat="false" ht="15" hidden="false" customHeight="false" outlineLevel="0" collapsed="false">
      <c r="A19" s="18" t="s">
        <v>373</v>
      </c>
      <c r="B19" s="18" t="s">
        <v>374</v>
      </c>
      <c r="C19" s="18" t="s">
        <v>365</v>
      </c>
      <c r="D19" s="18" t="s">
        <v>366</v>
      </c>
      <c r="E19" s="18" t="s">
        <v>344</v>
      </c>
      <c r="F19" s="18" t="s">
        <v>321</v>
      </c>
      <c r="G19" s="18" t="s">
        <v>322</v>
      </c>
      <c r="H19" s="28" t="n">
        <v>73.44</v>
      </c>
      <c r="I19" s="28" t="n">
        <v>150</v>
      </c>
      <c r="J19" s="22" t="n">
        <v>40</v>
      </c>
      <c r="K19" s="18" t="s">
        <v>363</v>
      </c>
      <c r="L19" s="21" t="str">
        <f aca="false">IFERROR(INDEX(Resources!$B$2:$B$500,MATCH(K19,Resources!$A$2:$A$500,0)),"")</f>
        <v>Zara Vasquez</v>
      </c>
      <c r="M19" s="18" t="s">
        <v>370</v>
      </c>
      <c r="N19" s="19" t="n">
        <v>43514</v>
      </c>
      <c r="O19" s="15" t="n">
        <f aca="false">SUMIFS(Allocations!$J$2:$J$2000,Allocations!$D$2:$D$2000,A19,Allocations!$H$2:$H$2000,"&lt;="&amp;AsOfDate,Allocations!$I$2:$I$2000,"&gt;="&amp;AsOfDate)</f>
        <v>1</v>
      </c>
      <c r="P19" s="13" t="n">
        <f aca="false">COUNTIFS(Allocations!$D$2:$D$2000,A19,Allocations!$H$2:$H$2000,"&lt;="&amp;AsOfDate,Allocations!$I$2:$I$2000,"&gt;="&amp;AsOfDate)</f>
        <v>2</v>
      </c>
      <c r="Q19" s="16" t="n">
        <f aca="false">ROUND(J19*MAX(0,1-O19),1)</f>
        <v>0</v>
      </c>
      <c r="R19" s="12" t="str">
        <f aca="false">IF(J19=0,"Non-assignable",IF(O19&gt;OverallocationThreshold,"Overallocated",IF(O19&lt;UnderutilizationThreshold,"Under-utilized","Healthy")))</f>
        <v>Healthy</v>
      </c>
      <c r="S19" s="16" t="n">
        <f aca="false">SUMIFS(Actuals!$H$2:$H$6000,Actuals!$E$2:$E$6000,A19,Actuals!$B$2:$B$6000,"&gt;="&amp;DATE(YEAR(AsOfDate),1,1))</f>
        <v>1162.9</v>
      </c>
      <c r="T19" s="16" t="n">
        <f aca="false">SUMIFS(Actuals!$H$2:$H$6000,Actuals!$E$2:$E$6000,A19,Actuals!$B$2:$B$6000,"&gt;="&amp;DATE(YEAR(AsOfDate),1,1),Actuals!$I$2:$I$6000,"Yes")</f>
        <v>1162.9</v>
      </c>
      <c r="U19" s="15" t="n">
        <f aca="false">IF(S19=0,0,T19/S19)</f>
        <v>1</v>
      </c>
    </row>
    <row r="20" customFormat="false" ht="15" hidden="false" customHeight="false" outlineLevel="0" collapsed="false">
      <c r="A20" s="18" t="s">
        <v>375</v>
      </c>
      <c r="B20" s="18" t="s">
        <v>376</v>
      </c>
      <c r="C20" s="18" t="s">
        <v>365</v>
      </c>
      <c r="D20" s="18" t="s">
        <v>366</v>
      </c>
      <c r="E20" s="18" t="s">
        <v>336</v>
      </c>
      <c r="F20" s="18" t="s">
        <v>321</v>
      </c>
      <c r="G20" s="18" t="s">
        <v>377</v>
      </c>
      <c r="H20" s="28" t="n">
        <v>72.25</v>
      </c>
      <c r="I20" s="28" t="n">
        <v>120</v>
      </c>
      <c r="J20" s="22" t="n">
        <v>40</v>
      </c>
      <c r="K20" s="18" t="s">
        <v>363</v>
      </c>
      <c r="L20" s="21" t="str">
        <f aca="false">IFERROR(INDEX(Resources!$B$2:$B$500,MATCH(K20,Resources!$A$2:$A$500,0)),"")</f>
        <v>Zara Vasquez</v>
      </c>
      <c r="M20" s="18" t="s">
        <v>378</v>
      </c>
      <c r="N20" s="19" t="n">
        <v>46090</v>
      </c>
      <c r="O20" s="15" t="n">
        <f aca="false">SUMIFS(Allocations!$J$2:$J$2000,Allocations!$D$2:$D$2000,A20,Allocations!$H$2:$H$2000,"&lt;="&amp;AsOfDate,Allocations!$I$2:$I$2000,"&gt;="&amp;AsOfDate)</f>
        <v>0.75</v>
      </c>
      <c r="P20" s="13" t="n">
        <f aca="false">COUNTIFS(Allocations!$D$2:$D$2000,A20,Allocations!$H$2:$H$2000,"&lt;="&amp;AsOfDate,Allocations!$I$2:$I$2000,"&gt;="&amp;AsOfDate)</f>
        <v>1</v>
      </c>
      <c r="Q20" s="16" t="n">
        <f aca="false">ROUND(J20*MAX(0,1-O20),1)</f>
        <v>10</v>
      </c>
      <c r="R20" s="12" t="str">
        <f aca="false">IF(J20=0,"Non-assignable",IF(O20&gt;OverallocationThreshold,"Overallocated",IF(O20&lt;UnderutilizationThreshold,"Under-utilized","Healthy")))</f>
        <v>Healthy</v>
      </c>
      <c r="S20" s="16" t="n">
        <f aca="false">SUMIFS(Actuals!$H$2:$H$6000,Actuals!$E$2:$E$6000,A20,Actuals!$B$2:$B$6000,"&gt;="&amp;DATE(YEAR(AsOfDate),1,1))</f>
        <v>1692.4</v>
      </c>
      <c r="T20" s="16" t="n">
        <f aca="false">SUMIFS(Actuals!$H$2:$H$6000,Actuals!$E$2:$E$6000,A20,Actuals!$B$2:$B$6000,"&gt;="&amp;DATE(YEAR(AsOfDate),1,1),Actuals!$I$2:$I$6000,"Yes")</f>
        <v>1692.4</v>
      </c>
      <c r="U20" s="15" t="n">
        <f aca="false">IF(S20=0,0,T20/S20)</f>
        <v>1</v>
      </c>
    </row>
    <row r="21" customFormat="false" ht="15" hidden="false" customHeight="false" outlineLevel="0" collapsed="false">
      <c r="A21" s="18" t="s">
        <v>379</v>
      </c>
      <c r="B21" s="18" t="s">
        <v>380</v>
      </c>
      <c r="C21" s="18" t="s">
        <v>381</v>
      </c>
      <c r="D21" s="18" t="s">
        <v>382</v>
      </c>
      <c r="E21" s="18" t="s">
        <v>331</v>
      </c>
      <c r="F21" s="18" t="s">
        <v>337</v>
      </c>
      <c r="G21" s="18" t="s">
        <v>322</v>
      </c>
      <c r="H21" s="28" t="n">
        <v>85.84</v>
      </c>
      <c r="I21" s="28" t="n">
        <v>175</v>
      </c>
      <c r="J21" s="22" t="n">
        <v>40</v>
      </c>
      <c r="K21" s="18" t="s">
        <v>316</v>
      </c>
      <c r="L21" s="21" t="str">
        <f aca="false">IFERROR(INDEX(Resources!$B$2:$B$500,MATCH(K21,Resources!$A$2:$A$500,0)),"")</f>
        <v>Helena Marsh</v>
      </c>
      <c r="M21" s="18" t="s">
        <v>383</v>
      </c>
      <c r="N21" s="19" t="n">
        <v>42415</v>
      </c>
      <c r="O21" s="15" t="n">
        <f aca="false">SUMIFS(Allocations!$J$2:$J$2000,Allocations!$D$2:$D$2000,A21,Allocations!$H$2:$H$2000,"&lt;="&amp;AsOfDate,Allocations!$I$2:$I$2000,"&gt;="&amp;AsOfDate)</f>
        <v>0</v>
      </c>
      <c r="P21" s="13" t="n">
        <f aca="false">COUNTIFS(Allocations!$D$2:$D$2000,A21,Allocations!$H$2:$H$2000,"&lt;="&amp;AsOfDate,Allocations!$I$2:$I$2000,"&gt;="&amp;AsOfDate)</f>
        <v>0</v>
      </c>
      <c r="Q21" s="16" t="n">
        <f aca="false">ROUND(J21*MAX(0,1-O21),1)</f>
        <v>40</v>
      </c>
      <c r="R21" s="12" t="str">
        <f aca="false">IF(J21=0,"Non-assignable",IF(O21&gt;OverallocationThreshold,"Overallocated",IF(O21&lt;UnderutilizationThreshold,"Under-utilized","Healthy")))</f>
        <v>Under-utilized</v>
      </c>
      <c r="S21" s="16" t="n">
        <f aca="false">SUMIFS(Actuals!$H$2:$H$6000,Actuals!$E$2:$E$6000,A21,Actuals!$B$2:$B$6000,"&gt;="&amp;DATE(YEAR(AsOfDate),1,1))</f>
        <v>605.9</v>
      </c>
      <c r="T21" s="16" t="n">
        <f aca="false">SUMIFS(Actuals!$H$2:$H$6000,Actuals!$E$2:$E$6000,A21,Actuals!$B$2:$B$6000,"&gt;="&amp;DATE(YEAR(AsOfDate),1,1),Actuals!$I$2:$I$6000,"Yes")</f>
        <v>605.9</v>
      </c>
      <c r="U21" s="15" t="n">
        <f aca="false">IF(S21=0,0,T21/S21)</f>
        <v>1</v>
      </c>
    </row>
    <row r="22" customFormat="false" ht="15" hidden="false" customHeight="false" outlineLevel="0" collapsed="false">
      <c r="A22" s="18" t="s">
        <v>384</v>
      </c>
      <c r="B22" s="18" t="s">
        <v>385</v>
      </c>
      <c r="C22" s="18" t="s">
        <v>381</v>
      </c>
      <c r="D22" s="18" t="s">
        <v>382</v>
      </c>
      <c r="E22" s="18" t="s">
        <v>362</v>
      </c>
      <c r="F22" s="18" t="s">
        <v>321</v>
      </c>
      <c r="G22" s="18" t="s">
        <v>322</v>
      </c>
      <c r="H22" s="28" t="n">
        <v>68.82</v>
      </c>
      <c r="I22" s="28" t="n">
        <v>140</v>
      </c>
      <c r="J22" s="22" t="n">
        <v>40</v>
      </c>
      <c r="K22" s="18" t="s">
        <v>379</v>
      </c>
      <c r="L22" s="21" t="str">
        <f aca="false">IFERROR(INDEX(Resources!$B$2:$B$500,MATCH(K22,Resources!$A$2:$A$500,0)),"")</f>
        <v>Diego Costa</v>
      </c>
      <c r="M22" s="18" t="s">
        <v>386</v>
      </c>
      <c r="N22" s="19" t="n">
        <v>43544</v>
      </c>
      <c r="O22" s="15" t="n">
        <f aca="false">SUMIFS(Allocations!$J$2:$J$2000,Allocations!$D$2:$D$2000,A22,Allocations!$H$2:$H$2000,"&lt;="&amp;AsOfDate,Allocations!$I$2:$I$2000,"&gt;="&amp;AsOfDate)</f>
        <v>0</v>
      </c>
      <c r="P22" s="13" t="n">
        <f aca="false">COUNTIFS(Allocations!$D$2:$D$2000,A22,Allocations!$H$2:$H$2000,"&lt;="&amp;AsOfDate,Allocations!$I$2:$I$2000,"&gt;="&amp;AsOfDate)</f>
        <v>0</v>
      </c>
      <c r="Q22" s="16" t="n">
        <f aca="false">ROUND(J22*MAX(0,1-O22),1)</f>
        <v>40</v>
      </c>
      <c r="R22" s="12" t="str">
        <f aca="false">IF(J22=0,"Non-assignable",IF(O22&gt;OverallocationThreshold,"Overallocated",IF(O22&lt;UnderutilizationThreshold,"Under-utilized","Healthy")))</f>
        <v>Under-utilized</v>
      </c>
      <c r="S22" s="16" t="n">
        <f aca="false">SUMIFS(Actuals!$H$2:$H$6000,Actuals!$E$2:$E$6000,A22,Actuals!$B$2:$B$6000,"&gt;="&amp;DATE(YEAR(AsOfDate),1,1))</f>
        <v>613.3</v>
      </c>
      <c r="T22" s="16" t="n">
        <f aca="false">SUMIFS(Actuals!$H$2:$H$6000,Actuals!$E$2:$E$6000,A22,Actuals!$B$2:$B$6000,"&gt;="&amp;DATE(YEAR(AsOfDate),1,1),Actuals!$I$2:$I$6000,"Yes")</f>
        <v>613.3</v>
      </c>
      <c r="U22" s="15" t="n">
        <f aca="false">IF(S22=0,0,T22/S22)</f>
        <v>1</v>
      </c>
    </row>
    <row r="23" customFormat="false" ht="15" hidden="false" customHeight="false" outlineLevel="0" collapsed="false">
      <c r="A23" s="18" t="s">
        <v>387</v>
      </c>
      <c r="B23" s="18" t="s">
        <v>388</v>
      </c>
      <c r="C23" s="18" t="s">
        <v>381</v>
      </c>
      <c r="D23" s="18" t="s">
        <v>382</v>
      </c>
      <c r="E23" s="18" t="s">
        <v>336</v>
      </c>
      <c r="F23" s="18" t="s">
        <v>321</v>
      </c>
      <c r="G23" s="18" t="s">
        <v>322</v>
      </c>
      <c r="H23" s="28" t="n">
        <v>62.9</v>
      </c>
      <c r="I23" s="28" t="n">
        <v>130</v>
      </c>
      <c r="J23" s="22" t="n">
        <v>40</v>
      </c>
      <c r="K23" s="18" t="s">
        <v>379</v>
      </c>
      <c r="L23" s="21" t="str">
        <f aca="false">IFERROR(INDEX(Resources!$B$2:$B$500,MATCH(K23,Resources!$A$2:$A$500,0)),"")</f>
        <v>Diego Costa</v>
      </c>
      <c r="M23" s="18" t="s">
        <v>386</v>
      </c>
      <c r="N23" s="19" t="n">
        <v>44071</v>
      </c>
      <c r="O23" s="15" t="n">
        <f aca="false">SUMIFS(Allocations!$J$2:$J$2000,Allocations!$D$2:$D$2000,A23,Allocations!$H$2:$H$2000,"&lt;="&amp;AsOfDate,Allocations!$I$2:$I$2000,"&gt;="&amp;AsOfDate)</f>
        <v>0</v>
      </c>
      <c r="P23" s="13" t="n">
        <f aca="false">COUNTIFS(Allocations!$D$2:$D$2000,A23,Allocations!$H$2:$H$2000,"&lt;="&amp;AsOfDate,Allocations!$I$2:$I$2000,"&gt;="&amp;AsOfDate)</f>
        <v>0</v>
      </c>
      <c r="Q23" s="16" t="n">
        <f aca="false">ROUND(J23*MAX(0,1-O23),1)</f>
        <v>40</v>
      </c>
      <c r="R23" s="12" t="str">
        <f aca="false">IF(J23=0,"Non-assignable",IF(O23&gt;OverallocationThreshold,"Overallocated",IF(O23&lt;UnderutilizationThreshold,"Under-utilized","Healthy")))</f>
        <v>Under-utilized</v>
      </c>
      <c r="S23" s="16" t="n">
        <f aca="false">SUMIFS(Actuals!$H$2:$H$6000,Actuals!$E$2:$E$6000,A23,Actuals!$B$2:$B$6000,"&gt;="&amp;DATE(YEAR(AsOfDate),1,1))</f>
        <v>1001.2</v>
      </c>
      <c r="T23" s="16" t="n">
        <f aca="false">SUMIFS(Actuals!$H$2:$H$6000,Actuals!$E$2:$E$6000,A23,Actuals!$B$2:$B$6000,"&gt;="&amp;DATE(YEAR(AsOfDate),1,1),Actuals!$I$2:$I$6000,"Yes")</f>
        <v>1001.2</v>
      </c>
      <c r="U23" s="15" t="n">
        <f aca="false">IF(S23=0,0,T23/S23)</f>
        <v>1</v>
      </c>
    </row>
    <row r="24" customFormat="false" ht="15" hidden="false" customHeight="false" outlineLevel="0" collapsed="false">
      <c r="A24" s="18" t="s">
        <v>389</v>
      </c>
      <c r="B24" s="18" t="s">
        <v>390</v>
      </c>
      <c r="C24" s="18" t="s">
        <v>391</v>
      </c>
      <c r="D24" s="18" t="s">
        <v>327</v>
      </c>
      <c r="E24" s="18" t="s">
        <v>331</v>
      </c>
      <c r="F24" s="18" t="s">
        <v>337</v>
      </c>
      <c r="G24" s="18" t="s">
        <v>322</v>
      </c>
      <c r="H24" s="28" t="n">
        <v>106.72</v>
      </c>
      <c r="I24" s="28" t="n">
        <v>215</v>
      </c>
      <c r="J24" s="22" t="n">
        <v>40</v>
      </c>
      <c r="K24" s="18" t="s">
        <v>324</v>
      </c>
      <c r="L24" s="21" t="str">
        <f aca="false">IFERROR(INDEX(Resources!$B$2:$B$500,MATCH(K24,Resources!$A$2:$A$500,0)),"")</f>
        <v>Gordon Achebe</v>
      </c>
      <c r="M24" s="18" t="s">
        <v>392</v>
      </c>
      <c r="N24" s="19" t="n">
        <v>44076</v>
      </c>
      <c r="O24" s="15" t="n">
        <f aca="false">SUMIFS(Allocations!$J$2:$J$2000,Allocations!$D$2:$D$2000,A24,Allocations!$H$2:$H$2000,"&lt;="&amp;AsOfDate,Allocations!$I$2:$I$2000,"&gt;="&amp;AsOfDate)</f>
        <v>0.75</v>
      </c>
      <c r="P24" s="13" t="n">
        <f aca="false">COUNTIFS(Allocations!$D$2:$D$2000,A24,Allocations!$H$2:$H$2000,"&lt;="&amp;AsOfDate,Allocations!$I$2:$I$2000,"&gt;="&amp;AsOfDate)</f>
        <v>1</v>
      </c>
      <c r="Q24" s="16" t="n">
        <f aca="false">ROUND(J24*MAX(0,1-O24),1)</f>
        <v>10</v>
      </c>
      <c r="R24" s="12" t="str">
        <f aca="false">IF(J24=0,"Non-assignable",IF(O24&gt;OverallocationThreshold,"Overallocated",IF(O24&lt;UnderutilizationThreshold,"Under-utilized","Healthy")))</f>
        <v>Healthy</v>
      </c>
      <c r="S24" s="16" t="n">
        <f aca="false">SUMIFS(Actuals!$H$2:$H$6000,Actuals!$E$2:$E$6000,A24,Actuals!$B$2:$B$6000,"&gt;="&amp;DATE(YEAR(AsOfDate),1,1))</f>
        <v>994</v>
      </c>
      <c r="T24" s="16" t="n">
        <f aca="false">SUMIFS(Actuals!$H$2:$H$6000,Actuals!$E$2:$E$6000,A24,Actuals!$B$2:$B$6000,"&gt;="&amp;DATE(YEAR(AsOfDate),1,1),Actuals!$I$2:$I$6000,"Yes")</f>
        <v>994</v>
      </c>
      <c r="U24" s="15" t="n">
        <f aca="false">IF(S24=0,0,T24/S24)</f>
        <v>1</v>
      </c>
    </row>
    <row r="25" customFormat="false" ht="15" hidden="false" customHeight="false" outlineLevel="0" collapsed="false">
      <c r="A25" s="18" t="s">
        <v>393</v>
      </c>
      <c r="B25" s="18" t="s">
        <v>394</v>
      </c>
      <c r="C25" s="18" t="s">
        <v>391</v>
      </c>
      <c r="D25" s="18" t="s">
        <v>327</v>
      </c>
      <c r="E25" s="18" t="s">
        <v>344</v>
      </c>
      <c r="F25" s="18" t="s">
        <v>321</v>
      </c>
      <c r="G25" s="18" t="s">
        <v>322</v>
      </c>
      <c r="H25" s="28" t="n">
        <v>99.36</v>
      </c>
      <c r="I25" s="28" t="n">
        <v>200</v>
      </c>
      <c r="J25" s="22" t="n">
        <v>40</v>
      </c>
      <c r="K25" s="18" t="s">
        <v>389</v>
      </c>
      <c r="L25" s="21" t="str">
        <f aca="false">IFERROR(INDEX(Resources!$B$2:$B$500,MATCH(K25,Resources!$A$2:$A$500,0)),"")</f>
        <v>Yuki Wright</v>
      </c>
      <c r="M25" s="18" t="s">
        <v>392</v>
      </c>
      <c r="N25" s="19" t="n">
        <v>44076</v>
      </c>
      <c r="O25" s="15" t="n">
        <f aca="false">SUMIFS(Allocations!$J$2:$J$2000,Allocations!$D$2:$D$2000,A25,Allocations!$H$2:$H$2000,"&lt;="&amp;AsOfDate,Allocations!$I$2:$I$2000,"&gt;="&amp;AsOfDate)</f>
        <v>1.25</v>
      </c>
      <c r="P25" s="13" t="n">
        <f aca="false">COUNTIFS(Allocations!$D$2:$D$2000,A25,Allocations!$H$2:$H$2000,"&lt;="&amp;AsOfDate,Allocations!$I$2:$I$2000,"&gt;="&amp;AsOfDate)</f>
        <v>2</v>
      </c>
      <c r="Q25" s="16" t="n">
        <f aca="false">ROUND(J25*MAX(0,1-O25),1)</f>
        <v>0</v>
      </c>
      <c r="R25" s="12" t="str">
        <f aca="false">IF(J25=0,"Non-assignable",IF(O25&gt;OverallocationThreshold,"Overallocated",IF(O25&lt;UnderutilizationThreshold,"Under-utilized","Healthy")))</f>
        <v>Overallocated</v>
      </c>
      <c r="S25" s="16" t="n">
        <f aca="false">SUMIFS(Actuals!$H$2:$H$6000,Actuals!$E$2:$E$6000,A25,Actuals!$B$2:$B$6000,"&gt;="&amp;DATE(YEAR(AsOfDate),1,1))</f>
        <v>1858.1</v>
      </c>
      <c r="T25" s="16" t="n">
        <f aca="false">SUMIFS(Actuals!$H$2:$H$6000,Actuals!$E$2:$E$6000,A25,Actuals!$B$2:$B$6000,"&gt;="&amp;DATE(YEAR(AsOfDate),1,1),Actuals!$I$2:$I$6000,"Yes")</f>
        <v>1858.1</v>
      </c>
      <c r="U25" s="15" t="n">
        <f aca="false">IF(S25=0,0,T25/S25)</f>
        <v>1</v>
      </c>
    </row>
    <row r="26" customFormat="false" ht="15" hidden="false" customHeight="false" outlineLevel="0" collapsed="false">
      <c r="A26" s="18" t="s">
        <v>395</v>
      </c>
      <c r="B26" s="18" t="s">
        <v>396</v>
      </c>
      <c r="C26" s="18" t="s">
        <v>391</v>
      </c>
      <c r="D26" s="18" t="s">
        <v>327</v>
      </c>
      <c r="E26" s="18" t="s">
        <v>362</v>
      </c>
      <c r="F26" s="18" t="s">
        <v>356</v>
      </c>
      <c r="G26" s="18" t="s">
        <v>377</v>
      </c>
      <c r="H26" s="28" t="n">
        <v>106.95</v>
      </c>
      <c r="I26" s="28" t="n">
        <v>170</v>
      </c>
      <c r="J26" s="22" t="n">
        <v>40</v>
      </c>
      <c r="K26" s="18" t="s">
        <v>389</v>
      </c>
      <c r="L26" s="21" t="str">
        <f aca="false">IFERROR(INDEX(Resources!$B$2:$B$500,MATCH(K26,Resources!$A$2:$A$500,0)),"")</f>
        <v>Yuki Wright</v>
      </c>
      <c r="M26" s="18" t="s">
        <v>397</v>
      </c>
      <c r="N26" s="19" t="n">
        <v>46025</v>
      </c>
      <c r="O26" s="15" t="n">
        <f aca="false">SUMIFS(Allocations!$J$2:$J$2000,Allocations!$D$2:$D$2000,A26,Allocations!$H$2:$H$2000,"&lt;="&amp;AsOfDate,Allocations!$I$2:$I$2000,"&gt;="&amp;AsOfDate)</f>
        <v>1</v>
      </c>
      <c r="P26" s="13" t="n">
        <f aca="false">COUNTIFS(Allocations!$D$2:$D$2000,A26,Allocations!$H$2:$H$2000,"&lt;="&amp;AsOfDate,Allocations!$I$2:$I$2000,"&gt;="&amp;AsOfDate)</f>
        <v>2</v>
      </c>
      <c r="Q26" s="16" t="n">
        <f aca="false">ROUND(J26*MAX(0,1-O26),1)</f>
        <v>0</v>
      </c>
      <c r="R26" s="12" t="str">
        <f aca="false">IF(J26=0,"Non-assignable",IF(O26&gt;OverallocationThreshold,"Overallocated",IF(O26&lt;UnderutilizationThreshold,"Under-utilized","Healthy")))</f>
        <v>Healthy</v>
      </c>
      <c r="S26" s="16" t="n">
        <f aca="false">SUMIFS(Actuals!$H$2:$H$6000,Actuals!$E$2:$E$6000,A26,Actuals!$B$2:$B$6000,"&gt;="&amp;DATE(YEAR(AsOfDate),1,1))</f>
        <v>1463.8</v>
      </c>
      <c r="T26" s="16" t="n">
        <f aca="false">SUMIFS(Actuals!$H$2:$H$6000,Actuals!$E$2:$E$6000,A26,Actuals!$B$2:$B$6000,"&gt;="&amp;DATE(YEAR(AsOfDate),1,1),Actuals!$I$2:$I$6000,"Yes")</f>
        <v>1463.8</v>
      </c>
      <c r="U26" s="15" t="n">
        <f aca="false">IF(S26=0,0,T26/S26)</f>
        <v>1</v>
      </c>
    </row>
    <row r="27" customFormat="false" ht="15" hidden="false" customHeight="false" outlineLevel="0" collapsed="false">
      <c r="A27" s="18" t="s">
        <v>398</v>
      </c>
      <c r="B27" s="18" t="s">
        <v>399</v>
      </c>
      <c r="C27" s="18" t="s">
        <v>391</v>
      </c>
      <c r="D27" s="18" t="s">
        <v>327</v>
      </c>
      <c r="E27" s="18" t="s">
        <v>362</v>
      </c>
      <c r="F27" s="18" t="s">
        <v>321</v>
      </c>
      <c r="G27" s="18" t="s">
        <v>322</v>
      </c>
      <c r="H27" s="28" t="n">
        <v>85.56</v>
      </c>
      <c r="I27" s="28" t="n">
        <v>170</v>
      </c>
      <c r="J27" s="22" t="n">
        <v>40</v>
      </c>
      <c r="K27" s="18" t="s">
        <v>389</v>
      </c>
      <c r="L27" s="21" t="str">
        <f aca="false">IFERROR(INDEX(Resources!$B$2:$B$500,MATCH(K27,Resources!$A$2:$A$500,0)),"")</f>
        <v>Yuki Wright</v>
      </c>
      <c r="M27" s="18" t="s">
        <v>397</v>
      </c>
      <c r="N27" s="19" t="n">
        <v>42514</v>
      </c>
      <c r="O27" s="15" t="n">
        <f aca="false">SUMIFS(Allocations!$J$2:$J$2000,Allocations!$D$2:$D$2000,A27,Allocations!$H$2:$H$2000,"&lt;="&amp;AsOfDate,Allocations!$I$2:$I$2000,"&gt;="&amp;AsOfDate)</f>
        <v>0.75</v>
      </c>
      <c r="P27" s="13" t="n">
        <f aca="false">COUNTIFS(Allocations!$D$2:$D$2000,A27,Allocations!$H$2:$H$2000,"&lt;="&amp;AsOfDate,Allocations!$I$2:$I$2000,"&gt;="&amp;AsOfDate)</f>
        <v>1</v>
      </c>
      <c r="Q27" s="16" t="n">
        <f aca="false">ROUND(J27*MAX(0,1-O27),1)</f>
        <v>10</v>
      </c>
      <c r="R27" s="12" t="str">
        <f aca="false">IF(J27=0,"Non-assignable",IF(O27&gt;OverallocationThreshold,"Overallocated",IF(O27&lt;UnderutilizationThreshold,"Under-utilized","Healthy")))</f>
        <v>Healthy</v>
      </c>
      <c r="S27" s="16" t="n">
        <f aca="false">SUMIFS(Actuals!$H$2:$H$6000,Actuals!$E$2:$E$6000,A27,Actuals!$B$2:$B$6000,"&gt;="&amp;DATE(YEAR(AsOfDate),1,1))</f>
        <v>2032</v>
      </c>
      <c r="T27" s="16" t="n">
        <f aca="false">SUMIFS(Actuals!$H$2:$H$6000,Actuals!$E$2:$E$6000,A27,Actuals!$B$2:$B$6000,"&gt;="&amp;DATE(YEAR(AsOfDate),1,1),Actuals!$I$2:$I$6000,"Yes")</f>
        <v>2032</v>
      </c>
      <c r="U27" s="15" t="n">
        <f aca="false">IF(S27=0,0,T27/S27)</f>
        <v>1</v>
      </c>
    </row>
    <row r="28" customFormat="false" ht="15" hidden="false" customHeight="false" outlineLevel="0" collapsed="false">
      <c r="A28" s="18" t="s">
        <v>400</v>
      </c>
      <c r="B28" s="18" t="s">
        <v>401</v>
      </c>
      <c r="C28" s="18" t="s">
        <v>391</v>
      </c>
      <c r="D28" s="18" t="s">
        <v>327</v>
      </c>
      <c r="E28" s="18" t="s">
        <v>344</v>
      </c>
      <c r="F28" s="18" t="s">
        <v>340</v>
      </c>
      <c r="G28" s="18" t="s">
        <v>322</v>
      </c>
      <c r="H28" s="28" t="n">
        <v>99.36</v>
      </c>
      <c r="I28" s="28" t="n">
        <v>200</v>
      </c>
      <c r="J28" s="22" t="n">
        <v>40</v>
      </c>
      <c r="K28" s="18" t="s">
        <v>389</v>
      </c>
      <c r="L28" s="21" t="str">
        <f aca="false">IFERROR(INDEX(Resources!$B$2:$B$500,MATCH(K28,Resources!$A$2:$A$500,0)),"")</f>
        <v>Yuki Wright</v>
      </c>
      <c r="M28" s="18" t="s">
        <v>402</v>
      </c>
      <c r="N28" s="19" t="n">
        <v>44390</v>
      </c>
      <c r="O28" s="15" t="n">
        <f aca="false">SUMIFS(Allocations!$J$2:$J$2000,Allocations!$D$2:$D$2000,A28,Allocations!$H$2:$H$2000,"&lt;="&amp;AsOfDate,Allocations!$I$2:$I$2000,"&gt;="&amp;AsOfDate)</f>
        <v>1.25</v>
      </c>
      <c r="P28" s="13" t="n">
        <f aca="false">COUNTIFS(Allocations!$D$2:$D$2000,A28,Allocations!$H$2:$H$2000,"&lt;="&amp;AsOfDate,Allocations!$I$2:$I$2000,"&gt;="&amp;AsOfDate)</f>
        <v>2</v>
      </c>
      <c r="Q28" s="16" t="n">
        <f aca="false">ROUND(J28*MAX(0,1-O28),1)</f>
        <v>0</v>
      </c>
      <c r="R28" s="12" t="str">
        <f aca="false">IF(J28=0,"Non-assignable",IF(O28&gt;OverallocationThreshold,"Overallocated",IF(O28&lt;UnderutilizationThreshold,"Under-utilized","Healthy")))</f>
        <v>Overallocated</v>
      </c>
      <c r="S28" s="16" t="n">
        <f aca="false">SUMIFS(Actuals!$H$2:$H$6000,Actuals!$E$2:$E$6000,A28,Actuals!$B$2:$B$6000,"&gt;="&amp;DATE(YEAR(AsOfDate),1,1))</f>
        <v>1540.2</v>
      </c>
      <c r="T28" s="16" t="n">
        <f aca="false">SUMIFS(Actuals!$H$2:$H$6000,Actuals!$E$2:$E$6000,A28,Actuals!$B$2:$B$6000,"&gt;="&amp;DATE(YEAR(AsOfDate),1,1),Actuals!$I$2:$I$6000,"Yes")</f>
        <v>1540.2</v>
      </c>
      <c r="U28" s="15" t="n">
        <f aca="false">IF(S28=0,0,T28/S28)</f>
        <v>1</v>
      </c>
    </row>
    <row r="29" customFormat="false" ht="15" hidden="false" customHeight="false" outlineLevel="0" collapsed="false">
      <c r="A29" s="18" t="s">
        <v>403</v>
      </c>
      <c r="B29" s="18" t="s">
        <v>404</v>
      </c>
      <c r="C29" s="18" t="s">
        <v>391</v>
      </c>
      <c r="D29" s="18" t="s">
        <v>327</v>
      </c>
      <c r="E29" s="18" t="s">
        <v>362</v>
      </c>
      <c r="F29" s="18" t="s">
        <v>352</v>
      </c>
      <c r="G29" s="18" t="s">
        <v>322</v>
      </c>
      <c r="H29" s="28" t="n">
        <v>85.56</v>
      </c>
      <c r="I29" s="28" t="n">
        <v>170</v>
      </c>
      <c r="J29" s="22" t="n">
        <v>40</v>
      </c>
      <c r="K29" s="18" t="s">
        <v>389</v>
      </c>
      <c r="L29" s="21" t="str">
        <f aca="false">IFERROR(INDEX(Resources!$B$2:$B$500,MATCH(K29,Resources!$A$2:$A$500,0)),"")</f>
        <v>Yuki Wright</v>
      </c>
      <c r="M29" s="18" t="s">
        <v>397</v>
      </c>
      <c r="N29" s="19" t="n">
        <v>43367</v>
      </c>
      <c r="O29" s="15" t="n">
        <f aca="false">SUMIFS(Allocations!$J$2:$J$2000,Allocations!$D$2:$D$2000,A29,Allocations!$H$2:$H$2000,"&lt;="&amp;AsOfDate,Allocations!$I$2:$I$2000,"&gt;="&amp;AsOfDate)</f>
        <v>1.5</v>
      </c>
      <c r="P29" s="13" t="n">
        <f aca="false">COUNTIFS(Allocations!$D$2:$D$2000,A29,Allocations!$H$2:$H$2000,"&lt;="&amp;AsOfDate,Allocations!$I$2:$I$2000,"&gt;="&amp;AsOfDate)</f>
        <v>2</v>
      </c>
      <c r="Q29" s="16" t="n">
        <f aca="false">ROUND(J29*MAX(0,1-O29),1)</f>
        <v>0</v>
      </c>
      <c r="R29" s="12" t="str">
        <f aca="false">IF(J29=0,"Non-assignable",IF(O29&gt;OverallocationThreshold,"Overallocated",IF(O29&lt;UnderutilizationThreshold,"Under-utilized","Healthy")))</f>
        <v>Overallocated</v>
      </c>
      <c r="S29" s="16" t="n">
        <f aca="false">SUMIFS(Actuals!$H$2:$H$6000,Actuals!$E$2:$E$6000,A29,Actuals!$B$2:$B$6000,"&gt;="&amp;DATE(YEAR(AsOfDate),1,1))</f>
        <v>1878</v>
      </c>
      <c r="T29" s="16" t="n">
        <f aca="false">SUMIFS(Actuals!$H$2:$H$6000,Actuals!$E$2:$E$6000,A29,Actuals!$B$2:$B$6000,"&gt;="&amp;DATE(YEAR(AsOfDate),1,1),Actuals!$I$2:$I$6000,"Yes")</f>
        <v>1878</v>
      </c>
      <c r="U29" s="15" t="n">
        <f aca="false">IF(S29=0,0,T29/S29)</f>
        <v>1</v>
      </c>
    </row>
    <row r="30" customFormat="false" ht="15" hidden="false" customHeight="false" outlineLevel="0" collapsed="false">
      <c r="A30" s="18" t="s">
        <v>405</v>
      </c>
      <c r="B30" s="18" t="s">
        <v>406</v>
      </c>
      <c r="C30" s="18" t="s">
        <v>391</v>
      </c>
      <c r="D30" s="18" t="s">
        <v>327</v>
      </c>
      <c r="E30" s="18" t="s">
        <v>344</v>
      </c>
      <c r="F30" s="18" t="s">
        <v>334</v>
      </c>
      <c r="G30" s="18" t="s">
        <v>322</v>
      </c>
      <c r="H30" s="28" t="n">
        <v>99.36</v>
      </c>
      <c r="I30" s="28" t="n">
        <v>200</v>
      </c>
      <c r="J30" s="22" t="n">
        <v>40</v>
      </c>
      <c r="K30" s="18" t="s">
        <v>389</v>
      </c>
      <c r="L30" s="21" t="str">
        <f aca="false">IFERROR(INDEX(Resources!$B$2:$B$500,MATCH(K30,Resources!$A$2:$A$500,0)),"")</f>
        <v>Yuki Wright</v>
      </c>
      <c r="M30" s="18" t="s">
        <v>397</v>
      </c>
      <c r="N30" s="19" t="n">
        <v>43763</v>
      </c>
      <c r="O30" s="15" t="n">
        <f aca="false">SUMIFS(Allocations!$J$2:$J$2000,Allocations!$D$2:$D$2000,A30,Allocations!$H$2:$H$2000,"&lt;="&amp;AsOfDate,Allocations!$I$2:$I$2000,"&gt;="&amp;AsOfDate)</f>
        <v>1</v>
      </c>
      <c r="P30" s="13" t="n">
        <f aca="false">COUNTIFS(Allocations!$D$2:$D$2000,A30,Allocations!$H$2:$H$2000,"&lt;="&amp;AsOfDate,Allocations!$I$2:$I$2000,"&gt;="&amp;AsOfDate)</f>
        <v>2</v>
      </c>
      <c r="Q30" s="16" t="n">
        <f aca="false">ROUND(J30*MAX(0,1-O30),1)</f>
        <v>0</v>
      </c>
      <c r="R30" s="12" t="str">
        <f aca="false">IF(J30=0,"Non-assignable",IF(O30&gt;OverallocationThreshold,"Overallocated",IF(O30&lt;UnderutilizationThreshold,"Under-utilized","Healthy")))</f>
        <v>Healthy</v>
      </c>
      <c r="S30" s="16" t="n">
        <f aca="false">SUMIFS(Actuals!$H$2:$H$6000,Actuals!$E$2:$E$6000,A30,Actuals!$B$2:$B$6000,"&gt;="&amp;DATE(YEAR(AsOfDate),1,1))</f>
        <v>1525</v>
      </c>
      <c r="T30" s="16" t="n">
        <f aca="false">SUMIFS(Actuals!$H$2:$H$6000,Actuals!$E$2:$E$6000,A30,Actuals!$B$2:$B$6000,"&gt;="&amp;DATE(YEAR(AsOfDate),1,1),Actuals!$I$2:$I$6000,"Yes")</f>
        <v>1525</v>
      </c>
      <c r="U30" s="15" t="n">
        <f aca="false">IF(S30=0,0,T30/S30)</f>
        <v>1</v>
      </c>
    </row>
    <row r="31" customFormat="false" ht="15" hidden="false" customHeight="false" outlineLevel="0" collapsed="false">
      <c r="A31" s="18" t="s">
        <v>407</v>
      </c>
      <c r="B31" s="18" t="s">
        <v>408</v>
      </c>
      <c r="C31" s="18" t="s">
        <v>391</v>
      </c>
      <c r="D31" s="18" t="s">
        <v>327</v>
      </c>
      <c r="E31" s="18" t="s">
        <v>362</v>
      </c>
      <c r="F31" s="18" t="s">
        <v>337</v>
      </c>
      <c r="G31" s="18" t="s">
        <v>322</v>
      </c>
      <c r="H31" s="28" t="n">
        <v>85.56</v>
      </c>
      <c r="I31" s="28" t="n">
        <v>170</v>
      </c>
      <c r="J31" s="22" t="n">
        <v>40</v>
      </c>
      <c r="K31" s="18" t="s">
        <v>389</v>
      </c>
      <c r="L31" s="21" t="str">
        <f aca="false">IFERROR(INDEX(Resources!$B$2:$B$500,MATCH(K31,Resources!$A$2:$A$500,0)),"")</f>
        <v>Yuki Wright</v>
      </c>
      <c r="M31" s="18" t="s">
        <v>392</v>
      </c>
      <c r="N31" s="19" t="n">
        <v>45660</v>
      </c>
      <c r="O31" s="15" t="n">
        <f aca="false">SUMIFS(Allocations!$J$2:$J$2000,Allocations!$D$2:$D$2000,A31,Allocations!$H$2:$H$2000,"&lt;="&amp;AsOfDate,Allocations!$I$2:$I$2000,"&gt;="&amp;AsOfDate)</f>
        <v>1</v>
      </c>
      <c r="P31" s="13" t="n">
        <f aca="false">COUNTIFS(Allocations!$D$2:$D$2000,A31,Allocations!$H$2:$H$2000,"&lt;="&amp;AsOfDate,Allocations!$I$2:$I$2000,"&gt;="&amp;AsOfDate)</f>
        <v>1</v>
      </c>
      <c r="Q31" s="16" t="n">
        <f aca="false">ROUND(J31*MAX(0,1-O31),1)</f>
        <v>0</v>
      </c>
      <c r="R31" s="12" t="str">
        <f aca="false">IF(J31=0,"Non-assignable",IF(O31&gt;OverallocationThreshold,"Overallocated",IF(O31&lt;UnderutilizationThreshold,"Under-utilized","Healthy")))</f>
        <v>Healthy</v>
      </c>
      <c r="S31" s="16" t="n">
        <f aca="false">SUMIFS(Actuals!$H$2:$H$6000,Actuals!$E$2:$E$6000,A31,Actuals!$B$2:$B$6000,"&gt;="&amp;DATE(YEAR(AsOfDate),1,1))</f>
        <v>1687.5</v>
      </c>
      <c r="T31" s="16" t="n">
        <f aca="false">SUMIFS(Actuals!$H$2:$H$6000,Actuals!$E$2:$E$6000,A31,Actuals!$B$2:$B$6000,"&gt;="&amp;DATE(YEAR(AsOfDate),1,1),Actuals!$I$2:$I$6000,"Yes")</f>
        <v>1687.5</v>
      </c>
      <c r="U31" s="15" t="n">
        <f aca="false">IF(S31=0,0,T31/S31)</f>
        <v>1</v>
      </c>
    </row>
    <row r="32" customFormat="false" ht="15" hidden="false" customHeight="false" outlineLevel="0" collapsed="false">
      <c r="A32" s="18" t="s">
        <v>409</v>
      </c>
      <c r="B32" s="18" t="s">
        <v>410</v>
      </c>
      <c r="C32" s="18" t="s">
        <v>411</v>
      </c>
      <c r="D32" s="18" t="s">
        <v>327</v>
      </c>
      <c r="E32" s="18" t="s">
        <v>331</v>
      </c>
      <c r="F32" s="18" t="s">
        <v>321</v>
      </c>
      <c r="G32" s="18" t="s">
        <v>322</v>
      </c>
      <c r="H32" s="28" t="n">
        <v>74.24</v>
      </c>
      <c r="I32" s="28" t="n">
        <v>150</v>
      </c>
      <c r="J32" s="22" t="n">
        <v>40</v>
      </c>
      <c r="K32" s="18" t="s">
        <v>389</v>
      </c>
      <c r="L32" s="21" t="str">
        <f aca="false">IFERROR(INDEX(Resources!$B$2:$B$500,MATCH(K32,Resources!$A$2:$A$500,0)),"")</f>
        <v>Yuki Wright</v>
      </c>
      <c r="M32" s="18" t="s">
        <v>402</v>
      </c>
      <c r="N32" s="19" t="n">
        <v>42630</v>
      </c>
      <c r="O32" s="15" t="n">
        <f aca="false">SUMIFS(Allocations!$J$2:$J$2000,Allocations!$D$2:$D$2000,A32,Allocations!$H$2:$H$2000,"&lt;="&amp;AsOfDate,Allocations!$I$2:$I$2000,"&gt;="&amp;AsOfDate)</f>
        <v>1</v>
      </c>
      <c r="P32" s="13" t="n">
        <f aca="false">COUNTIFS(Allocations!$D$2:$D$2000,A32,Allocations!$H$2:$H$2000,"&lt;="&amp;AsOfDate,Allocations!$I$2:$I$2000,"&gt;="&amp;AsOfDate)</f>
        <v>1</v>
      </c>
      <c r="Q32" s="16" t="n">
        <f aca="false">ROUND(J32*MAX(0,1-O32),1)</f>
        <v>0</v>
      </c>
      <c r="R32" s="12" t="str">
        <f aca="false">IF(J32=0,"Non-assignable",IF(O32&gt;OverallocationThreshold,"Overallocated",IF(O32&lt;UnderutilizationThreshold,"Under-utilized","Healthy")))</f>
        <v>Healthy</v>
      </c>
      <c r="S32" s="16" t="n">
        <f aca="false">SUMIFS(Actuals!$H$2:$H$6000,Actuals!$E$2:$E$6000,A32,Actuals!$B$2:$B$6000,"&gt;="&amp;DATE(YEAR(AsOfDate),1,1))</f>
        <v>1355.1</v>
      </c>
      <c r="T32" s="16" t="n">
        <f aca="false">SUMIFS(Actuals!$H$2:$H$6000,Actuals!$E$2:$E$6000,A32,Actuals!$B$2:$B$6000,"&gt;="&amp;DATE(YEAR(AsOfDate),1,1),Actuals!$I$2:$I$6000,"Yes")</f>
        <v>1355.1</v>
      </c>
      <c r="U32" s="15" t="n">
        <f aca="false">IF(S32=0,0,T32/S32)</f>
        <v>1</v>
      </c>
    </row>
    <row r="33" customFormat="false" ht="15" hidden="false" customHeight="false" outlineLevel="0" collapsed="false">
      <c r="A33" s="18" t="s">
        <v>412</v>
      </c>
      <c r="B33" s="18" t="s">
        <v>413</v>
      </c>
      <c r="C33" s="18" t="s">
        <v>411</v>
      </c>
      <c r="D33" s="18" t="s">
        <v>327</v>
      </c>
      <c r="E33" s="18" t="s">
        <v>362</v>
      </c>
      <c r="F33" s="18" t="s">
        <v>321</v>
      </c>
      <c r="G33" s="18" t="s">
        <v>322</v>
      </c>
      <c r="H33" s="28" t="n">
        <v>59.52</v>
      </c>
      <c r="I33" s="28" t="n">
        <v>120</v>
      </c>
      <c r="J33" s="22" t="n">
        <v>40</v>
      </c>
      <c r="K33" s="18" t="s">
        <v>389</v>
      </c>
      <c r="L33" s="21" t="str">
        <f aca="false">IFERROR(INDEX(Resources!$B$2:$B$500,MATCH(K33,Resources!$A$2:$A$500,0)),"")</f>
        <v>Yuki Wright</v>
      </c>
      <c r="M33" s="18" t="s">
        <v>402</v>
      </c>
      <c r="N33" s="19" t="n">
        <v>44584</v>
      </c>
      <c r="O33" s="15" t="n">
        <f aca="false">SUMIFS(Allocations!$J$2:$J$2000,Allocations!$D$2:$D$2000,A33,Allocations!$H$2:$H$2000,"&lt;="&amp;AsOfDate,Allocations!$I$2:$I$2000,"&gt;="&amp;AsOfDate)</f>
        <v>0.75</v>
      </c>
      <c r="P33" s="13" t="n">
        <f aca="false">COUNTIFS(Allocations!$D$2:$D$2000,A33,Allocations!$H$2:$H$2000,"&lt;="&amp;AsOfDate,Allocations!$I$2:$I$2000,"&gt;="&amp;AsOfDate)</f>
        <v>1</v>
      </c>
      <c r="Q33" s="16" t="n">
        <f aca="false">ROUND(J33*MAX(0,1-O33),1)</f>
        <v>10</v>
      </c>
      <c r="R33" s="12" t="str">
        <f aca="false">IF(J33=0,"Non-assignable",IF(O33&gt;OverallocationThreshold,"Overallocated",IF(O33&lt;UnderutilizationThreshold,"Under-utilized","Healthy")))</f>
        <v>Healthy</v>
      </c>
      <c r="S33" s="16" t="n">
        <f aca="false">SUMIFS(Actuals!$H$2:$H$6000,Actuals!$E$2:$E$6000,A33,Actuals!$B$2:$B$6000,"&gt;="&amp;DATE(YEAR(AsOfDate),1,1))</f>
        <v>1410.3</v>
      </c>
      <c r="T33" s="16" t="n">
        <f aca="false">SUMIFS(Actuals!$H$2:$H$6000,Actuals!$E$2:$E$6000,A33,Actuals!$B$2:$B$6000,"&gt;="&amp;DATE(YEAR(AsOfDate),1,1),Actuals!$I$2:$I$6000,"Yes")</f>
        <v>1410.3</v>
      </c>
      <c r="U33" s="15" t="n">
        <f aca="false">IF(S33=0,0,T33/S33)</f>
        <v>1</v>
      </c>
    </row>
    <row r="34" customFormat="false" ht="15" hidden="false" customHeight="false" outlineLevel="0" collapsed="false">
      <c r="A34" s="18" t="s">
        <v>414</v>
      </c>
      <c r="B34" s="18" t="s">
        <v>415</v>
      </c>
      <c r="C34" s="18" t="s">
        <v>411</v>
      </c>
      <c r="D34" s="18" t="s">
        <v>327</v>
      </c>
      <c r="E34" s="18" t="s">
        <v>362</v>
      </c>
      <c r="F34" s="18" t="s">
        <v>321</v>
      </c>
      <c r="G34" s="18" t="s">
        <v>322</v>
      </c>
      <c r="H34" s="28" t="n">
        <v>59.52</v>
      </c>
      <c r="I34" s="28" t="n">
        <v>120</v>
      </c>
      <c r="J34" s="22" t="n">
        <v>40</v>
      </c>
      <c r="K34" s="18" t="s">
        <v>389</v>
      </c>
      <c r="L34" s="21" t="str">
        <f aca="false">IFERROR(INDEX(Resources!$B$2:$B$500,MATCH(K34,Resources!$A$2:$A$500,0)),"")</f>
        <v>Yuki Wright</v>
      </c>
      <c r="M34" s="18" t="s">
        <v>416</v>
      </c>
      <c r="N34" s="19" t="n">
        <v>43711</v>
      </c>
      <c r="O34" s="15" t="n">
        <f aca="false">SUMIFS(Allocations!$J$2:$J$2000,Allocations!$D$2:$D$2000,A34,Allocations!$H$2:$H$2000,"&lt;="&amp;AsOfDate,Allocations!$I$2:$I$2000,"&gt;="&amp;AsOfDate)</f>
        <v>0.5</v>
      </c>
      <c r="P34" s="13" t="n">
        <f aca="false">COUNTIFS(Allocations!$D$2:$D$2000,A34,Allocations!$H$2:$H$2000,"&lt;="&amp;AsOfDate,Allocations!$I$2:$I$2000,"&gt;="&amp;AsOfDate)</f>
        <v>1</v>
      </c>
      <c r="Q34" s="16" t="n">
        <f aca="false">ROUND(J34*MAX(0,1-O34),1)</f>
        <v>20</v>
      </c>
      <c r="R34" s="12" t="str">
        <f aca="false">IF(J34=0,"Non-assignable",IF(O34&gt;OverallocationThreshold,"Overallocated",IF(O34&lt;UnderutilizationThreshold,"Under-utilized","Healthy")))</f>
        <v>Under-utilized</v>
      </c>
      <c r="S34" s="16" t="n">
        <f aca="false">SUMIFS(Actuals!$H$2:$H$6000,Actuals!$E$2:$E$6000,A34,Actuals!$B$2:$B$6000,"&gt;="&amp;DATE(YEAR(AsOfDate),1,1))</f>
        <v>1249.4</v>
      </c>
      <c r="T34" s="16" t="n">
        <f aca="false">SUMIFS(Actuals!$H$2:$H$6000,Actuals!$E$2:$E$6000,A34,Actuals!$B$2:$B$6000,"&gt;="&amp;DATE(YEAR(AsOfDate),1,1),Actuals!$I$2:$I$6000,"Yes")</f>
        <v>1249.4</v>
      </c>
      <c r="U34" s="15" t="n">
        <f aca="false">IF(S34=0,0,T34/S34)</f>
        <v>1</v>
      </c>
    </row>
    <row r="35" customFormat="false" ht="15" hidden="false" customHeight="false" outlineLevel="0" collapsed="false">
      <c r="A35" s="18" t="s">
        <v>417</v>
      </c>
      <c r="B35" s="18" t="s">
        <v>418</v>
      </c>
      <c r="C35" s="18" t="s">
        <v>411</v>
      </c>
      <c r="D35" s="18" t="s">
        <v>327</v>
      </c>
      <c r="E35" s="18" t="s">
        <v>336</v>
      </c>
      <c r="F35" s="18" t="s">
        <v>321</v>
      </c>
      <c r="G35" s="18" t="s">
        <v>322</v>
      </c>
      <c r="H35" s="28" t="n">
        <v>54.4</v>
      </c>
      <c r="I35" s="28" t="n">
        <v>110</v>
      </c>
      <c r="J35" s="22" t="n">
        <v>32</v>
      </c>
      <c r="K35" s="18" t="s">
        <v>389</v>
      </c>
      <c r="L35" s="21" t="str">
        <f aca="false">IFERROR(INDEX(Resources!$B$2:$B$500,MATCH(K35,Resources!$A$2:$A$500,0)),"")</f>
        <v>Yuki Wright</v>
      </c>
      <c r="M35" s="18" t="s">
        <v>419</v>
      </c>
      <c r="N35" s="19" t="n">
        <v>42083</v>
      </c>
      <c r="O35" s="15" t="n">
        <f aca="false">SUMIFS(Allocations!$J$2:$J$2000,Allocations!$D$2:$D$2000,A35,Allocations!$H$2:$H$2000,"&lt;="&amp;AsOfDate,Allocations!$I$2:$I$2000,"&gt;="&amp;AsOfDate)</f>
        <v>0.5</v>
      </c>
      <c r="P35" s="13" t="n">
        <f aca="false">COUNTIFS(Allocations!$D$2:$D$2000,A35,Allocations!$H$2:$H$2000,"&lt;="&amp;AsOfDate,Allocations!$I$2:$I$2000,"&gt;="&amp;AsOfDate)</f>
        <v>1</v>
      </c>
      <c r="Q35" s="16" t="n">
        <f aca="false">ROUND(J35*MAX(0,1-O35),1)</f>
        <v>16</v>
      </c>
      <c r="R35" s="12" t="str">
        <f aca="false">IF(J35=0,"Non-assignable",IF(O35&gt;OverallocationThreshold,"Overallocated",IF(O35&lt;UnderutilizationThreshold,"Under-utilized","Healthy")))</f>
        <v>Under-utilized</v>
      </c>
      <c r="S35" s="16" t="n">
        <f aca="false">SUMIFS(Actuals!$H$2:$H$6000,Actuals!$E$2:$E$6000,A35,Actuals!$B$2:$B$6000,"&gt;="&amp;DATE(YEAR(AsOfDate),1,1))</f>
        <v>1131.9</v>
      </c>
      <c r="T35" s="16" t="n">
        <f aca="false">SUMIFS(Actuals!$H$2:$H$6000,Actuals!$E$2:$E$6000,A35,Actuals!$B$2:$B$6000,"&gt;="&amp;DATE(YEAR(AsOfDate),1,1),Actuals!$I$2:$I$6000,"Yes")</f>
        <v>1131.9</v>
      </c>
      <c r="U35" s="15" t="n">
        <f aca="false">IF(S35=0,0,T35/S35)</f>
        <v>1</v>
      </c>
    </row>
    <row r="36" customFormat="false" ht="15" hidden="false" customHeight="false" outlineLevel="0" collapsed="false">
      <c r="A36" s="18" t="s">
        <v>420</v>
      </c>
      <c r="B36" s="18" t="s">
        <v>421</v>
      </c>
      <c r="C36" s="18" t="s">
        <v>411</v>
      </c>
      <c r="D36" s="18" t="s">
        <v>327</v>
      </c>
      <c r="E36" s="18" t="s">
        <v>362</v>
      </c>
      <c r="F36" s="18" t="s">
        <v>337</v>
      </c>
      <c r="G36" s="18" t="s">
        <v>322</v>
      </c>
      <c r="H36" s="28" t="n">
        <v>59.52</v>
      </c>
      <c r="I36" s="28" t="n">
        <v>120</v>
      </c>
      <c r="J36" s="22" t="n">
        <v>40</v>
      </c>
      <c r="K36" s="18" t="s">
        <v>389</v>
      </c>
      <c r="L36" s="21" t="str">
        <f aca="false">IFERROR(INDEX(Resources!$B$2:$B$500,MATCH(K36,Resources!$A$2:$A$500,0)),"")</f>
        <v>Yuki Wright</v>
      </c>
      <c r="M36" s="18" t="s">
        <v>402</v>
      </c>
      <c r="N36" s="19" t="n">
        <v>44448</v>
      </c>
      <c r="O36" s="15" t="n">
        <f aca="false">SUMIFS(Allocations!$J$2:$J$2000,Allocations!$D$2:$D$2000,A36,Allocations!$H$2:$H$2000,"&lt;="&amp;AsOfDate,Allocations!$I$2:$I$2000,"&gt;="&amp;AsOfDate)</f>
        <v>1</v>
      </c>
      <c r="P36" s="13" t="n">
        <f aca="false">COUNTIFS(Allocations!$D$2:$D$2000,A36,Allocations!$H$2:$H$2000,"&lt;="&amp;AsOfDate,Allocations!$I$2:$I$2000,"&gt;="&amp;AsOfDate)</f>
        <v>1</v>
      </c>
      <c r="Q36" s="16" t="n">
        <f aca="false">ROUND(J36*MAX(0,1-O36),1)</f>
        <v>0</v>
      </c>
      <c r="R36" s="12" t="str">
        <f aca="false">IF(J36=0,"Non-assignable",IF(O36&gt;OverallocationThreshold,"Overallocated",IF(O36&lt;UnderutilizationThreshold,"Under-utilized","Healthy")))</f>
        <v>Healthy</v>
      </c>
      <c r="S36" s="16" t="n">
        <f aca="false">SUMIFS(Actuals!$H$2:$H$6000,Actuals!$E$2:$E$6000,A36,Actuals!$B$2:$B$6000,"&gt;="&amp;DATE(YEAR(AsOfDate),1,1))</f>
        <v>1775.2</v>
      </c>
      <c r="T36" s="16" t="n">
        <f aca="false">SUMIFS(Actuals!$H$2:$H$6000,Actuals!$E$2:$E$6000,A36,Actuals!$B$2:$B$6000,"&gt;="&amp;DATE(YEAR(AsOfDate),1,1),Actuals!$I$2:$I$6000,"Yes")</f>
        <v>1775.2</v>
      </c>
      <c r="U36" s="15" t="n">
        <f aca="false">IF(S36=0,0,T36/S36)</f>
        <v>1</v>
      </c>
    </row>
    <row r="37" customFormat="false" ht="15" hidden="false" customHeight="false" outlineLevel="0" collapsed="false">
      <c r="A37" s="18" t="s">
        <v>422</v>
      </c>
      <c r="B37" s="18" t="s">
        <v>423</v>
      </c>
      <c r="C37" s="18" t="s">
        <v>411</v>
      </c>
      <c r="D37" s="18" t="s">
        <v>327</v>
      </c>
      <c r="E37" s="18" t="s">
        <v>362</v>
      </c>
      <c r="F37" s="18" t="s">
        <v>356</v>
      </c>
      <c r="G37" s="18" t="s">
        <v>322</v>
      </c>
      <c r="H37" s="28" t="n">
        <v>59.52</v>
      </c>
      <c r="I37" s="28" t="n">
        <v>120</v>
      </c>
      <c r="J37" s="22" t="n">
        <v>40</v>
      </c>
      <c r="K37" s="18" t="s">
        <v>389</v>
      </c>
      <c r="L37" s="21" t="str">
        <f aca="false">IFERROR(INDEX(Resources!$B$2:$B$500,MATCH(K37,Resources!$A$2:$A$500,0)),"")</f>
        <v>Yuki Wright</v>
      </c>
      <c r="M37" s="18" t="s">
        <v>419</v>
      </c>
      <c r="N37" s="19" t="n">
        <v>45632</v>
      </c>
      <c r="O37" s="15" t="n">
        <f aca="false">SUMIFS(Allocations!$J$2:$J$2000,Allocations!$D$2:$D$2000,A37,Allocations!$H$2:$H$2000,"&lt;="&amp;AsOfDate,Allocations!$I$2:$I$2000,"&gt;="&amp;AsOfDate)</f>
        <v>1</v>
      </c>
      <c r="P37" s="13" t="n">
        <f aca="false">COUNTIFS(Allocations!$D$2:$D$2000,A37,Allocations!$H$2:$H$2000,"&lt;="&amp;AsOfDate,Allocations!$I$2:$I$2000,"&gt;="&amp;AsOfDate)</f>
        <v>2</v>
      </c>
      <c r="Q37" s="16" t="n">
        <f aca="false">ROUND(J37*MAX(0,1-O37),1)</f>
        <v>0</v>
      </c>
      <c r="R37" s="12" t="str">
        <f aca="false">IF(J37=0,"Non-assignable",IF(O37&gt;OverallocationThreshold,"Overallocated",IF(O37&lt;UnderutilizationThreshold,"Under-utilized","Healthy")))</f>
        <v>Healthy</v>
      </c>
      <c r="S37" s="16" t="n">
        <f aca="false">SUMIFS(Actuals!$H$2:$H$6000,Actuals!$E$2:$E$6000,A37,Actuals!$B$2:$B$6000,"&gt;="&amp;DATE(YEAR(AsOfDate),1,1))</f>
        <v>1293.6</v>
      </c>
      <c r="T37" s="16" t="n">
        <f aca="false">SUMIFS(Actuals!$H$2:$H$6000,Actuals!$E$2:$E$6000,A37,Actuals!$B$2:$B$6000,"&gt;="&amp;DATE(YEAR(AsOfDate),1,1),Actuals!$I$2:$I$6000,"Yes")</f>
        <v>1293.6</v>
      </c>
      <c r="U37" s="15" t="n">
        <f aca="false">IF(S37=0,0,T37/S37)</f>
        <v>1</v>
      </c>
    </row>
    <row r="38" customFormat="false" ht="15" hidden="false" customHeight="false" outlineLevel="0" collapsed="false">
      <c r="A38" s="18" t="s">
        <v>424</v>
      </c>
      <c r="B38" s="18" t="s">
        <v>425</v>
      </c>
      <c r="C38" s="18" t="s">
        <v>411</v>
      </c>
      <c r="D38" s="18" t="s">
        <v>327</v>
      </c>
      <c r="E38" s="18" t="s">
        <v>336</v>
      </c>
      <c r="F38" s="18" t="s">
        <v>337</v>
      </c>
      <c r="G38" s="18" t="s">
        <v>377</v>
      </c>
      <c r="H38" s="28" t="n">
        <v>68</v>
      </c>
      <c r="I38" s="28" t="n">
        <v>110</v>
      </c>
      <c r="J38" s="22" t="n">
        <v>40</v>
      </c>
      <c r="K38" s="18" t="s">
        <v>389</v>
      </c>
      <c r="L38" s="21" t="str">
        <f aca="false">IFERROR(INDEX(Resources!$B$2:$B$500,MATCH(K38,Resources!$A$2:$A$500,0)),"")</f>
        <v>Yuki Wright</v>
      </c>
      <c r="M38" s="18" t="s">
        <v>402</v>
      </c>
      <c r="N38" s="19" t="n">
        <v>45702</v>
      </c>
      <c r="O38" s="15" t="n">
        <f aca="false">SUMIFS(Allocations!$J$2:$J$2000,Allocations!$D$2:$D$2000,A38,Allocations!$H$2:$H$2000,"&lt;="&amp;AsOfDate,Allocations!$I$2:$I$2000,"&gt;="&amp;AsOfDate)</f>
        <v>0.75</v>
      </c>
      <c r="P38" s="13" t="n">
        <f aca="false">COUNTIFS(Allocations!$D$2:$D$2000,A38,Allocations!$H$2:$H$2000,"&lt;="&amp;AsOfDate,Allocations!$I$2:$I$2000,"&gt;="&amp;AsOfDate)</f>
        <v>1</v>
      </c>
      <c r="Q38" s="16" t="n">
        <f aca="false">ROUND(J38*MAX(0,1-O38),1)</f>
        <v>10</v>
      </c>
      <c r="R38" s="12" t="str">
        <f aca="false">IF(J38=0,"Non-assignable",IF(O38&gt;OverallocationThreshold,"Overallocated",IF(O38&lt;UnderutilizationThreshold,"Under-utilized","Healthy")))</f>
        <v>Healthy</v>
      </c>
      <c r="S38" s="16" t="n">
        <f aca="false">SUMIFS(Actuals!$H$2:$H$6000,Actuals!$E$2:$E$6000,A38,Actuals!$B$2:$B$6000,"&gt;="&amp;DATE(YEAR(AsOfDate),1,1))</f>
        <v>942.5</v>
      </c>
      <c r="T38" s="16" t="n">
        <f aca="false">SUMIFS(Actuals!$H$2:$H$6000,Actuals!$E$2:$E$6000,A38,Actuals!$B$2:$B$6000,"&gt;="&amp;DATE(YEAR(AsOfDate),1,1),Actuals!$I$2:$I$6000,"Yes")</f>
        <v>942.5</v>
      </c>
      <c r="U38" s="15" t="n">
        <f aca="false">IF(S38=0,0,T38/S38)</f>
        <v>1</v>
      </c>
    </row>
    <row r="39" customFormat="false" ht="15" hidden="false" customHeight="false" outlineLevel="0" collapsed="false">
      <c r="A39" s="18" t="s">
        <v>426</v>
      </c>
      <c r="B39" s="18" t="s">
        <v>427</v>
      </c>
      <c r="C39" s="18" t="s">
        <v>411</v>
      </c>
      <c r="D39" s="18" t="s">
        <v>327</v>
      </c>
      <c r="E39" s="18" t="s">
        <v>331</v>
      </c>
      <c r="F39" s="18" t="s">
        <v>321</v>
      </c>
      <c r="G39" s="18" t="s">
        <v>322</v>
      </c>
      <c r="H39" s="28" t="n">
        <v>74.24</v>
      </c>
      <c r="I39" s="28" t="n">
        <v>150</v>
      </c>
      <c r="J39" s="22" t="n">
        <v>40</v>
      </c>
      <c r="K39" s="18" t="s">
        <v>389</v>
      </c>
      <c r="L39" s="21" t="str">
        <f aca="false">IFERROR(INDEX(Resources!$B$2:$B$500,MATCH(K39,Resources!$A$2:$A$500,0)),"")</f>
        <v>Yuki Wright</v>
      </c>
      <c r="M39" s="18" t="s">
        <v>402</v>
      </c>
      <c r="N39" s="19" t="n">
        <v>45587</v>
      </c>
      <c r="O39" s="15" t="n">
        <f aca="false">SUMIFS(Allocations!$J$2:$J$2000,Allocations!$D$2:$D$2000,A39,Allocations!$H$2:$H$2000,"&lt;="&amp;AsOfDate,Allocations!$I$2:$I$2000,"&gt;="&amp;AsOfDate)</f>
        <v>1</v>
      </c>
      <c r="P39" s="13" t="n">
        <f aca="false">COUNTIFS(Allocations!$D$2:$D$2000,A39,Allocations!$H$2:$H$2000,"&lt;="&amp;AsOfDate,Allocations!$I$2:$I$2000,"&gt;="&amp;AsOfDate)</f>
        <v>2</v>
      </c>
      <c r="Q39" s="16" t="n">
        <f aca="false">ROUND(J39*MAX(0,1-O39),1)</f>
        <v>0</v>
      </c>
      <c r="R39" s="12" t="str">
        <f aca="false">IF(J39=0,"Non-assignable",IF(O39&gt;OverallocationThreshold,"Overallocated",IF(O39&lt;UnderutilizationThreshold,"Under-utilized","Healthy")))</f>
        <v>Healthy</v>
      </c>
      <c r="S39" s="16" t="n">
        <f aca="false">SUMIFS(Actuals!$H$2:$H$6000,Actuals!$E$2:$E$6000,A39,Actuals!$B$2:$B$6000,"&gt;="&amp;DATE(YEAR(AsOfDate),1,1))</f>
        <v>1297.4</v>
      </c>
      <c r="T39" s="16" t="n">
        <f aca="false">SUMIFS(Actuals!$H$2:$H$6000,Actuals!$E$2:$E$6000,A39,Actuals!$B$2:$B$6000,"&gt;="&amp;DATE(YEAR(AsOfDate),1,1),Actuals!$I$2:$I$6000,"Yes")</f>
        <v>1297.4</v>
      </c>
      <c r="U39" s="15" t="n">
        <f aca="false">IF(S39=0,0,T39/S39)</f>
        <v>1</v>
      </c>
    </row>
    <row r="40" customFormat="false" ht="15" hidden="false" customHeight="false" outlineLevel="0" collapsed="false">
      <c r="A40" s="18" t="s">
        <v>428</v>
      </c>
      <c r="B40" s="18" t="s">
        <v>429</v>
      </c>
      <c r="C40" s="18" t="s">
        <v>411</v>
      </c>
      <c r="D40" s="18" t="s">
        <v>327</v>
      </c>
      <c r="E40" s="18" t="s">
        <v>336</v>
      </c>
      <c r="F40" s="18" t="s">
        <v>334</v>
      </c>
      <c r="G40" s="18" t="s">
        <v>322</v>
      </c>
      <c r="H40" s="28" t="n">
        <v>54.4</v>
      </c>
      <c r="I40" s="28" t="n">
        <v>110</v>
      </c>
      <c r="J40" s="22" t="n">
        <v>40</v>
      </c>
      <c r="K40" s="18" t="s">
        <v>389</v>
      </c>
      <c r="L40" s="21" t="str">
        <f aca="false">IFERROR(INDEX(Resources!$B$2:$B$500,MATCH(K40,Resources!$A$2:$A$500,0)),"")</f>
        <v>Yuki Wright</v>
      </c>
      <c r="M40" s="18" t="s">
        <v>402</v>
      </c>
      <c r="N40" s="19" t="n">
        <v>45186</v>
      </c>
      <c r="O40" s="15" t="n">
        <f aca="false">SUMIFS(Allocations!$J$2:$J$2000,Allocations!$D$2:$D$2000,A40,Allocations!$H$2:$H$2000,"&lt;="&amp;AsOfDate,Allocations!$I$2:$I$2000,"&gt;="&amp;AsOfDate)</f>
        <v>0.5</v>
      </c>
      <c r="P40" s="13" t="n">
        <f aca="false">COUNTIFS(Allocations!$D$2:$D$2000,A40,Allocations!$H$2:$H$2000,"&lt;="&amp;AsOfDate,Allocations!$I$2:$I$2000,"&gt;="&amp;AsOfDate)</f>
        <v>1</v>
      </c>
      <c r="Q40" s="16" t="n">
        <f aca="false">ROUND(J40*MAX(0,1-O40),1)</f>
        <v>20</v>
      </c>
      <c r="R40" s="12" t="str">
        <f aca="false">IF(J40=0,"Non-assignable",IF(O40&gt;OverallocationThreshold,"Overallocated",IF(O40&lt;UnderutilizationThreshold,"Under-utilized","Healthy")))</f>
        <v>Under-utilized</v>
      </c>
      <c r="S40" s="16" t="n">
        <f aca="false">SUMIFS(Actuals!$H$2:$H$6000,Actuals!$E$2:$E$6000,A40,Actuals!$B$2:$B$6000,"&gt;="&amp;DATE(YEAR(AsOfDate),1,1))</f>
        <v>547.1</v>
      </c>
      <c r="T40" s="16" t="n">
        <f aca="false">SUMIFS(Actuals!$H$2:$H$6000,Actuals!$E$2:$E$6000,A40,Actuals!$B$2:$B$6000,"&gt;="&amp;DATE(YEAR(AsOfDate),1,1),Actuals!$I$2:$I$6000,"Yes")</f>
        <v>547.1</v>
      </c>
      <c r="U40" s="15" t="n">
        <f aca="false">IF(S40=0,0,T40/S40)</f>
        <v>1</v>
      </c>
    </row>
    <row r="41" customFormat="false" ht="15" hidden="false" customHeight="false" outlineLevel="0" collapsed="false">
      <c r="A41" s="18" t="s">
        <v>430</v>
      </c>
      <c r="B41" s="18" t="s">
        <v>431</v>
      </c>
      <c r="C41" s="18" t="s">
        <v>411</v>
      </c>
      <c r="D41" s="18" t="s">
        <v>327</v>
      </c>
      <c r="E41" s="18" t="s">
        <v>339</v>
      </c>
      <c r="F41" s="18" t="s">
        <v>334</v>
      </c>
      <c r="G41" s="18" t="s">
        <v>322</v>
      </c>
      <c r="H41" s="28" t="n">
        <v>64</v>
      </c>
      <c r="I41" s="28" t="n">
        <v>130</v>
      </c>
      <c r="J41" s="22" t="n">
        <v>40</v>
      </c>
      <c r="K41" s="18" t="s">
        <v>389</v>
      </c>
      <c r="L41" s="21" t="str">
        <f aca="false">IFERROR(INDEX(Resources!$B$2:$B$500,MATCH(K41,Resources!$A$2:$A$500,0)),"")</f>
        <v>Yuki Wright</v>
      </c>
      <c r="M41" s="18" t="s">
        <v>402</v>
      </c>
      <c r="N41" s="19" t="n">
        <v>42564</v>
      </c>
      <c r="O41" s="15" t="n">
        <f aca="false">SUMIFS(Allocations!$J$2:$J$2000,Allocations!$D$2:$D$2000,A41,Allocations!$H$2:$H$2000,"&lt;="&amp;AsOfDate,Allocations!$I$2:$I$2000,"&gt;="&amp;AsOfDate)</f>
        <v>1.25</v>
      </c>
      <c r="P41" s="13" t="n">
        <f aca="false">COUNTIFS(Allocations!$D$2:$D$2000,A41,Allocations!$H$2:$H$2000,"&lt;="&amp;AsOfDate,Allocations!$I$2:$I$2000,"&gt;="&amp;AsOfDate)</f>
        <v>2</v>
      </c>
      <c r="Q41" s="16" t="n">
        <f aca="false">ROUND(J41*MAX(0,1-O41),1)</f>
        <v>0</v>
      </c>
      <c r="R41" s="12" t="str">
        <f aca="false">IF(J41=0,"Non-assignable",IF(O41&gt;OverallocationThreshold,"Overallocated",IF(O41&lt;UnderutilizationThreshold,"Under-utilized","Healthy")))</f>
        <v>Overallocated</v>
      </c>
      <c r="S41" s="16" t="n">
        <f aca="false">SUMIFS(Actuals!$H$2:$H$6000,Actuals!$E$2:$E$6000,A41,Actuals!$B$2:$B$6000,"&gt;="&amp;DATE(YEAR(AsOfDate),1,1))</f>
        <v>1141.2</v>
      </c>
      <c r="T41" s="16" t="n">
        <f aca="false">SUMIFS(Actuals!$H$2:$H$6000,Actuals!$E$2:$E$6000,A41,Actuals!$B$2:$B$6000,"&gt;="&amp;DATE(YEAR(AsOfDate),1,1),Actuals!$I$2:$I$6000,"Yes")</f>
        <v>1141.2</v>
      </c>
      <c r="U41" s="15" t="n">
        <f aca="false">IF(S41=0,0,T41/S41)</f>
        <v>1</v>
      </c>
    </row>
    <row r="42" customFormat="false" ht="15" hidden="false" customHeight="false" outlineLevel="0" collapsed="false">
      <c r="A42" s="18" t="s">
        <v>432</v>
      </c>
      <c r="B42" s="18" t="s">
        <v>433</v>
      </c>
      <c r="C42" s="18" t="s">
        <v>411</v>
      </c>
      <c r="D42" s="18" t="s">
        <v>327</v>
      </c>
      <c r="E42" s="18" t="s">
        <v>339</v>
      </c>
      <c r="F42" s="18" t="s">
        <v>356</v>
      </c>
      <c r="G42" s="18" t="s">
        <v>322</v>
      </c>
      <c r="H42" s="28" t="n">
        <v>64</v>
      </c>
      <c r="I42" s="28" t="n">
        <v>130</v>
      </c>
      <c r="J42" s="22" t="n">
        <v>40</v>
      </c>
      <c r="K42" s="18" t="s">
        <v>389</v>
      </c>
      <c r="L42" s="21" t="str">
        <f aca="false">IFERROR(INDEX(Resources!$B$2:$B$500,MATCH(K42,Resources!$A$2:$A$500,0)),"")</f>
        <v>Yuki Wright</v>
      </c>
      <c r="M42" s="18" t="s">
        <v>402</v>
      </c>
      <c r="N42" s="19" t="n">
        <v>46016</v>
      </c>
      <c r="O42" s="15" t="n">
        <f aca="false">SUMIFS(Allocations!$J$2:$J$2000,Allocations!$D$2:$D$2000,A42,Allocations!$H$2:$H$2000,"&lt;="&amp;AsOfDate,Allocations!$I$2:$I$2000,"&gt;="&amp;AsOfDate)</f>
        <v>0.5</v>
      </c>
      <c r="P42" s="13" t="n">
        <f aca="false">COUNTIFS(Allocations!$D$2:$D$2000,A42,Allocations!$H$2:$H$2000,"&lt;="&amp;AsOfDate,Allocations!$I$2:$I$2000,"&gt;="&amp;AsOfDate)</f>
        <v>1</v>
      </c>
      <c r="Q42" s="16" t="n">
        <f aca="false">ROUND(J42*MAX(0,1-O42),1)</f>
        <v>20</v>
      </c>
      <c r="R42" s="12" t="str">
        <f aca="false">IF(J42=0,"Non-assignable",IF(O42&gt;OverallocationThreshold,"Overallocated",IF(O42&lt;UnderutilizationThreshold,"Under-utilized","Healthy")))</f>
        <v>Under-utilized</v>
      </c>
      <c r="S42" s="16" t="n">
        <f aca="false">SUMIFS(Actuals!$H$2:$H$6000,Actuals!$E$2:$E$6000,A42,Actuals!$B$2:$B$6000,"&gt;="&amp;DATE(YEAR(AsOfDate),1,1))</f>
        <v>881.4</v>
      </c>
      <c r="T42" s="16" t="n">
        <f aca="false">SUMIFS(Actuals!$H$2:$H$6000,Actuals!$E$2:$E$6000,A42,Actuals!$B$2:$B$6000,"&gt;="&amp;DATE(YEAR(AsOfDate),1,1),Actuals!$I$2:$I$6000,"Yes")</f>
        <v>881.4</v>
      </c>
      <c r="U42" s="15" t="n">
        <f aca="false">IF(S42=0,0,T42/S42)</f>
        <v>1</v>
      </c>
    </row>
    <row r="43" customFormat="false" ht="15" hidden="false" customHeight="false" outlineLevel="0" collapsed="false">
      <c r="A43" s="18" t="s">
        <v>434</v>
      </c>
      <c r="B43" s="18" t="s">
        <v>435</v>
      </c>
      <c r="C43" s="18" t="s">
        <v>436</v>
      </c>
      <c r="D43" s="18" t="s">
        <v>437</v>
      </c>
      <c r="E43" s="18" t="s">
        <v>331</v>
      </c>
      <c r="F43" s="18" t="s">
        <v>337</v>
      </c>
      <c r="G43" s="18" t="s">
        <v>322</v>
      </c>
      <c r="H43" s="28" t="n">
        <v>64.96</v>
      </c>
      <c r="I43" s="28" t="n">
        <v>135</v>
      </c>
      <c r="J43" s="22" t="n">
        <v>40</v>
      </c>
      <c r="K43" s="18" t="s">
        <v>324</v>
      </c>
      <c r="L43" s="21" t="str">
        <f aca="false">IFERROR(INDEX(Resources!$B$2:$B$500,MATCH(K43,Resources!$A$2:$A$500,0)),"")</f>
        <v>Gordon Achebe</v>
      </c>
      <c r="M43" s="18" t="s">
        <v>438</v>
      </c>
      <c r="N43" s="19" t="n">
        <v>43656</v>
      </c>
      <c r="O43" s="15" t="n">
        <f aca="false">SUMIFS(Allocations!$J$2:$J$2000,Allocations!$D$2:$D$2000,A43,Allocations!$H$2:$H$2000,"&lt;="&amp;AsOfDate,Allocations!$I$2:$I$2000,"&gt;="&amp;AsOfDate)</f>
        <v>1</v>
      </c>
      <c r="P43" s="13" t="n">
        <f aca="false">COUNTIFS(Allocations!$D$2:$D$2000,A43,Allocations!$H$2:$H$2000,"&lt;="&amp;AsOfDate,Allocations!$I$2:$I$2000,"&gt;="&amp;AsOfDate)</f>
        <v>2</v>
      </c>
      <c r="Q43" s="16" t="n">
        <f aca="false">ROUND(J43*MAX(0,1-O43),1)</f>
        <v>0</v>
      </c>
      <c r="R43" s="12" t="str">
        <f aca="false">IF(J43=0,"Non-assignable",IF(O43&gt;OverallocationThreshold,"Overallocated",IF(O43&lt;UnderutilizationThreshold,"Under-utilized","Healthy")))</f>
        <v>Healthy</v>
      </c>
      <c r="S43" s="16" t="n">
        <f aca="false">SUMIFS(Actuals!$H$2:$H$6000,Actuals!$E$2:$E$6000,A43,Actuals!$B$2:$B$6000,"&gt;="&amp;DATE(YEAR(AsOfDate),1,1))</f>
        <v>735.8</v>
      </c>
      <c r="T43" s="16" t="n">
        <f aca="false">SUMIFS(Actuals!$H$2:$H$6000,Actuals!$E$2:$E$6000,A43,Actuals!$B$2:$B$6000,"&gt;="&amp;DATE(YEAR(AsOfDate),1,1),Actuals!$I$2:$I$6000,"Yes")</f>
        <v>735.8</v>
      </c>
      <c r="U43" s="15" t="n">
        <f aca="false">IF(S43=0,0,T43/S43)</f>
        <v>1</v>
      </c>
    </row>
    <row r="44" customFormat="false" ht="15" hidden="false" customHeight="false" outlineLevel="0" collapsed="false">
      <c r="A44" s="18" t="s">
        <v>439</v>
      </c>
      <c r="B44" s="18" t="s">
        <v>440</v>
      </c>
      <c r="C44" s="18" t="s">
        <v>436</v>
      </c>
      <c r="D44" s="18" t="s">
        <v>437</v>
      </c>
      <c r="E44" s="18" t="s">
        <v>331</v>
      </c>
      <c r="F44" s="18" t="s">
        <v>337</v>
      </c>
      <c r="G44" s="18" t="s">
        <v>377</v>
      </c>
      <c r="H44" s="28" t="n">
        <v>81.2</v>
      </c>
      <c r="I44" s="28" t="n">
        <v>135</v>
      </c>
      <c r="J44" s="22" t="n">
        <v>40</v>
      </c>
      <c r="K44" s="18" t="s">
        <v>434</v>
      </c>
      <c r="L44" s="21" t="str">
        <f aca="false">IFERROR(INDEX(Resources!$B$2:$B$500,MATCH(K44,Resources!$A$2:$A$500,0)),"")</f>
        <v>Nina Yilmaz</v>
      </c>
      <c r="M44" s="18" t="s">
        <v>441</v>
      </c>
      <c r="N44" s="19" t="n">
        <v>46103</v>
      </c>
      <c r="O44" s="15" t="n">
        <f aca="false">SUMIFS(Allocations!$J$2:$J$2000,Allocations!$D$2:$D$2000,A44,Allocations!$H$2:$H$2000,"&lt;="&amp;AsOfDate,Allocations!$I$2:$I$2000,"&gt;="&amp;AsOfDate)</f>
        <v>1.5</v>
      </c>
      <c r="P44" s="13" t="n">
        <f aca="false">COUNTIFS(Allocations!$D$2:$D$2000,A44,Allocations!$H$2:$H$2000,"&lt;="&amp;AsOfDate,Allocations!$I$2:$I$2000,"&gt;="&amp;AsOfDate)</f>
        <v>4</v>
      </c>
      <c r="Q44" s="16" t="n">
        <f aca="false">ROUND(J44*MAX(0,1-O44),1)</f>
        <v>0</v>
      </c>
      <c r="R44" s="12" t="str">
        <f aca="false">IF(J44=0,"Non-assignable",IF(O44&gt;OverallocationThreshold,"Overallocated",IF(O44&lt;UnderutilizationThreshold,"Under-utilized","Healthy")))</f>
        <v>Overallocated</v>
      </c>
      <c r="S44" s="16" t="n">
        <f aca="false">SUMIFS(Actuals!$H$2:$H$6000,Actuals!$E$2:$E$6000,A44,Actuals!$B$2:$B$6000,"&gt;="&amp;DATE(YEAR(AsOfDate),1,1))</f>
        <v>875.1</v>
      </c>
      <c r="T44" s="16" t="n">
        <f aca="false">SUMIFS(Actuals!$H$2:$H$6000,Actuals!$E$2:$E$6000,A44,Actuals!$B$2:$B$6000,"&gt;="&amp;DATE(YEAR(AsOfDate),1,1),Actuals!$I$2:$I$6000,"Yes")</f>
        <v>875.1</v>
      </c>
      <c r="U44" s="15" t="n">
        <f aca="false">IF(S44=0,0,T44/S44)</f>
        <v>1</v>
      </c>
    </row>
    <row r="45" customFormat="false" ht="15" hidden="false" customHeight="false" outlineLevel="0" collapsed="false">
      <c r="A45" s="18" t="s">
        <v>442</v>
      </c>
      <c r="B45" s="18" t="s">
        <v>443</v>
      </c>
      <c r="C45" s="18" t="s">
        <v>436</v>
      </c>
      <c r="D45" s="18" t="s">
        <v>437</v>
      </c>
      <c r="E45" s="18" t="s">
        <v>339</v>
      </c>
      <c r="F45" s="18" t="s">
        <v>352</v>
      </c>
      <c r="G45" s="18" t="s">
        <v>377</v>
      </c>
      <c r="H45" s="28" t="n">
        <v>70</v>
      </c>
      <c r="I45" s="28" t="n">
        <v>115</v>
      </c>
      <c r="J45" s="22" t="n">
        <v>40</v>
      </c>
      <c r="K45" s="18" t="s">
        <v>434</v>
      </c>
      <c r="L45" s="21" t="str">
        <f aca="false">IFERROR(INDEX(Resources!$B$2:$B$500,MATCH(K45,Resources!$A$2:$A$500,0)),"")</f>
        <v>Nina Yilmaz</v>
      </c>
      <c r="M45" s="18" t="s">
        <v>438</v>
      </c>
      <c r="N45" s="19" t="n">
        <v>45749</v>
      </c>
      <c r="O45" s="15" t="n">
        <f aca="false">SUMIFS(Allocations!$J$2:$J$2000,Allocations!$D$2:$D$2000,A45,Allocations!$H$2:$H$2000,"&lt;="&amp;AsOfDate,Allocations!$I$2:$I$2000,"&gt;="&amp;AsOfDate)</f>
        <v>0.5</v>
      </c>
      <c r="P45" s="13" t="n">
        <f aca="false">COUNTIFS(Allocations!$D$2:$D$2000,A45,Allocations!$H$2:$H$2000,"&lt;="&amp;AsOfDate,Allocations!$I$2:$I$2000,"&gt;="&amp;AsOfDate)</f>
        <v>1</v>
      </c>
      <c r="Q45" s="16" t="n">
        <f aca="false">ROUND(J45*MAX(0,1-O45),1)</f>
        <v>20</v>
      </c>
      <c r="R45" s="12" t="str">
        <f aca="false">IF(J45=0,"Non-assignable",IF(O45&gt;OverallocationThreshold,"Overallocated",IF(O45&lt;UnderutilizationThreshold,"Under-utilized","Healthy")))</f>
        <v>Under-utilized</v>
      </c>
      <c r="S45" s="16" t="n">
        <f aca="false">SUMIFS(Actuals!$H$2:$H$6000,Actuals!$E$2:$E$6000,A45,Actuals!$B$2:$B$6000,"&gt;="&amp;DATE(YEAR(AsOfDate),1,1))</f>
        <v>490.2</v>
      </c>
      <c r="T45" s="16" t="n">
        <f aca="false">SUMIFS(Actuals!$H$2:$H$6000,Actuals!$E$2:$E$6000,A45,Actuals!$B$2:$B$6000,"&gt;="&amp;DATE(YEAR(AsOfDate),1,1),Actuals!$I$2:$I$6000,"Yes")</f>
        <v>490.2</v>
      </c>
      <c r="U45" s="15" t="n">
        <f aca="false">IF(S45=0,0,T45/S45)</f>
        <v>1</v>
      </c>
    </row>
    <row r="46" customFormat="false" ht="15" hidden="false" customHeight="false" outlineLevel="0" collapsed="false">
      <c r="A46" s="18" t="s">
        <v>444</v>
      </c>
      <c r="B46" s="18" t="s">
        <v>445</v>
      </c>
      <c r="C46" s="18" t="s">
        <v>436</v>
      </c>
      <c r="D46" s="18" t="s">
        <v>437</v>
      </c>
      <c r="E46" s="18" t="s">
        <v>362</v>
      </c>
      <c r="F46" s="18" t="s">
        <v>321</v>
      </c>
      <c r="G46" s="18" t="s">
        <v>322</v>
      </c>
      <c r="H46" s="28" t="n">
        <v>52.08</v>
      </c>
      <c r="I46" s="28" t="n">
        <v>105</v>
      </c>
      <c r="J46" s="22" t="n">
        <v>40</v>
      </c>
      <c r="K46" s="18" t="s">
        <v>434</v>
      </c>
      <c r="L46" s="21" t="str">
        <f aca="false">IFERROR(INDEX(Resources!$B$2:$B$500,MATCH(K46,Resources!$A$2:$A$500,0)),"")</f>
        <v>Nina Yilmaz</v>
      </c>
      <c r="M46" s="18" t="s">
        <v>441</v>
      </c>
      <c r="N46" s="19" t="n">
        <v>44819</v>
      </c>
      <c r="O46" s="15" t="n">
        <f aca="false">SUMIFS(Allocations!$J$2:$J$2000,Allocations!$D$2:$D$2000,A46,Allocations!$H$2:$H$2000,"&lt;="&amp;AsOfDate,Allocations!$I$2:$I$2000,"&gt;="&amp;AsOfDate)</f>
        <v>0.5</v>
      </c>
      <c r="P46" s="13" t="n">
        <f aca="false">COUNTIFS(Allocations!$D$2:$D$2000,A46,Allocations!$H$2:$H$2000,"&lt;="&amp;AsOfDate,Allocations!$I$2:$I$2000,"&gt;="&amp;AsOfDate)</f>
        <v>1</v>
      </c>
      <c r="Q46" s="16" t="n">
        <f aca="false">ROUND(J46*MAX(0,1-O46),1)</f>
        <v>20</v>
      </c>
      <c r="R46" s="12" t="str">
        <f aca="false">IF(J46=0,"Non-assignable",IF(O46&gt;OverallocationThreshold,"Overallocated",IF(O46&lt;UnderutilizationThreshold,"Under-utilized","Healthy")))</f>
        <v>Under-utilized</v>
      </c>
      <c r="S46" s="16" t="n">
        <f aca="false">SUMIFS(Actuals!$H$2:$H$6000,Actuals!$E$2:$E$6000,A46,Actuals!$B$2:$B$6000,"&gt;="&amp;DATE(YEAR(AsOfDate),1,1))</f>
        <v>692.8</v>
      </c>
      <c r="T46" s="16" t="n">
        <f aca="false">SUMIFS(Actuals!$H$2:$H$6000,Actuals!$E$2:$E$6000,A46,Actuals!$B$2:$B$6000,"&gt;="&amp;DATE(YEAR(AsOfDate),1,1),Actuals!$I$2:$I$6000,"Yes")</f>
        <v>692.8</v>
      </c>
      <c r="U46" s="15" t="n">
        <f aca="false">IF(S46=0,0,T46/S46)</f>
        <v>1</v>
      </c>
    </row>
    <row r="47" customFormat="false" ht="15" hidden="false" customHeight="false" outlineLevel="0" collapsed="false">
      <c r="A47" s="18" t="s">
        <v>446</v>
      </c>
      <c r="B47" s="18" t="s">
        <v>447</v>
      </c>
      <c r="C47" s="18" t="s">
        <v>436</v>
      </c>
      <c r="D47" s="18" t="s">
        <v>437</v>
      </c>
      <c r="E47" s="18" t="s">
        <v>339</v>
      </c>
      <c r="F47" s="18" t="s">
        <v>337</v>
      </c>
      <c r="G47" s="18" t="s">
        <v>322</v>
      </c>
      <c r="H47" s="28" t="n">
        <v>56</v>
      </c>
      <c r="I47" s="28" t="n">
        <v>115</v>
      </c>
      <c r="J47" s="22" t="n">
        <v>40</v>
      </c>
      <c r="K47" s="18" t="s">
        <v>434</v>
      </c>
      <c r="L47" s="21" t="str">
        <f aca="false">IFERROR(INDEX(Resources!$B$2:$B$500,MATCH(K47,Resources!$A$2:$A$500,0)),"")</f>
        <v>Nina Yilmaz</v>
      </c>
      <c r="M47" s="18" t="s">
        <v>438</v>
      </c>
      <c r="N47" s="19" t="n">
        <v>44862</v>
      </c>
      <c r="O47" s="15" t="n">
        <f aca="false">SUMIFS(Allocations!$J$2:$J$2000,Allocations!$D$2:$D$2000,A47,Allocations!$H$2:$H$2000,"&lt;="&amp;AsOfDate,Allocations!$I$2:$I$2000,"&gt;="&amp;AsOfDate)</f>
        <v>1</v>
      </c>
      <c r="P47" s="13" t="n">
        <f aca="false">COUNTIFS(Allocations!$D$2:$D$2000,A47,Allocations!$H$2:$H$2000,"&lt;="&amp;AsOfDate,Allocations!$I$2:$I$2000,"&gt;="&amp;AsOfDate)</f>
        <v>2</v>
      </c>
      <c r="Q47" s="16" t="n">
        <f aca="false">ROUND(J47*MAX(0,1-O47),1)</f>
        <v>0</v>
      </c>
      <c r="R47" s="12" t="str">
        <f aca="false">IF(J47=0,"Non-assignable",IF(O47&gt;OverallocationThreshold,"Overallocated",IF(O47&lt;UnderutilizationThreshold,"Under-utilized","Healthy")))</f>
        <v>Healthy</v>
      </c>
      <c r="S47" s="16" t="n">
        <f aca="false">SUMIFS(Actuals!$H$2:$H$6000,Actuals!$E$2:$E$6000,A47,Actuals!$B$2:$B$6000,"&gt;="&amp;DATE(YEAR(AsOfDate),1,1))</f>
        <v>626.6</v>
      </c>
      <c r="T47" s="16" t="n">
        <f aca="false">SUMIFS(Actuals!$H$2:$H$6000,Actuals!$E$2:$E$6000,A47,Actuals!$B$2:$B$6000,"&gt;="&amp;DATE(YEAR(AsOfDate),1,1),Actuals!$I$2:$I$6000,"Yes")</f>
        <v>626.6</v>
      </c>
      <c r="U47" s="15" t="n">
        <f aca="false">IF(S47=0,0,T47/S47)</f>
        <v>1</v>
      </c>
    </row>
    <row r="48" customFormat="false" ht="15" hidden="false" customHeight="false" outlineLevel="0" collapsed="false">
      <c r="A48" s="18" t="s">
        <v>448</v>
      </c>
      <c r="B48" s="18" t="s">
        <v>449</v>
      </c>
      <c r="C48" s="18" t="s">
        <v>436</v>
      </c>
      <c r="D48" s="18" t="s">
        <v>437</v>
      </c>
      <c r="E48" s="18" t="s">
        <v>331</v>
      </c>
      <c r="F48" s="18" t="s">
        <v>356</v>
      </c>
      <c r="G48" s="18" t="s">
        <v>322</v>
      </c>
      <c r="H48" s="28" t="n">
        <v>64.96</v>
      </c>
      <c r="I48" s="28" t="n">
        <v>135</v>
      </c>
      <c r="J48" s="22" t="n">
        <v>40</v>
      </c>
      <c r="K48" s="18" t="s">
        <v>434</v>
      </c>
      <c r="L48" s="21" t="str">
        <f aca="false">IFERROR(INDEX(Resources!$B$2:$B$500,MATCH(K48,Resources!$A$2:$A$500,0)),"")</f>
        <v>Nina Yilmaz</v>
      </c>
      <c r="M48" s="18" t="s">
        <v>441</v>
      </c>
      <c r="N48" s="19" t="n">
        <v>45018</v>
      </c>
      <c r="O48" s="15" t="n">
        <f aca="false">SUMIFS(Allocations!$J$2:$J$2000,Allocations!$D$2:$D$2000,A48,Allocations!$H$2:$H$2000,"&lt;="&amp;AsOfDate,Allocations!$I$2:$I$2000,"&gt;="&amp;AsOfDate)</f>
        <v>1</v>
      </c>
      <c r="P48" s="13" t="n">
        <f aca="false">COUNTIFS(Allocations!$D$2:$D$2000,A48,Allocations!$H$2:$H$2000,"&lt;="&amp;AsOfDate,Allocations!$I$2:$I$2000,"&gt;="&amp;AsOfDate)</f>
        <v>2</v>
      </c>
      <c r="Q48" s="16" t="n">
        <f aca="false">ROUND(J48*MAX(0,1-O48),1)</f>
        <v>0</v>
      </c>
      <c r="R48" s="12" t="str">
        <f aca="false">IF(J48=0,"Non-assignable",IF(O48&gt;OverallocationThreshold,"Overallocated",IF(O48&lt;UnderutilizationThreshold,"Under-utilized","Healthy")))</f>
        <v>Healthy</v>
      </c>
      <c r="S48" s="16" t="n">
        <f aca="false">SUMIFS(Actuals!$H$2:$H$6000,Actuals!$E$2:$E$6000,A48,Actuals!$B$2:$B$6000,"&gt;="&amp;DATE(YEAR(AsOfDate),1,1))</f>
        <v>776.8</v>
      </c>
      <c r="T48" s="16" t="n">
        <f aca="false">SUMIFS(Actuals!$H$2:$H$6000,Actuals!$E$2:$E$6000,A48,Actuals!$B$2:$B$6000,"&gt;="&amp;DATE(YEAR(AsOfDate),1,1),Actuals!$I$2:$I$6000,"Yes")</f>
        <v>776.8</v>
      </c>
      <c r="U48" s="15" t="n">
        <f aca="false">IF(S48=0,0,T48/S48)</f>
        <v>1</v>
      </c>
    </row>
    <row r="49" customFormat="false" ht="15" hidden="false" customHeight="false" outlineLevel="0" collapsed="false">
      <c r="A49" s="18" t="s">
        <v>450</v>
      </c>
      <c r="B49" s="18" t="s">
        <v>451</v>
      </c>
      <c r="C49" s="18" t="s">
        <v>452</v>
      </c>
      <c r="D49" s="18" t="s">
        <v>134</v>
      </c>
      <c r="E49" s="18" t="s">
        <v>331</v>
      </c>
      <c r="F49" s="18" t="s">
        <v>321</v>
      </c>
      <c r="G49" s="18" t="s">
        <v>322</v>
      </c>
      <c r="H49" s="28" t="n">
        <v>104.4</v>
      </c>
      <c r="I49" s="28" t="n">
        <v>210</v>
      </c>
      <c r="J49" s="22" t="n">
        <v>40</v>
      </c>
      <c r="K49" s="18" t="s">
        <v>324</v>
      </c>
      <c r="L49" s="21" t="str">
        <f aca="false">IFERROR(INDEX(Resources!$B$2:$B$500,MATCH(K49,Resources!$A$2:$A$500,0)),"")</f>
        <v>Gordon Achebe</v>
      </c>
      <c r="M49" s="18" t="s">
        <v>453</v>
      </c>
      <c r="N49" s="19" t="n">
        <v>43640</v>
      </c>
      <c r="O49" s="15" t="n">
        <f aca="false">SUMIFS(Allocations!$J$2:$J$2000,Allocations!$D$2:$D$2000,A49,Allocations!$H$2:$H$2000,"&lt;="&amp;AsOfDate,Allocations!$I$2:$I$2000,"&gt;="&amp;AsOfDate)</f>
        <v>1</v>
      </c>
      <c r="P49" s="13" t="n">
        <f aca="false">COUNTIFS(Allocations!$D$2:$D$2000,A49,Allocations!$H$2:$H$2000,"&lt;="&amp;AsOfDate,Allocations!$I$2:$I$2000,"&gt;="&amp;AsOfDate)</f>
        <v>1</v>
      </c>
      <c r="Q49" s="16" t="n">
        <f aca="false">ROUND(J49*MAX(0,1-O49),1)</f>
        <v>0</v>
      </c>
      <c r="R49" s="12" t="str">
        <f aca="false">IF(J49=0,"Non-assignable",IF(O49&gt;OverallocationThreshold,"Overallocated",IF(O49&lt;UnderutilizationThreshold,"Under-utilized","Healthy")))</f>
        <v>Healthy</v>
      </c>
      <c r="S49" s="16" t="n">
        <f aca="false">SUMIFS(Actuals!$H$2:$H$6000,Actuals!$E$2:$E$6000,A49,Actuals!$B$2:$B$6000,"&gt;="&amp;DATE(YEAR(AsOfDate),1,1))</f>
        <v>1538.7</v>
      </c>
      <c r="T49" s="16" t="n">
        <f aca="false">SUMIFS(Actuals!$H$2:$H$6000,Actuals!$E$2:$E$6000,A49,Actuals!$B$2:$B$6000,"&gt;="&amp;DATE(YEAR(AsOfDate),1,1),Actuals!$I$2:$I$6000,"Yes")</f>
        <v>1538.7</v>
      </c>
      <c r="U49" s="15" t="n">
        <f aca="false">IF(S49=0,0,T49/S49)</f>
        <v>1</v>
      </c>
    </row>
    <row r="50" customFormat="false" ht="15" hidden="false" customHeight="false" outlineLevel="0" collapsed="false">
      <c r="A50" s="18" t="s">
        <v>454</v>
      </c>
      <c r="B50" s="18" t="s">
        <v>455</v>
      </c>
      <c r="C50" s="18" t="s">
        <v>452</v>
      </c>
      <c r="D50" s="18" t="s">
        <v>134</v>
      </c>
      <c r="E50" s="18" t="s">
        <v>336</v>
      </c>
      <c r="F50" s="18" t="s">
        <v>321</v>
      </c>
      <c r="G50" s="18" t="s">
        <v>322</v>
      </c>
      <c r="H50" s="28" t="n">
        <v>76.5</v>
      </c>
      <c r="I50" s="28" t="n">
        <v>155</v>
      </c>
      <c r="J50" s="22" t="n">
        <v>40</v>
      </c>
      <c r="K50" s="18" t="s">
        <v>450</v>
      </c>
      <c r="L50" s="21" t="str">
        <f aca="false">IFERROR(INDEX(Resources!$B$2:$B$500,MATCH(K50,Resources!$A$2:$A$500,0)),"")</f>
        <v>Tessa Rossi</v>
      </c>
      <c r="M50" s="18" t="s">
        <v>456</v>
      </c>
      <c r="N50" s="19" t="n">
        <v>45654</v>
      </c>
      <c r="O50" s="15" t="n">
        <f aca="false">SUMIFS(Allocations!$J$2:$J$2000,Allocations!$D$2:$D$2000,A50,Allocations!$H$2:$H$2000,"&lt;="&amp;AsOfDate,Allocations!$I$2:$I$2000,"&gt;="&amp;AsOfDate)</f>
        <v>0.75</v>
      </c>
      <c r="P50" s="13" t="n">
        <f aca="false">COUNTIFS(Allocations!$D$2:$D$2000,A50,Allocations!$H$2:$H$2000,"&lt;="&amp;AsOfDate,Allocations!$I$2:$I$2000,"&gt;="&amp;AsOfDate)</f>
        <v>1</v>
      </c>
      <c r="Q50" s="16" t="n">
        <f aca="false">ROUND(J50*MAX(0,1-O50),1)</f>
        <v>10</v>
      </c>
      <c r="R50" s="12" t="str">
        <f aca="false">IF(J50=0,"Non-assignable",IF(O50&gt;OverallocationThreshold,"Overallocated",IF(O50&lt;UnderutilizationThreshold,"Under-utilized","Healthy")))</f>
        <v>Healthy</v>
      </c>
      <c r="S50" s="16" t="n">
        <f aca="false">SUMIFS(Actuals!$H$2:$H$6000,Actuals!$E$2:$E$6000,A50,Actuals!$B$2:$B$6000,"&gt;="&amp;DATE(YEAR(AsOfDate),1,1))</f>
        <v>1102.6</v>
      </c>
      <c r="T50" s="16" t="n">
        <f aca="false">SUMIFS(Actuals!$H$2:$H$6000,Actuals!$E$2:$E$6000,A50,Actuals!$B$2:$B$6000,"&gt;="&amp;DATE(YEAR(AsOfDate),1,1),Actuals!$I$2:$I$6000,"Yes")</f>
        <v>1102.6</v>
      </c>
      <c r="U50" s="15" t="n">
        <f aca="false">IF(S50=0,0,T50/S50)</f>
        <v>1</v>
      </c>
    </row>
    <row r="51" customFormat="false" ht="15" hidden="false" customHeight="false" outlineLevel="0" collapsed="false">
      <c r="A51" s="18" t="s">
        <v>457</v>
      </c>
      <c r="B51" s="18" t="s">
        <v>458</v>
      </c>
      <c r="C51" s="18" t="s">
        <v>452</v>
      </c>
      <c r="D51" s="18" t="s">
        <v>134</v>
      </c>
      <c r="E51" s="18" t="s">
        <v>331</v>
      </c>
      <c r="F51" s="18" t="s">
        <v>334</v>
      </c>
      <c r="G51" s="18" t="s">
        <v>322</v>
      </c>
      <c r="H51" s="28" t="n">
        <v>104.4</v>
      </c>
      <c r="I51" s="28" t="n">
        <v>210</v>
      </c>
      <c r="J51" s="22" t="n">
        <v>32</v>
      </c>
      <c r="K51" s="18" t="s">
        <v>450</v>
      </c>
      <c r="L51" s="21" t="str">
        <f aca="false">IFERROR(INDEX(Resources!$B$2:$B$500,MATCH(K51,Resources!$A$2:$A$500,0)),"")</f>
        <v>Tessa Rossi</v>
      </c>
      <c r="M51" s="18" t="s">
        <v>453</v>
      </c>
      <c r="N51" s="19" t="n">
        <v>42665</v>
      </c>
      <c r="O51" s="15" t="n">
        <f aca="false">SUMIFS(Allocations!$J$2:$J$2000,Allocations!$D$2:$D$2000,A51,Allocations!$H$2:$H$2000,"&lt;="&amp;AsOfDate,Allocations!$I$2:$I$2000,"&gt;="&amp;AsOfDate)</f>
        <v>0.75</v>
      </c>
      <c r="P51" s="13" t="n">
        <f aca="false">COUNTIFS(Allocations!$D$2:$D$2000,A51,Allocations!$H$2:$H$2000,"&lt;="&amp;AsOfDate,Allocations!$I$2:$I$2000,"&gt;="&amp;AsOfDate)</f>
        <v>1</v>
      </c>
      <c r="Q51" s="16" t="n">
        <f aca="false">ROUND(J51*MAX(0,1-O51),1)</f>
        <v>8</v>
      </c>
      <c r="R51" s="12" t="str">
        <f aca="false">IF(J51=0,"Non-assignable",IF(O51&gt;OverallocationThreshold,"Overallocated",IF(O51&lt;UnderutilizationThreshold,"Under-utilized","Healthy")))</f>
        <v>Healthy</v>
      </c>
      <c r="S51" s="16" t="n">
        <f aca="false">SUMIFS(Actuals!$H$2:$H$6000,Actuals!$E$2:$E$6000,A51,Actuals!$B$2:$B$6000,"&gt;="&amp;DATE(YEAR(AsOfDate),1,1))</f>
        <v>679.4</v>
      </c>
      <c r="T51" s="16" t="n">
        <f aca="false">SUMIFS(Actuals!$H$2:$H$6000,Actuals!$E$2:$E$6000,A51,Actuals!$B$2:$B$6000,"&gt;="&amp;DATE(YEAR(AsOfDate),1,1),Actuals!$I$2:$I$6000,"Yes")</f>
        <v>679.4</v>
      </c>
      <c r="U51" s="15" t="n">
        <f aca="false">IF(S51=0,0,T51/S51)</f>
        <v>1</v>
      </c>
    </row>
    <row r="52" customFormat="false" ht="15" hidden="false" customHeight="false" outlineLevel="0" collapsed="false">
      <c r="A52" s="18" t="s">
        <v>459</v>
      </c>
      <c r="B52" s="18" t="s">
        <v>460</v>
      </c>
      <c r="C52" s="18" t="s">
        <v>452</v>
      </c>
      <c r="D52" s="18" t="s">
        <v>134</v>
      </c>
      <c r="E52" s="18" t="s">
        <v>344</v>
      </c>
      <c r="F52" s="18" t="s">
        <v>334</v>
      </c>
      <c r="G52" s="18" t="s">
        <v>322</v>
      </c>
      <c r="H52" s="28" t="n">
        <v>97.2</v>
      </c>
      <c r="I52" s="28" t="n">
        <v>195</v>
      </c>
      <c r="J52" s="22" t="n">
        <v>40</v>
      </c>
      <c r="K52" s="18" t="s">
        <v>450</v>
      </c>
      <c r="L52" s="21" t="str">
        <f aca="false">IFERROR(INDEX(Resources!$B$2:$B$500,MATCH(K52,Resources!$A$2:$A$500,0)),"")</f>
        <v>Tessa Rossi</v>
      </c>
      <c r="M52" s="18" t="s">
        <v>461</v>
      </c>
      <c r="N52" s="19" t="n">
        <v>42041</v>
      </c>
      <c r="O52" s="15" t="n">
        <f aca="false">SUMIFS(Allocations!$J$2:$J$2000,Allocations!$D$2:$D$2000,A52,Allocations!$H$2:$H$2000,"&lt;="&amp;AsOfDate,Allocations!$I$2:$I$2000,"&gt;="&amp;AsOfDate)</f>
        <v>0.75</v>
      </c>
      <c r="P52" s="13" t="n">
        <f aca="false">COUNTIFS(Allocations!$D$2:$D$2000,A52,Allocations!$H$2:$H$2000,"&lt;="&amp;AsOfDate,Allocations!$I$2:$I$2000,"&gt;="&amp;AsOfDate)</f>
        <v>1</v>
      </c>
      <c r="Q52" s="16" t="n">
        <f aca="false">ROUND(J52*MAX(0,1-O52),1)</f>
        <v>10</v>
      </c>
      <c r="R52" s="12" t="str">
        <f aca="false">IF(J52=0,"Non-assignable",IF(O52&gt;OverallocationThreshold,"Overallocated",IF(O52&lt;UnderutilizationThreshold,"Under-utilized","Healthy")))</f>
        <v>Healthy</v>
      </c>
      <c r="S52" s="16" t="n">
        <f aca="false">SUMIFS(Actuals!$H$2:$H$6000,Actuals!$E$2:$E$6000,A52,Actuals!$B$2:$B$6000,"&gt;="&amp;DATE(YEAR(AsOfDate),1,1))</f>
        <v>1249</v>
      </c>
      <c r="T52" s="16" t="n">
        <f aca="false">SUMIFS(Actuals!$H$2:$H$6000,Actuals!$E$2:$E$6000,A52,Actuals!$B$2:$B$6000,"&gt;="&amp;DATE(YEAR(AsOfDate),1,1),Actuals!$I$2:$I$6000,"Yes")</f>
        <v>1249</v>
      </c>
      <c r="U52" s="15" t="n">
        <f aca="false">IF(S52=0,0,T52/S52)</f>
        <v>1</v>
      </c>
    </row>
    <row r="53" customFormat="false" ht="15" hidden="false" customHeight="false" outlineLevel="0" collapsed="false">
      <c r="A53" s="18" t="s">
        <v>462</v>
      </c>
      <c r="B53" s="18" t="s">
        <v>463</v>
      </c>
      <c r="C53" s="18" t="s">
        <v>464</v>
      </c>
      <c r="D53" s="18" t="s">
        <v>134</v>
      </c>
      <c r="E53" s="18" t="s">
        <v>331</v>
      </c>
      <c r="F53" s="18" t="s">
        <v>356</v>
      </c>
      <c r="G53" s="18" t="s">
        <v>322</v>
      </c>
      <c r="H53" s="28" t="n">
        <v>113.68</v>
      </c>
      <c r="I53" s="28" t="n">
        <v>230</v>
      </c>
      <c r="J53" s="22" t="n">
        <v>40</v>
      </c>
      <c r="K53" s="18" t="s">
        <v>450</v>
      </c>
      <c r="L53" s="21" t="str">
        <f aca="false">IFERROR(INDEX(Resources!$B$2:$B$500,MATCH(K53,Resources!$A$2:$A$500,0)),"")</f>
        <v>Tessa Rossi</v>
      </c>
      <c r="M53" s="18" t="s">
        <v>465</v>
      </c>
      <c r="N53" s="19" t="n">
        <v>42527</v>
      </c>
      <c r="O53" s="15" t="n">
        <f aca="false">SUMIFS(Allocations!$J$2:$J$2000,Allocations!$D$2:$D$2000,A53,Allocations!$H$2:$H$2000,"&lt;="&amp;AsOfDate,Allocations!$I$2:$I$2000,"&gt;="&amp;AsOfDate)</f>
        <v>1</v>
      </c>
      <c r="P53" s="13" t="n">
        <f aca="false">COUNTIFS(Allocations!$D$2:$D$2000,A53,Allocations!$H$2:$H$2000,"&lt;="&amp;AsOfDate,Allocations!$I$2:$I$2000,"&gt;="&amp;AsOfDate)</f>
        <v>2</v>
      </c>
      <c r="Q53" s="16" t="n">
        <f aca="false">ROUND(J53*MAX(0,1-O53),1)</f>
        <v>0</v>
      </c>
      <c r="R53" s="12" t="str">
        <f aca="false">IF(J53=0,"Non-assignable",IF(O53&gt;OverallocationThreshold,"Overallocated",IF(O53&lt;UnderutilizationThreshold,"Under-utilized","Healthy")))</f>
        <v>Healthy</v>
      </c>
      <c r="S53" s="16" t="n">
        <f aca="false">SUMIFS(Actuals!$H$2:$H$6000,Actuals!$E$2:$E$6000,A53,Actuals!$B$2:$B$6000,"&gt;="&amp;DATE(YEAR(AsOfDate),1,1))</f>
        <v>1180.2</v>
      </c>
      <c r="T53" s="16" t="n">
        <f aca="false">SUMIFS(Actuals!$H$2:$H$6000,Actuals!$E$2:$E$6000,A53,Actuals!$B$2:$B$6000,"&gt;="&amp;DATE(YEAR(AsOfDate),1,1),Actuals!$I$2:$I$6000,"Yes")</f>
        <v>1180.2</v>
      </c>
      <c r="U53" s="15" t="n">
        <f aca="false">IF(S53=0,0,T53/S53)</f>
        <v>1</v>
      </c>
    </row>
    <row r="54" customFormat="false" ht="15" hidden="false" customHeight="false" outlineLevel="0" collapsed="false">
      <c r="A54" s="18" t="s">
        <v>466</v>
      </c>
      <c r="B54" s="18" t="s">
        <v>467</v>
      </c>
      <c r="C54" s="18" t="s">
        <v>464</v>
      </c>
      <c r="D54" s="18" t="s">
        <v>134</v>
      </c>
      <c r="E54" s="18" t="s">
        <v>339</v>
      </c>
      <c r="F54" s="18" t="s">
        <v>334</v>
      </c>
      <c r="G54" s="18" t="s">
        <v>322</v>
      </c>
      <c r="H54" s="28" t="n">
        <v>98</v>
      </c>
      <c r="I54" s="28" t="n">
        <v>200</v>
      </c>
      <c r="J54" s="22" t="n">
        <v>40</v>
      </c>
      <c r="K54" s="18" t="s">
        <v>450</v>
      </c>
      <c r="L54" s="21" t="str">
        <f aca="false">IFERROR(INDEX(Resources!$B$2:$B$500,MATCH(K54,Resources!$A$2:$A$500,0)),"")</f>
        <v>Tessa Rossi</v>
      </c>
      <c r="M54" s="18" t="s">
        <v>419</v>
      </c>
      <c r="N54" s="19" t="n">
        <v>43864</v>
      </c>
      <c r="O54" s="15" t="n">
        <f aca="false">SUMIFS(Allocations!$J$2:$J$2000,Allocations!$D$2:$D$2000,A54,Allocations!$H$2:$H$2000,"&lt;="&amp;AsOfDate,Allocations!$I$2:$I$2000,"&gt;="&amp;AsOfDate)</f>
        <v>0.75</v>
      </c>
      <c r="P54" s="13" t="n">
        <f aca="false">COUNTIFS(Allocations!$D$2:$D$2000,A54,Allocations!$H$2:$H$2000,"&lt;="&amp;AsOfDate,Allocations!$I$2:$I$2000,"&gt;="&amp;AsOfDate)</f>
        <v>1</v>
      </c>
      <c r="Q54" s="16" t="n">
        <f aca="false">ROUND(J54*MAX(0,1-O54),1)</f>
        <v>10</v>
      </c>
      <c r="R54" s="12" t="str">
        <f aca="false">IF(J54=0,"Non-assignable",IF(O54&gt;OverallocationThreshold,"Overallocated",IF(O54&lt;UnderutilizationThreshold,"Under-utilized","Healthy")))</f>
        <v>Healthy</v>
      </c>
      <c r="S54" s="16" t="n">
        <f aca="false">SUMIFS(Actuals!$H$2:$H$6000,Actuals!$E$2:$E$6000,A54,Actuals!$B$2:$B$6000,"&gt;="&amp;DATE(YEAR(AsOfDate),1,1))</f>
        <v>960.3</v>
      </c>
      <c r="T54" s="16" t="n">
        <f aca="false">SUMIFS(Actuals!$H$2:$H$6000,Actuals!$E$2:$E$6000,A54,Actuals!$B$2:$B$6000,"&gt;="&amp;DATE(YEAR(AsOfDate),1,1),Actuals!$I$2:$I$6000,"Yes")</f>
        <v>960.3</v>
      </c>
      <c r="U54" s="15" t="n">
        <f aca="false">IF(S54=0,0,T54/S54)</f>
        <v>1</v>
      </c>
    </row>
    <row r="55" customFormat="false" ht="15" hidden="false" customHeight="false" outlineLevel="0" collapsed="false">
      <c r="A55" s="18" t="s">
        <v>468</v>
      </c>
      <c r="B55" s="18" t="s">
        <v>469</v>
      </c>
      <c r="C55" s="18" t="s">
        <v>464</v>
      </c>
      <c r="D55" s="18" t="s">
        <v>134</v>
      </c>
      <c r="E55" s="18" t="s">
        <v>331</v>
      </c>
      <c r="F55" s="18" t="s">
        <v>352</v>
      </c>
      <c r="G55" s="18" t="s">
        <v>322</v>
      </c>
      <c r="H55" s="28" t="n">
        <v>113.68</v>
      </c>
      <c r="I55" s="28" t="n">
        <v>230</v>
      </c>
      <c r="J55" s="22" t="n">
        <v>40</v>
      </c>
      <c r="K55" s="18" t="s">
        <v>450</v>
      </c>
      <c r="L55" s="21" t="str">
        <f aca="false">IFERROR(INDEX(Resources!$B$2:$B$500,MATCH(K55,Resources!$A$2:$A$500,0)),"")</f>
        <v>Tessa Rossi</v>
      </c>
      <c r="M55" s="18" t="s">
        <v>465</v>
      </c>
      <c r="N55" s="19" t="n">
        <v>45111</v>
      </c>
      <c r="O55" s="15" t="n">
        <f aca="false">SUMIFS(Allocations!$J$2:$J$2000,Allocations!$D$2:$D$2000,A55,Allocations!$H$2:$H$2000,"&lt;="&amp;AsOfDate,Allocations!$I$2:$I$2000,"&gt;="&amp;AsOfDate)</f>
        <v>0.75</v>
      </c>
      <c r="P55" s="13" t="n">
        <f aca="false">COUNTIFS(Allocations!$D$2:$D$2000,A55,Allocations!$H$2:$H$2000,"&lt;="&amp;AsOfDate,Allocations!$I$2:$I$2000,"&gt;="&amp;AsOfDate)</f>
        <v>1</v>
      </c>
      <c r="Q55" s="16" t="n">
        <f aca="false">ROUND(J55*MAX(0,1-O55),1)</f>
        <v>10</v>
      </c>
      <c r="R55" s="12" t="str">
        <f aca="false">IF(J55=0,"Non-assignable",IF(O55&gt;OverallocationThreshold,"Overallocated",IF(O55&lt;UnderutilizationThreshold,"Under-utilized","Healthy")))</f>
        <v>Healthy</v>
      </c>
      <c r="S55" s="16" t="n">
        <f aca="false">SUMIFS(Actuals!$H$2:$H$6000,Actuals!$E$2:$E$6000,A55,Actuals!$B$2:$B$6000,"&gt;="&amp;DATE(YEAR(AsOfDate),1,1))</f>
        <v>206</v>
      </c>
      <c r="T55" s="16" t="n">
        <f aca="false">SUMIFS(Actuals!$H$2:$H$6000,Actuals!$E$2:$E$6000,A55,Actuals!$B$2:$B$6000,"&gt;="&amp;DATE(YEAR(AsOfDate),1,1),Actuals!$I$2:$I$6000,"Yes")</f>
        <v>206</v>
      </c>
      <c r="U55" s="15" t="n">
        <f aca="false">IF(S55=0,0,T55/S55)</f>
        <v>1</v>
      </c>
    </row>
    <row r="56" customFormat="false" ht="15" hidden="false" customHeight="false" outlineLevel="0" collapsed="false">
      <c r="A56" s="18" t="s">
        <v>470</v>
      </c>
      <c r="B56" s="18" t="s">
        <v>471</v>
      </c>
      <c r="C56" s="18" t="s">
        <v>472</v>
      </c>
      <c r="D56" s="18" t="s">
        <v>473</v>
      </c>
      <c r="E56" s="18" t="s">
        <v>331</v>
      </c>
      <c r="F56" s="18" t="s">
        <v>334</v>
      </c>
      <c r="G56" s="18" t="s">
        <v>322</v>
      </c>
      <c r="H56" s="28" t="n">
        <v>109.04</v>
      </c>
      <c r="I56" s="28" t="n">
        <v>220</v>
      </c>
      <c r="J56" s="22" t="n">
        <v>40</v>
      </c>
      <c r="K56" s="18" t="s">
        <v>324</v>
      </c>
      <c r="L56" s="21" t="str">
        <f aca="false">IFERROR(INDEX(Resources!$B$2:$B$500,MATCH(K56,Resources!$A$2:$A$500,0)),"")</f>
        <v>Gordon Achebe</v>
      </c>
      <c r="M56" s="18" t="s">
        <v>474</v>
      </c>
      <c r="N56" s="19" t="n">
        <v>42645</v>
      </c>
      <c r="O56" s="15" t="n">
        <f aca="false">SUMIFS(Allocations!$J$2:$J$2000,Allocations!$D$2:$D$2000,A56,Allocations!$H$2:$H$2000,"&lt;="&amp;AsOfDate,Allocations!$I$2:$I$2000,"&gt;="&amp;AsOfDate)</f>
        <v>1</v>
      </c>
      <c r="P56" s="13" t="n">
        <f aca="false">COUNTIFS(Allocations!$D$2:$D$2000,A56,Allocations!$H$2:$H$2000,"&lt;="&amp;AsOfDate,Allocations!$I$2:$I$2000,"&gt;="&amp;AsOfDate)</f>
        <v>1</v>
      </c>
      <c r="Q56" s="16" t="n">
        <f aca="false">ROUND(J56*MAX(0,1-O56),1)</f>
        <v>0</v>
      </c>
      <c r="R56" s="12" t="str">
        <f aca="false">IF(J56=0,"Non-assignable",IF(O56&gt;OverallocationThreshold,"Overallocated",IF(O56&lt;UnderutilizationThreshold,"Under-utilized","Healthy")))</f>
        <v>Healthy</v>
      </c>
      <c r="S56" s="16" t="n">
        <f aca="false">SUMIFS(Actuals!$H$2:$H$6000,Actuals!$E$2:$E$6000,A56,Actuals!$B$2:$B$6000,"&gt;="&amp;DATE(YEAR(AsOfDate),1,1))</f>
        <v>1186.9</v>
      </c>
      <c r="T56" s="16" t="n">
        <f aca="false">SUMIFS(Actuals!$H$2:$H$6000,Actuals!$E$2:$E$6000,A56,Actuals!$B$2:$B$6000,"&gt;="&amp;DATE(YEAR(AsOfDate),1,1),Actuals!$I$2:$I$6000,"Yes")</f>
        <v>1186.9</v>
      </c>
      <c r="U56" s="15" t="n">
        <f aca="false">IF(S56=0,0,T56/S56)</f>
        <v>1</v>
      </c>
    </row>
    <row r="57" customFormat="false" ht="15" hidden="false" customHeight="false" outlineLevel="0" collapsed="false">
      <c r="A57" s="18" t="s">
        <v>475</v>
      </c>
      <c r="B57" s="18" t="s">
        <v>476</v>
      </c>
      <c r="C57" s="18" t="s">
        <v>472</v>
      </c>
      <c r="D57" s="18" t="s">
        <v>473</v>
      </c>
      <c r="E57" s="18" t="s">
        <v>339</v>
      </c>
      <c r="F57" s="18" t="s">
        <v>321</v>
      </c>
      <c r="G57" s="18" t="s">
        <v>377</v>
      </c>
      <c r="H57" s="28" t="n">
        <v>117.5</v>
      </c>
      <c r="I57" s="28" t="n">
        <v>190</v>
      </c>
      <c r="J57" s="22" t="n">
        <v>40</v>
      </c>
      <c r="K57" s="18" t="s">
        <v>470</v>
      </c>
      <c r="L57" s="21" t="str">
        <f aca="false">IFERROR(INDEX(Resources!$B$2:$B$500,MATCH(K57,Resources!$A$2:$A$500,0)),"")</f>
        <v>Rohan Keller</v>
      </c>
      <c r="M57" s="18" t="s">
        <v>474</v>
      </c>
      <c r="N57" s="19" t="n">
        <v>45779</v>
      </c>
      <c r="O57" s="15" t="n">
        <f aca="false">SUMIFS(Allocations!$J$2:$J$2000,Allocations!$D$2:$D$2000,A57,Allocations!$H$2:$H$2000,"&lt;="&amp;AsOfDate,Allocations!$I$2:$I$2000,"&gt;="&amp;AsOfDate)</f>
        <v>0.75</v>
      </c>
      <c r="P57" s="13" t="n">
        <f aca="false">COUNTIFS(Allocations!$D$2:$D$2000,A57,Allocations!$H$2:$H$2000,"&lt;="&amp;AsOfDate,Allocations!$I$2:$I$2000,"&gt;="&amp;AsOfDate)</f>
        <v>1</v>
      </c>
      <c r="Q57" s="16" t="n">
        <f aca="false">ROUND(J57*MAX(0,1-O57),1)</f>
        <v>10</v>
      </c>
      <c r="R57" s="12" t="str">
        <f aca="false">IF(J57=0,"Non-assignable",IF(O57&gt;OverallocationThreshold,"Overallocated",IF(O57&lt;UnderutilizationThreshold,"Under-utilized","Healthy")))</f>
        <v>Healthy</v>
      </c>
      <c r="S57" s="16" t="n">
        <f aca="false">SUMIFS(Actuals!$H$2:$H$6000,Actuals!$E$2:$E$6000,A57,Actuals!$B$2:$B$6000,"&gt;="&amp;DATE(YEAR(AsOfDate),1,1))</f>
        <v>1231.5</v>
      </c>
      <c r="T57" s="16" t="n">
        <f aca="false">SUMIFS(Actuals!$H$2:$H$6000,Actuals!$E$2:$E$6000,A57,Actuals!$B$2:$B$6000,"&gt;="&amp;DATE(YEAR(AsOfDate),1,1),Actuals!$I$2:$I$6000,"Yes")</f>
        <v>1231.5</v>
      </c>
      <c r="U57" s="15" t="n">
        <f aca="false">IF(S57=0,0,T57/S57)</f>
        <v>1</v>
      </c>
    </row>
    <row r="58" customFormat="false" ht="15" hidden="false" customHeight="false" outlineLevel="0" collapsed="false">
      <c r="A58" s="18" t="s">
        <v>477</v>
      </c>
      <c r="B58" s="18" t="s">
        <v>478</v>
      </c>
      <c r="C58" s="18" t="s">
        <v>472</v>
      </c>
      <c r="D58" s="18" t="s">
        <v>473</v>
      </c>
      <c r="E58" s="18" t="s">
        <v>331</v>
      </c>
      <c r="F58" s="18" t="s">
        <v>321</v>
      </c>
      <c r="G58" s="18" t="s">
        <v>322</v>
      </c>
      <c r="H58" s="28" t="n">
        <v>109.04</v>
      </c>
      <c r="I58" s="28" t="n">
        <v>220</v>
      </c>
      <c r="J58" s="22" t="n">
        <v>40</v>
      </c>
      <c r="K58" s="18" t="s">
        <v>470</v>
      </c>
      <c r="L58" s="21" t="str">
        <f aca="false">IFERROR(INDEX(Resources!$B$2:$B$500,MATCH(K58,Resources!$A$2:$A$500,0)),"")</f>
        <v>Rohan Keller</v>
      </c>
      <c r="M58" s="18" t="s">
        <v>479</v>
      </c>
      <c r="N58" s="19" t="n">
        <v>43583</v>
      </c>
      <c r="O58" s="15" t="n">
        <f aca="false">SUMIFS(Allocations!$J$2:$J$2000,Allocations!$D$2:$D$2000,A58,Allocations!$H$2:$H$2000,"&lt;="&amp;AsOfDate,Allocations!$I$2:$I$2000,"&gt;="&amp;AsOfDate)</f>
        <v>0.75</v>
      </c>
      <c r="P58" s="13" t="n">
        <f aca="false">COUNTIFS(Allocations!$D$2:$D$2000,A58,Allocations!$H$2:$H$2000,"&lt;="&amp;AsOfDate,Allocations!$I$2:$I$2000,"&gt;="&amp;AsOfDate)</f>
        <v>1</v>
      </c>
      <c r="Q58" s="16" t="n">
        <f aca="false">ROUND(J58*MAX(0,1-O58),1)</f>
        <v>10</v>
      </c>
      <c r="R58" s="12" t="str">
        <f aca="false">IF(J58=0,"Non-assignable",IF(O58&gt;OverallocationThreshold,"Overallocated",IF(O58&lt;UnderutilizationThreshold,"Under-utilized","Healthy")))</f>
        <v>Healthy</v>
      </c>
      <c r="S58" s="16" t="n">
        <f aca="false">SUMIFS(Actuals!$H$2:$H$6000,Actuals!$E$2:$E$6000,A58,Actuals!$B$2:$B$6000,"&gt;="&amp;DATE(YEAR(AsOfDate),1,1))</f>
        <v>1016.1</v>
      </c>
      <c r="T58" s="16" t="n">
        <f aca="false">SUMIFS(Actuals!$H$2:$H$6000,Actuals!$E$2:$E$6000,A58,Actuals!$B$2:$B$6000,"&gt;="&amp;DATE(YEAR(AsOfDate),1,1),Actuals!$I$2:$I$6000,"Yes")</f>
        <v>1016.1</v>
      </c>
      <c r="U58" s="15" t="n">
        <f aca="false">IF(S58=0,0,T58/S58)</f>
        <v>1</v>
      </c>
    </row>
    <row r="59" customFormat="false" ht="15" hidden="false" customHeight="false" outlineLevel="0" collapsed="false">
      <c r="A59" s="18" t="s">
        <v>480</v>
      </c>
      <c r="B59" s="18" t="s">
        <v>481</v>
      </c>
      <c r="C59" s="18" t="s">
        <v>472</v>
      </c>
      <c r="D59" s="18" t="s">
        <v>473</v>
      </c>
      <c r="E59" s="18" t="s">
        <v>344</v>
      </c>
      <c r="F59" s="18" t="s">
        <v>340</v>
      </c>
      <c r="G59" s="18" t="s">
        <v>377</v>
      </c>
      <c r="H59" s="28" t="n">
        <v>126.9</v>
      </c>
      <c r="I59" s="28" t="n">
        <v>205</v>
      </c>
      <c r="J59" s="22" t="n">
        <v>40</v>
      </c>
      <c r="K59" s="18" t="s">
        <v>470</v>
      </c>
      <c r="L59" s="21" t="str">
        <f aca="false">IFERROR(INDEX(Resources!$B$2:$B$500,MATCH(K59,Resources!$A$2:$A$500,0)),"")</f>
        <v>Rohan Keller</v>
      </c>
      <c r="M59" s="18" t="s">
        <v>482</v>
      </c>
      <c r="N59" s="19" t="n">
        <v>46183</v>
      </c>
      <c r="O59" s="15" t="n">
        <f aca="false">SUMIFS(Allocations!$J$2:$J$2000,Allocations!$D$2:$D$2000,A59,Allocations!$H$2:$H$2000,"&lt;="&amp;AsOfDate,Allocations!$I$2:$I$2000,"&gt;="&amp;AsOfDate)</f>
        <v>0</v>
      </c>
      <c r="P59" s="13" t="n">
        <f aca="false">COUNTIFS(Allocations!$D$2:$D$2000,A59,Allocations!$H$2:$H$2000,"&lt;="&amp;AsOfDate,Allocations!$I$2:$I$2000,"&gt;="&amp;AsOfDate)</f>
        <v>0</v>
      </c>
      <c r="Q59" s="16" t="n">
        <f aca="false">ROUND(J59*MAX(0,1-O59),1)</f>
        <v>40</v>
      </c>
      <c r="R59" s="12" t="str">
        <f aca="false">IF(J59=0,"Non-assignable",IF(O59&gt;OverallocationThreshold,"Overallocated",IF(O59&lt;UnderutilizationThreshold,"Under-utilized","Healthy")))</f>
        <v>Under-utilized</v>
      </c>
      <c r="S59" s="16" t="n">
        <f aca="false">SUMIFS(Actuals!$H$2:$H$6000,Actuals!$E$2:$E$6000,A59,Actuals!$B$2:$B$6000,"&gt;="&amp;DATE(YEAR(AsOfDate),1,1))</f>
        <v>0</v>
      </c>
      <c r="T59" s="16" t="n">
        <f aca="false">SUMIFS(Actuals!$H$2:$H$6000,Actuals!$E$2:$E$6000,A59,Actuals!$B$2:$B$6000,"&gt;="&amp;DATE(YEAR(AsOfDate),1,1),Actuals!$I$2:$I$6000,"Yes")</f>
        <v>0</v>
      </c>
      <c r="U59" s="15" t="n">
        <f aca="false">IF(S59=0,0,T59/S59)</f>
        <v>0</v>
      </c>
    </row>
    <row r="60" customFormat="false" ht="15" hidden="false" customHeight="false" outlineLevel="0" collapsed="false">
      <c r="A60" s="18" t="s">
        <v>483</v>
      </c>
      <c r="B60" s="18" t="s">
        <v>484</v>
      </c>
      <c r="C60" s="18" t="s">
        <v>485</v>
      </c>
      <c r="D60" s="18" t="s">
        <v>473</v>
      </c>
      <c r="E60" s="18" t="s">
        <v>331</v>
      </c>
      <c r="F60" s="18" t="s">
        <v>321</v>
      </c>
      <c r="G60" s="18" t="s">
        <v>322</v>
      </c>
      <c r="H60" s="28" t="n">
        <v>99.76</v>
      </c>
      <c r="I60" s="28" t="n">
        <v>205</v>
      </c>
      <c r="J60" s="22" t="n">
        <v>40</v>
      </c>
      <c r="K60" s="18" t="s">
        <v>470</v>
      </c>
      <c r="L60" s="21" t="str">
        <f aca="false">IFERROR(INDEX(Resources!$B$2:$B$500,MATCH(K60,Resources!$A$2:$A$500,0)),"")</f>
        <v>Rohan Keller</v>
      </c>
      <c r="M60" s="18" t="s">
        <v>486</v>
      </c>
      <c r="N60" s="19" t="n">
        <v>44849</v>
      </c>
      <c r="O60" s="15" t="n">
        <f aca="false">SUMIFS(Allocations!$J$2:$J$2000,Allocations!$D$2:$D$2000,A60,Allocations!$H$2:$H$2000,"&lt;="&amp;AsOfDate,Allocations!$I$2:$I$2000,"&gt;="&amp;AsOfDate)</f>
        <v>0.5</v>
      </c>
      <c r="P60" s="13" t="n">
        <f aca="false">COUNTIFS(Allocations!$D$2:$D$2000,A60,Allocations!$H$2:$H$2000,"&lt;="&amp;AsOfDate,Allocations!$I$2:$I$2000,"&gt;="&amp;AsOfDate)</f>
        <v>1</v>
      </c>
      <c r="Q60" s="16" t="n">
        <f aca="false">ROUND(J60*MAX(0,1-O60),1)</f>
        <v>20</v>
      </c>
      <c r="R60" s="12" t="str">
        <f aca="false">IF(J60=0,"Non-assignable",IF(O60&gt;OverallocationThreshold,"Overallocated",IF(O60&lt;UnderutilizationThreshold,"Under-utilized","Healthy")))</f>
        <v>Under-utilized</v>
      </c>
      <c r="S60" s="16" t="n">
        <f aca="false">SUMIFS(Actuals!$H$2:$H$6000,Actuals!$E$2:$E$6000,A60,Actuals!$B$2:$B$6000,"&gt;="&amp;DATE(YEAR(AsOfDate),1,1))</f>
        <v>605.4</v>
      </c>
      <c r="T60" s="16" t="n">
        <f aca="false">SUMIFS(Actuals!$H$2:$H$6000,Actuals!$E$2:$E$6000,A60,Actuals!$B$2:$B$6000,"&gt;="&amp;DATE(YEAR(AsOfDate),1,1),Actuals!$I$2:$I$6000,"Yes")</f>
        <v>605.4</v>
      </c>
      <c r="U60" s="15" t="n">
        <f aca="false">IF(S60=0,0,T60/S60)</f>
        <v>1</v>
      </c>
    </row>
    <row r="61" customFormat="false" ht="15" hidden="false" customHeight="false" outlineLevel="0" collapsed="false">
      <c r="A61" s="18" t="s">
        <v>487</v>
      </c>
      <c r="B61" s="18" t="s">
        <v>488</v>
      </c>
      <c r="C61" s="18" t="s">
        <v>485</v>
      </c>
      <c r="D61" s="18" t="s">
        <v>473</v>
      </c>
      <c r="E61" s="18" t="s">
        <v>362</v>
      </c>
      <c r="F61" s="18" t="s">
        <v>334</v>
      </c>
      <c r="G61" s="18" t="s">
        <v>322</v>
      </c>
      <c r="H61" s="28" t="n">
        <v>79.98</v>
      </c>
      <c r="I61" s="28" t="n">
        <v>165</v>
      </c>
      <c r="J61" s="22" t="n">
        <v>40</v>
      </c>
      <c r="K61" s="18" t="s">
        <v>470</v>
      </c>
      <c r="L61" s="21" t="str">
        <f aca="false">IFERROR(INDEX(Resources!$B$2:$B$500,MATCH(K61,Resources!$A$2:$A$500,0)),"")</f>
        <v>Rohan Keller</v>
      </c>
      <c r="M61" s="18" t="s">
        <v>486</v>
      </c>
      <c r="N61" s="19" t="n">
        <v>45716</v>
      </c>
      <c r="O61" s="15" t="n">
        <f aca="false">SUMIFS(Allocations!$J$2:$J$2000,Allocations!$D$2:$D$2000,A61,Allocations!$H$2:$H$2000,"&lt;="&amp;AsOfDate,Allocations!$I$2:$I$2000,"&gt;="&amp;AsOfDate)</f>
        <v>0.5</v>
      </c>
      <c r="P61" s="13" t="n">
        <f aca="false">COUNTIFS(Allocations!$D$2:$D$2000,A61,Allocations!$H$2:$H$2000,"&lt;="&amp;AsOfDate,Allocations!$I$2:$I$2000,"&gt;="&amp;AsOfDate)</f>
        <v>1</v>
      </c>
      <c r="Q61" s="16" t="n">
        <f aca="false">ROUND(J61*MAX(0,1-O61),1)</f>
        <v>20</v>
      </c>
      <c r="R61" s="12" t="str">
        <f aca="false">IF(J61=0,"Non-assignable",IF(O61&gt;OverallocationThreshold,"Overallocated",IF(O61&lt;UnderutilizationThreshold,"Under-utilized","Healthy")))</f>
        <v>Under-utilized</v>
      </c>
      <c r="S61" s="16" t="n">
        <f aca="false">SUMIFS(Actuals!$H$2:$H$6000,Actuals!$E$2:$E$6000,A61,Actuals!$B$2:$B$6000,"&gt;="&amp;DATE(YEAR(AsOfDate),1,1))</f>
        <v>829.2</v>
      </c>
      <c r="T61" s="16" t="n">
        <f aca="false">SUMIFS(Actuals!$H$2:$H$6000,Actuals!$E$2:$E$6000,A61,Actuals!$B$2:$B$6000,"&gt;="&amp;DATE(YEAR(AsOfDate),1,1),Actuals!$I$2:$I$6000,"Yes")</f>
        <v>829.2</v>
      </c>
      <c r="U61" s="15" t="n">
        <f aca="false">IF(S61=0,0,T61/S61)</f>
        <v>1</v>
      </c>
    </row>
    <row r="62" customFormat="false" ht="15" hidden="false" customHeight="false" outlineLevel="0" collapsed="false">
      <c r="A62" s="18" t="s">
        <v>489</v>
      </c>
      <c r="B62" s="18" t="s">
        <v>490</v>
      </c>
      <c r="C62" s="18" t="s">
        <v>485</v>
      </c>
      <c r="D62" s="18" t="s">
        <v>473</v>
      </c>
      <c r="E62" s="18" t="s">
        <v>339</v>
      </c>
      <c r="F62" s="18" t="s">
        <v>340</v>
      </c>
      <c r="G62" s="18" t="s">
        <v>322</v>
      </c>
      <c r="H62" s="28" t="n">
        <v>86</v>
      </c>
      <c r="I62" s="28" t="n">
        <v>175</v>
      </c>
      <c r="J62" s="22" t="n">
        <v>40</v>
      </c>
      <c r="K62" s="18" t="s">
        <v>470</v>
      </c>
      <c r="L62" s="21" t="str">
        <f aca="false">IFERROR(INDEX(Resources!$B$2:$B$500,MATCH(K62,Resources!$A$2:$A$500,0)),"")</f>
        <v>Rohan Keller</v>
      </c>
      <c r="M62" s="18" t="s">
        <v>491</v>
      </c>
      <c r="N62" s="19" t="n">
        <v>44995</v>
      </c>
      <c r="O62" s="15" t="n">
        <f aca="false">SUMIFS(Allocations!$J$2:$J$2000,Allocations!$D$2:$D$2000,A62,Allocations!$H$2:$H$2000,"&lt;="&amp;AsOfDate,Allocations!$I$2:$I$2000,"&gt;="&amp;AsOfDate)</f>
        <v>0.5</v>
      </c>
      <c r="P62" s="13" t="n">
        <f aca="false">COUNTIFS(Allocations!$D$2:$D$2000,A62,Allocations!$H$2:$H$2000,"&lt;="&amp;AsOfDate,Allocations!$I$2:$I$2000,"&gt;="&amp;AsOfDate)</f>
        <v>1</v>
      </c>
      <c r="Q62" s="16" t="n">
        <f aca="false">ROUND(J62*MAX(0,1-O62),1)</f>
        <v>20</v>
      </c>
      <c r="R62" s="12" t="str">
        <f aca="false">IF(J62=0,"Non-assignable",IF(O62&gt;OverallocationThreshold,"Overallocated",IF(O62&lt;UnderutilizationThreshold,"Under-utilized","Healthy")))</f>
        <v>Under-utilized</v>
      </c>
      <c r="S62" s="16" t="n">
        <f aca="false">SUMIFS(Actuals!$H$2:$H$6000,Actuals!$E$2:$E$6000,A62,Actuals!$B$2:$B$6000,"&gt;="&amp;DATE(YEAR(AsOfDate),1,1))</f>
        <v>695.3</v>
      </c>
      <c r="T62" s="16" t="n">
        <f aca="false">SUMIFS(Actuals!$H$2:$H$6000,Actuals!$E$2:$E$6000,A62,Actuals!$B$2:$B$6000,"&gt;="&amp;DATE(YEAR(AsOfDate),1,1),Actuals!$I$2:$I$6000,"Yes")</f>
        <v>695.3</v>
      </c>
      <c r="U62" s="15" t="n">
        <f aca="false">IF(S62=0,0,T62/S62)</f>
        <v>1</v>
      </c>
    </row>
    <row r="63" customFormat="false" ht="15" hidden="false" customHeight="false" outlineLevel="0" collapsed="false">
      <c r="A63" s="18" t="s">
        <v>492</v>
      </c>
      <c r="B63" s="18" t="s">
        <v>493</v>
      </c>
      <c r="C63" s="18" t="s">
        <v>494</v>
      </c>
      <c r="D63" s="18" t="s">
        <v>366</v>
      </c>
      <c r="E63" s="18" t="s">
        <v>331</v>
      </c>
      <c r="F63" s="18" t="s">
        <v>334</v>
      </c>
      <c r="G63" s="18" t="s">
        <v>322</v>
      </c>
      <c r="H63" s="28" t="n">
        <v>83.52</v>
      </c>
      <c r="I63" s="28" t="n">
        <v>175</v>
      </c>
      <c r="J63" s="22" t="n">
        <v>40</v>
      </c>
      <c r="K63" s="18" t="s">
        <v>363</v>
      </c>
      <c r="L63" s="21" t="str">
        <f aca="false">IFERROR(INDEX(Resources!$B$2:$B$500,MATCH(K63,Resources!$A$2:$A$500,0)),"")</f>
        <v>Zara Vasquez</v>
      </c>
      <c r="M63" s="18" t="s">
        <v>495</v>
      </c>
      <c r="N63" s="19" t="n">
        <v>45506</v>
      </c>
      <c r="O63" s="15" t="n">
        <f aca="false">SUMIFS(Allocations!$J$2:$J$2000,Allocations!$D$2:$D$2000,A63,Allocations!$H$2:$H$2000,"&lt;="&amp;AsOfDate,Allocations!$I$2:$I$2000,"&gt;="&amp;AsOfDate)</f>
        <v>0.5</v>
      </c>
      <c r="P63" s="13" t="n">
        <f aca="false">COUNTIFS(Allocations!$D$2:$D$2000,A63,Allocations!$H$2:$H$2000,"&lt;="&amp;AsOfDate,Allocations!$I$2:$I$2000,"&gt;="&amp;AsOfDate)</f>
        <v>2</v>
      </c>
      <c r="Q63" s="16" t="n">
        <f aca="false">ROUND(J63*MAX(0,1-O63),1)</f>
        <v>20</v>
      </c>
      <c r="R63" s="12" t="str">
        <f aca="false">IF(J63=0,"Non-assignable",IF(O63&gt;OverallocationThreshold,"Overallocated",IF(O63&lt;UnderutilizationThreshold,"Under-utilized","Healthy")))</f>
        <v>Under-utilized</v>
      </c>
      <c r="S63" s="16" t="n">
        <f aca="false">SUMIFS(Actuals!$H$2:$H$6000,Actuals!$E$2:$E$6000,A63,Actuals!$B$2:$B$6000,"&gt;="&amp;DATE(YEAR(AsOfDate),1,1))</f>
        <v>391.6</v>
      </c>
      <c r="T63" s="16" t="n">
        <f aca="false">SUMIFS(Actuals!$H$2:$H$6000,Actuals!$E$2:$E$6000,A63,Actuals!$B$2:$B$6000,"&gt;="&amp;DATE(YEAR(AsOfDate),1,1),Actuals!$I$2:$I$6000,"Yes")</f>
        <v>391.6</v>
      </c>
      <c r="U63" s="15" t="n">
        <f aca="false">IF(S63=0,0,T63/S63)</f>
        <v>1</v>
      </c>
    </row>
    <row r="64" customFormat="false" ht="15" hidden="false" customHeight="false" outlineLevel="0" collapsed="false">
      <c r="A64" s="18" t="s">
        <v>496</v>
      </c>
      <c r="B64" s="18" t="s">
        <v>497</v>
      </c>
      <c r="C64" s="18" t="s">
        <v>494</v>
      </c>
      <c r="D64" s="18" t="s">
        <v>366</v>
      </c>
      <c r="E64" s="18" t="s">
        <v>344</v>
      </c>
      <c r="F64" s="18" t="s">
        <v>321</v>
      </c>
      <c r="G64" s="18" t="s">
        <v>322</v>
      </c>
      <c r="H64" s="28" t="n">
        <v>77.76</v>
      </c>
      <c r="I64" s="28" t="n">
        <v>160</v>
      </c>
      <c r="J64" s="22" t="n">
        <v>32</v>
      </c>
      <c r="K64" s="18" t="s">
        <v>363</v>
      </c>
      <c r="L64" s="21" t="str">
        <f aca="false">IFERROR(INDEX(Resources!$B$2:$B$500,MATCH(K64,Resources!$A$2:$A$500,0)),"")</f>
        <v>Zara Vasquez</v>
      </c>
      <c r="M64" s="18" t="s">
        <v>498</v>
      </c>
      <c r="N64" s="19" t="n">
        <v>42665</v>
      </c>
      <c r="O64" s="15" t="n">
        <f aca="false">SUMIFS(Allocations!$J$2:$J$2000,Allocations!$D$2:$D$2000,A64,Allocations!$H$2:$H$2000,"&lt;="&amp;AsOfDate,Allocations!$I$2:$I$2000,"&gt;="&amp;AsOfDate)</f>
        <v>0.5</v>
      </c>
      <c r="P64" s="13" t="n">
        <f aca="false">COUNTIFS(Allocations!$D$2:$D$2000,A64,Allocations!$H$2:$H$2000,"&lt;="&amp;AsOfDate,Allocations!$I$2:$I$2000,"&gt;="&amp;AsOfDate)</f>
        <v>2</v>
      </c>
      <c r="Q64" s="16" t="n">
        <f aca="false">ROUND(J64*MAX(0,1-O64),1)</f>
        <v>16</v>
      </c>
      <c r="R64" s="12" t="str">
        <f aca="false">IF(J64=0,"Non-assignable",IF(O64&gt;OverallocationThreshold,"Overallocated",IF(O64&lt;UnderutilizationThreshold,"Under-utilized","Healthy")))</f>
        <v>Under-utilized</v>
      </c>
      <c r="S64" s="16" t="n">
        <f aca="false">SUMIFS(Actuals!$H$2:$H$6000,Actuals!$E$2:$E$6000,A64,Actuals!$B$2:$B$6000,"&gt;="&amp;DATE(YEAR(AsOfDate),1,1))</f>
        <v>307.1</v>
      </c>
      <c r="T64" s="16" t="n">
        <f aca="false">SUMIFS(Actuals!$H$2:$H$6000,Actuals!$E$2:$E$6000,A64,Actuals!$B$2:$B$6000,"&gt;="&amp;DATE(YEAR(AsOfDate),1,1),Actuals!$I$2:$I$6000,"Yes")</f>
        <v>307.1</v>
      </c>
      <c r="U64" s="15" t="n">
        <f aca="false">IF(S64=0,0,T64/S64)</f>
        <v>1</v>
      </c>
    </row>
  </sheetData>
  <conditionalFormatting sqref="R2:R64">
    <cfRule type="cellIs" priority="2" operator="equal" aboveAverage="0" equalAverage="0" bottom="0" percent="0" rank="0" text="" dxfId="12">
      <formula>"Overallocated"</formula>
    </cfRule>
    <cfRule type="cellIs" priority="3" operator="equal" aboveAverage="0" equalAverage="0" bottom="0" percent="0" rank="0" text="" dxfId="13">
      <formula>"Under-utilized"</formula>
    </cfRule>
    <cfRule type="cellIs" priority="4" operator="equal" aboveAverage="0" equalAverage="0" bottom="0" percent="0" rank="0" text="" dxfId="14">
      <formula>"Healthy"</formula>
    </cfRule>
    <cfRule type="cellIs" priority="5" operator="equal" aboveAverage="0" equalAverage="0" bottom="0" percent="0" rank="0" text="" dxfId="15">
      <formula>"Non-assignable"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S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19" min="19" style="0" width="9"/>
  </cols>
  <sheetData>
    <row r="1" customFormat="false" ht="30" hidden="false" customHeight="true" outlineLevel="0" collapsed="false">
      <c r="A1" s="20" t="s">
        <v>499</v>
      </c>
      <c r="B1" s="20" t="s">
        <v>41</v>
      </c>
      <c r="C1" s="20" t="s">
        <v>147</v>
      </c>
      <c r="D1" s="20" t="s">
        <v>43</v>
      </c>
      <c r="E1" s="20" t="s">
        <v>500</v>
      </c>
      <c r="F1" s="20" t="s">
        <v>501</v>
      </c>
      <c r="G1" s="20" t="s">
        <v>502</v>
      </c>
      <c r="H1" s="20" t="s">
        <v>308</v>
      </c>
      <c r="I1" s="20" t="s">
        <v>503</v>
      </c>
      <c r="J1" s="20" t="s">
        <v>504</v>
      </c>
      <c r="K1" s="20" t="s">
        <v>505</v>
      </c>
      <c r="L1" s="20" t="s">
        <v>506</v>
      </c>
      <c r="M1" s="20" t="s">
        <v>507</v>
      </c>
      <c r="N1" s="20" t="s">
        <v>302</v>
      </c>
      <c r="O1" s="20" t="s">
        <v>303</v>
      </c>
      <c r="P1" s="20" t="s">
        <v>508</v>
      </c>
      <c r="Q1" s="20" t="s">
        <v>509</v>
      </c>
      <c r="R1" s="20" t="s">
        <v>170</v>
      </c>
      <c r="S1" s="20" t="s">
        <v>510</v>
      </c>
    </row>
    <row r="2" customFormat="false" ht="15" hidden="false" customHeight="false" outlineLevel="0" collapsed="false">
      <c r="A2" s="18" t="s">
        <v>511</v>
      </c>
      <c r="B2" s="18" t="s">
        <v>197</v>
      </c>
      <c r="C2" s="21" t="str">
        <f aca="false">IFERROR(INDEX(Projects!$B$2:$B$500,MATCH(B2,Projects!$A$2:$A$500,0)),"")</f>
        <v>Patient Portal Modernization</v>
      </c>
      <c r="D2" s="18" t="s">
        <v>201</v>
      </c>
      <c r="E2" s="21" t="str">
        <f aca="false">IFERROR(INDEX(Resources!$B$2:$B$500,MATCH(D2,Resources!$A$2:$A$500,0)),"")</f>
        <v>Aisha Tremblay</v>
      </c>
      <c r="F2" s="18" t="s">
        <v>512</v>
      </c>
      <c r="G2" s="18" t="s">
        <v>513</v>
      </c>
      <c r="H2" s="19" t="n">
        <v>45964</v>
      </c>
      <c r="I2" s="19" t="n">
        <v>46329</v>
      </c>
      <c r="J2" s="24" t="n">
        <v>0.5</v>
      </c>
      <c r="K2" s="12" t="str">
        <f aca="false">IF(AND(AsOfDate&gt;=H2,AsOfDate&lt;=I2),"Yes","No")</f>
        <v>Yes</v>
      </c>
      <c r="L2" s="13" t="n">
        <f aca="false">NETWORKDAYS(H2,I2)</f>
        <v>262</v>
      </c>
      <c r="M2" s="16" t="n">
        <f aca="false">ROUND(L2*INDEX(Resources!$J$2:$J$500,MATCH(D2,Resources!$A$2:$A$500,0))/5*J2,1)</f>
        <v>1048</v>
      </c>
      <c r="N2" s="29" t="n">
        <f aca="false">INDEX(Resources!$H$2:$H$500,MATCH(D2,Resources!$A$2:$A$500,0))</f>
        <v>102.08</v>
      </c>
      <c r="O2" s="29" t="n">
        <f aca="false">INDEX(Resources!$I$2:$I$500,MATCH(D2,Resources!$A$2:$A$500,0))</f>
        <v>205</v>
      </c>
      <c r="P2" s="14" t="n">
        <f aca="false">M2*N2</f>
        <v>106979.84</v>
      </c>
      <c r="Q2" s="14" t="n">
        <f aca="false">IF(G2="Yes",M2*O2,0)</f>
        <v>214840</v>
      </c>
      <c r="R2" s="16" t="n">
        <f aca="false">SUMIFS(Actuals!$H$2:$H$6000,Actuals!$C$2:$C$6000,B2,Actuals!$E$2:$E$6000,D2)</f>
        <v>829.1</v>
      </c>
      <c r="S2" s="15" t="n">
        <f aca="false">IF(M2=0,0,R2/M2)</f>
        <v>0.791125954198473</v>
      </c>
    </row>
    <row r="3" customFormat="false" ht="15" hidden="false" customHeight="false" outlineLevel="0" collapsed="false">
      <c r="A3" s="18" t="s">
        <v>514</v>
      </c>
      <c r="B3" s="18" t="s">
        <v>197</v>
      </c>
      <c r="C3" s="21" t="str">
        <f aca="false">IFERROR(INDEX(Projects!$B$2:$B$500,MATCH(B3,Projects!$A$2:$A$500,0)),"")</f>
        <v>Patient Portal Modernization</v>
      </c>
      <c r="D3" s="18" t="s">
        <v>379</v>
      </c>
      <c r="E3" s="21" t="str">
        <f aca="false">IFERROR(INDEX(Resources!$B$2:$B$500,MATCH(D3,Resources!$A$2:$A$500,0)),"")</f>
        <v>Diego Costa</v>
      </c>
      <c r="F3" s="18" t="s">
        <v>381</v>
      </c>
      <c r="G3" s="18" t="s">
        <v>513</v>
      </c>
      <c r="H3" s="19" t="n">
        <v>45964</v>
      </c>
      <c r="I3" s="19" t="n">
        <v>46162</v>
      </c>
      <c r="J3" s="24" t="n">
        <v>0.75</v>
      </c>
      <c r="K3" s="12" t="str">
        <f aca="false">IF(AND(AsOfDate&gt;=H3,AsOfDate&lt;=I3),"Yes","No")</f>
        <v>No</v>
      </c>
      <c r="L3" s="13" t="n">
        <f aca="false">NETWORKDAYS(H3,I3)</f>
        <v>143</v>
      </c>
      <c r="M3" s="16" t="n">
        <f aca="false">ROUND(L3*INDEX(Resources!$J$2:$J$500,MATCH(D3,Resources!$A$2:$A$500,0))/5*J3,1)</f>
        <v>858</v>
      </c>
      <c r="N3" s="29" t="n">
        <f aca="false">INDEX(Resources!$H$2:$H$500,MATCH(D3,Resources!$A$2:$A$500,0))</f>
        <v>85.84</v>
      </c>
      <c r="O3" s="29" t="n">
        <f aca="false">INDEX(Resources!$I$2:$I$500,MATCH(D3,Resources!$A$2:$A$500,0))</f>
        <v>175</v>
      </c>
      <c r="P3" s="14" t="n">
        <f aca="false">M3*N3</f>
        <v>73650.72</v>
      </c>
      <c r="Q3" s="14" t="n">
        <f aca="false">IF(G3="Yes",M3*O3,0)</f>
        <v>150150</v>
      </c>
      <c r="R3" s="16" t="n">
        <f aca="false">SUMIFS(Actuals!$H$2:$H$6000,Actuals!$C$2:$C$6000,B3,Actuals!$E$2:$E$6000,D3)</f>
        <v>847.6</v>
      </c>
      <c r="S3" s="15" t="n">
        <f aca="false">IF(M3=0,0,R3/M3)</f>
        <v>0.987878787878788</v>
      </c>
    </row>
    <row r="4" customFormat="false" ht="15" hidden="false" customHeight="false" outlineLevel="0" collapsed="false">
      <c r="A4" s="18" t="s">
        <v>515</v>
      </c>
      <c r="B4" s="18" t="s">
        <v>197</v>
      </c>
      <c r="C4" s="21" t="str">
        <f aca="false">IFERROR(INDEX(Projects!$B$2:$B$500,MATCH(B4,Projects!$A$2:$A$500,0)),"")</f>
        <v>Patient Portal Modernization</v>
      </c>
      <c r="D4" s="18" t="s">
        <v>389</v>
      </c>
      <c r="E4" s="21" t="str">
        <f aca="false">IFERROR(INDEX(Resources!$B$2:$B$500,MATCH(D4,Resources!$A$2:$A$500,0)),"")</f>
        <v>Yuki Wright</v>
      </c>
      <c r="F4" s="18" t="s">
        <v>516</v>
      </c>
      <c r="G4" s="18" t="s">
        <v>513</v>
      </c>
      <c r="H4" s="19" t="n">
        <v>45964</v>
      </c>
      <c r="I4" s="19" t="n">
        <v>46329</v>
      </c>
      <c r="J4" s="24" t="n">
        <v>0.75</v>
      </c>
      <c r="K4" s="12" t="str">
        <f aca="false">IF(AND(AsOfDate&gt;=H4,AsOfDate&lt;=I4),"Yes","No")</f>
        <v>Yes</v>
      </c>
      <c r="L4" s="13" t="n">
        <f aca="false">NETWORKDAYS(H4,I4)</f>
        <v>262</v>
      </c>
      <c r="M4" s="16" t="n">
        <f aca="false">ROUND(L4*INDEX(Resources!$J$2:$J$500,MATCH(D4,Resources!$A$2:$A$500,0))/5*J4,1)</f>
        <v>1572</v>
      </c>
      <c r="N4" s="29" t="n">
        <f aca="false">INDEX(Resources!$H$2:$H$500,MATCH(D4,Resources!$A$2:$A$500,0))</f>
        <v>106.72</v>
      </c>
      <c r="O4" s="29" t="n">
        <f aca="false">INDEX(Resources!$I$2:$I$500,MATCH(D4,Resources!$A$2:$A$500,0))</f>
        <v>215</v>
      </c>
      <c r="P4" s="14" t="n">
        <f aca="false">M4*N4</f>
        <v>167763.84</v>
      </c>
      <c r="Q4" s="14" t="n">
        <f aca="false">IF(G4="Yes",M4*O4,0)</f>
        <v>337980</v>
      </c>
      <c r="R4" s="16" t="n">
        <f aca="false">SUMIFS(Actuals!$H$2:$H$6000,Actuals!$C$2:$C$6000,B4,Actuals!$E$2:$E$6000,D4)</f>
        <v>1262</v>
      </c>
      <c r="S4" s="15" t="n">
        <f aca="false">IF(M4=0,0,R4/M4)</f>
        <v>0.802798982188295</v>
      </c>
    </row>
    <row r="5" customFormat="false" ht="15" hidden="false" customHeight="false" outlineLevel="0" collapsed="false">
      <c r="A5" s="18" t="s">
        <v>517</v>
      </c>
      <c r="B5" s="18" t="s">
        <v>197</v>
      </c>
      <c r="C5" s="21" t="str">
        <f aca="false">IFERROR(INDEX(Projects!$B$2:$B$500,MATCH(B5,Projects!$A$2:$A$500,0)),"")</f>
        <v>Patient Portal Modernization</v>
      </c>
      <c r="D5" s="18" t="s">
        <v>409</v>
      </c>
      <c r="E5" s="21" t="str">
        <f aca="false">IFERROR(INDEX(Resources!$B$2:$B$500,MATCH(D5,Resources!$A$2:$A$500,0)),"")</f>
        <v>Jin Alvarez</v>
      </c>
      <c r="F5" s="18" t="s">
        <v>411</v>
      </c>
      <c r="G5" s="18" t="s">
        <v>513</v>
      </c>
      <c r="H5" s="19" t="n">
        <v>45964</v>
      </c>
      <c r="I5" s="19" t="n">
        <v>46329</v>
      </c>
      <c r="J5" s="24" t="n">
        <v>1</v>
      </c>
      <c r="K5" s="12" t="str">
        <f aca="false">IF(AND(AsOfDate&gt;=H5,AsOfDate&lt;=I5),"Yes","No")</f>
        <v>Yes</v>
      </c>
      <c r="L5" s="13" t="n">
        <f aca="false">NETWORKDAYS(H5,I5)</f>
        <v>262</v>
      </c>
      <c r="M5" s="16" t="n">
        <f aca="false">ROUND(L5*INDEX(Resources!$J$2:$J$500,MATCH(D5,Resources!$A$2:$A$500,0))/5*J5,1)</f>
        <v>2096</v>
      </c>
      <c r="N5" s="29" t="n">
        <f aca="false">INDEX(Resources!$H$2:$H$500,MATCH(D5,Resources!$A$2:$A$500,0))</f>
        <v>74.24</v>
      </c>
      <c r="O5" s="29" t="n">
        <f aca="false">INDEX(Resources!$I$2:$I$500,MATCH(D5,Resources!$A$2:$A$500,0))</f>
        <v>150</v>
      </c>
      <c r="P5" s="14" t="n">
        <f aca="false">M5*N5</f>
        <v>155607.04</v>
      </c>
      <c r="Q5" s="14" t="n">
        <f aca="false">IF(G5="Yes",M5*O5,0)</f>
        <v>314400</v>
      </c>
      <c r="R5" s="16" t="n">
        <f aca="false">SUMIFS(Actuals!$H$2:$H$6000,Actuals!$C$2:$C$6000,B5,Actuals!$E$2:$E$6000,D5)</f>
        <v>1670</v>
      </c>
      <c r="S5" s="15" t="n">
        <f aca="false">IF(M5=0,0,R5/M5)</f>
        <v>0.79675572519084</v>
      </c>
    </row>
    <row r="6" customFormat="false" ht="15" hidden="false" customHeight="false" outlineLevel="0" collapsed="false">
      <c r="A6" s="18" t="s">
        <v>518</v>
      </c>
      <c r="B6" s="18" t="s">
        <v>197</v>
      </c>
      <c r="C6" s="21" t="str">
        <f aca="false">IFERROR(INDEX(Projects!$B$2:$B$500,MATCH(B6,Projects!$A$2:$A$500,0)),"")</f>
        <v>Patient Portal Modernization</v>
      </c>
      <c r="D6" s="18" t="s">
        <v>434</v>
      </c>
      <c r="E6" s="21" t="str">
        <f aca="false">IFERROR(INDEX(Resources!$B$2:$B$500,MATCH(D6,Resources!$A$2:$A$500,0)),"")</f>
        <v>Nina Yilmaz</v>
      </c>
      <c r="F6" s="18" t="s">
        <v>436</v>
      </c>
      <c r="G6" s="18" t="s">
        <v>513</v>
      </c>
      <c r="H6" s="19" t="n">
        <v>46126</v>
      </c>
      <c r="I6" s="19" t="n">
        <v>46329</v>
      </c>
      <c r="J6" s="24" t="n">
        <v>0.5</v>
      </c>
      <c r="K6" s="12" t="str">
        <f aca="false">IF(AND(AsOfDate&gt;=H6,AsOfDate&lt;=I6),"Yes","No")</f>
        <v>Yes</v>
      </c>
      <c r="L6" s="13" t="n">
        <f aca="false">NETWORKDAYS(H6,I6)</f>
        <v>146</v>
      </c>
      <c r="M6" s="16" t="n">
        <f aca="false">ROUND(L6*INDEX(Resources!$J$2:$J$500,MATCH(D6,Resources!$A$2:$A$500,0))/5*J6,1)</f>
        <v>584</v>
      </c>
      <c r="N6" s="29" t="n">
        <f aca="false">INDEX(Resources!$H$2:$H$500,MATCH(D6,Resources!$A$2:$A$500,0))</f>
        <v>64.96</v>
      </c>
      <c r="O6" s="29" t="n">
        <f aca="false">INDEX(Resources!$I$2:$I$500,MATCH(D6,Resources!$A$2:$A$500,0))</f>
        <v>135</v>
      </c>
      <c r="P6" s="14" t="n">
        <f aca="false">M6*N6</f>
        <v>37936.64</v>
      </c>
      <c r="Q6" s="14" t="n">
        <f aca="false">IF(G6="Yes",M6*O6,0)</f>
        <v>78840</v>
      </c>
      <c r="R6" s="16" t="n">
        <f aca="false">SUMIFS(Actuals!$H$2:$H$6000,Actuals!$C$2:$C$6000,B6,Actuals!$E$2:$E$6000,D6)</f>
        <v>413.1</v>
      </c>
      <c r="S6" s="15" t="n">
        <f aca="false">IF(M6=0,0,R6/M6)</f>
        <v>0.70736301369863</v>
      </c>
    </row>
    <row r="7" customFormat="false" ht="15" hidden="false" customHeight="false" outlineLevel="0" collapsed="false">
      <c r="A7" s="18" t="s">
        <v>519</v>
      </c>
      <c r="B7" s="18" t="s">
        <v>197</v>
      </c>
      <c r="C7" s="21" t="str">
        <f aca="false">IFERROR(INDEX(Projects!$B$2:$B$500,MATCH(B7,Projects!$A$2:$A$500,0)),"")</f>
        <v>Patient Portal Modernization</v>
      </c>
      <c r="D7" s="18" t="s">
        <v>363</v>
      </c>
      <c r="E7" s="21" t="str">
        <f aca="false">IFERROR(INDEX(Resources!$B$2:$B$500,MATCH(D7,Resources!$A$2:$A$500,0)),"")</f>
        <v>Zara Vasquez</v>
      </c>
      <c r="F7" s="18" t="s">
        <v>365</v>
      </c>
      <c r="G7" s="18" t="s">
        <v>513</v>
      </c>
      <c r="H7" s="19" t="n">
        <v>45964</v>
      </c>
      <c r="I7" s="19" t="n">
        <v>46162</v>
      </c>
      <c r="J7" s="24" t="n">
        <v>0.5</v>
      </c>
      <c r="K7" s="12" t="str">
        <f aca="false">IF(AND(AsOfDate&gt;=H7,AsOfDate&lt;=I7),"Yes","No")</f>
        <v>No</v>
      </c>
      <c r="L7" s="13" t="n">
        <f aca="false">NETWORKDAYS(H7,I7)</f>
        <v>143</v>
      </c>
      <c r="M7" s="16" t="n">
        <f aca="false">ROUND(L7*INDEX(Resources!$J$2:$J$500,MATCH(D7,Resources!$A$2:$A$500,0))/5*J7,1)</f>
        <v>572</v>
      </c>
      <c r="N7" s="29" t="n">
        <f aca="false">INDEX(Resources!$H$2:$H$500,MATCH(D7,Resources!$A$2:$A$500,0))</f>
        <v>78.88</v>
      </c>
      <c r="O7" s="29" t="n">
        <f aca="false">INDEX(Resources!$I$2:$I$500,MATCH(D7,Resources!$A$2:$A$500,0))</f>
        <v>160</v>
      </c>
      <c r="P7" s="14" t="n">
        <f aca="false">M7*N7</f>
        <v>45119.36</v>
      </c>
      <c r="Q7" s="14" t="n">
        <f aca="false">IF(G7="Yes",M7*O7,0)</f>
        <v>91520</v>
      </c>
      <c r="R7" s="16" t="n">
        <f aca="false">SUMIFS(Actuals!$H$2:$H$6000,Actuals!$C$2:$C$6000,B7,Actuals!$E$2:$E$6000,D7)</f>
        <v>563.2</v>
      </c>
      <c r="S7" s="15" t="n">
        <f aca="false">IF(M7=0,0,R7/M7)</f>
        <v>0.984615384615385</v>
      </c>
    </row>
    <row r="8" customFormat="false" ht="15" hidden="false" customHeight="false" outlineLevel="0" collapsed="false">
      <c r="A8" s="18" t="s">
        <v>520</v>
      </c>
      <c r="B8" s="18" t="s">
        <v>207</v>
      </c>
      <c r="C8" s="21" t="str">
        <f aca="false">IFERROR(INDEX(Projects!$B$2:$B$500,MATCH(B8,Projects!$A$2:$A$500,0)),"")</f>
        <v>Claims Automation Engine</v>
      </c>
      <c r="D8" s="18" t="s">
        <v>211</v>
      </c>
      <c r="E8" s="21" t="str">
        <f aca="false">IFERROR(INDEX(Resources!$B$2:$B$500,MATCH(D8,Resources!$A$2:$A$500,0)),"")</f>
        <v>Liam Roy</v>
      </c>
      <c r="F8" s="18" t="s">
        <v>512</v>
      </c>
      <c r="G8" s="18" t="s">
        <v>513</v>
      </c>
      <c r="H8" s="19" t="n">
        <v>46034</v>
      </c>
      <c r="I8" s="19" t="n">
        <v>46391</v>
      </c>
      <c r="J8" s="24" t="n">
        <v>0.25</v>
      </c>
      <c r="K8" s="12" t="str">
        <f aca="false">IF(AND(AsOfDate&gt;=H8,AsOfDate&lt;=I8),"Yes","No")</f>
        <v>Yes</v>
      </c>
      <c r="L8" s="13" t="n">
        <f aca="false">NETWORKDAYS(H8,I8)</f>
        <v>256</v>
      </c>
      <c r="M8" s="16" t="n">
        <f aca="false">ROUND(L8*INDEX(Resources!$J$2:$J$500,MATCH(D8,Resources!$A$2:$A$500,0))/5*J8,1)</f>
        <v>512</v>
      </c>
      <c r="N8" s="29" t="n">
        <f aca="false">INDEX(Resources!$H$2:$H$500,MATCH(D8,Resources!$A$2:$A$500,0))</f>
        <v>102.08</v>
      </c>
      <c r="O8" s="29" t="n">
        <f aca="false">INDEX(Resources!$I$2:$I$500,MATCH(D8,Resources!$A$2:$A$500,0))</f>
        <v>205</v>
      </c>
      <c r="P8" s="14" t="n">
        <f aca="false">M8*N8</f>
        <v>52264.96</v>
      </c>
      <c r="Q8" s="14" t="n">
        <f aca="false">IF(G8="Yes",M8*O8,0)</f>
        <v>104960</v>
      </c>
      <c r="R8" s="16" t="n">
        <f aca="false">SUMIFS(Actuals!$H$2:$H$6000,Actuals!$C$2:$C$6000,B8,Actuals!$E$2:$E$6000,D8)</f>
        <v>463.3</v>
      </c>
      <c r="S8" s="15" t="n">
        <f aca="false">IF(M8=0,0,R8/M8)</f>
        <v>0.9048828125</v>
      </c>
    </row>
    <row r="9" customFormat="false" ht="15" hidden="false" customHeight="false" outlineLevel="0" collapsed="false">
      <c r="A9" s="18" t="s">
        <v>521</v>
      </c>
      <c r="B9" s="18" t="s">
        <v>207</v>
      </c>
      <c r="C9" s="21" t="str">
        <f aca="false">IFERROR(INDEX(Projects!$B$2:$B$500,MATCH(B9,Projects!$A$2:$A$500,0)),"")</f>
        <v>Claims Automation Engine</v>
      </c>
      <c r="D9" s="18" t="s">
        <v>368</v>
      </c>
      <c r="E9" s="21" t="str">
        <f aca="false">IFERROR(INDEX(Resources!$B$2:$B$500,MATCH(D9,Resources!$A$2:$A$500,0)),"")</f>
        <v>Owen Bennett</v>
      </c>
      <c r="F9" s="18" t="s">
        <v>365</v>
      </c>
      <c r="G9" s="18" t="s">
        <v>513</v>
      </c>
      <c r="H9" s="19" t="n">
        <v>46034</v>
      </c>
      <c r="I9" s="19" t="n">
        <v>46391</v>
      </c>
      <c r="J9" s="24" t="n">
        <v>0.5</v>
      </c>
      <c r="K9" s="12" t="str">
        <f aca="false">IF(AND(AsOfDate&gt;=H9,AsOfDate&lt;=I9),"Yes","No")</f>
        <v>Yes</v>
      </c>
      <c r="L9" s="13" t="n">
        <f aca="false">NETWORKDAYS(H9,I9)</f>
        <v>256</v>
      </c>
      <c r="M9" s="16" t="n">
        <f aca="false">ROUND(L9*INDEX(Resources!$J$2:$J$500,MATCH(D9,Resources!$A$2:$A$500,0))/5*J9,1)</f>
        <v>1024</v>
      </c>
      <c r="N9" s="29" t="n">
        <f aca="false">INDEX(Resources!$H$2:$H$500,MATCH(D9,Resources!$A$2:$A$500,0))</f>
        <v>73.44</v>
      </c>
      <c r="O9" s="29" t="n">
        <f aca="false">INDEX(Resources!$I$2:$I$500,MATCH(D9,Resources!$A$2:$A$500,0))</f>
        <v>150</v>
      </c>
      <c r="P9" s="14" t="n">
        <f aca="false">M9*N9</f>
        <v>75202.56</v>
      </c>
      <c r="Q9" s="14" t="n">
        <f aca="false">IF(G9="Yes",M9*O9,0)</f>
        <v>153600</v>
      </c>
      <c r="R9" s="16" t="n">
        <f aca="false">SUMIFS(Actuals!$H$2:$H$6000,Actuals!$C$2:$C$6000,B9,Actuals!$E$2:$E$6000,D9)</f>
        <v>964.5</v>
      </c>
      <c r="S9" s="15" t="n">
        <f aca="false">IF(M9=0,0,R9/M9)</f>
        <v>0.94189453125</v>
      </c>
    </row>
    <row r="10" customFormat="false" ht="15" hidden="false" customHeight="false" outlineLevel="0" collapsed="false">
      <c r="A10" s="18" t="s">
        <v>522</v>
      </c>
      <c r="B10" s="18" t="s">
        <v>207</v>
      </c>
      <c r="C10" s="21" t="str">
        <f aca="false">IFERROR(INDEX(Projects!$B$2:$B$500,MATCH(B10,Projects!$A$2:$A$500,0)),"")</f>
        <v>Claims Automation Engine</v>
      </c>
      <c r="D10" s="18" t="s">
        <v>393</v>
      </c>
      <c r="E10" s="21" t="str">
        <f aca="false">IFERROR(INDEX(Resources!$B$2:$B$500,MATCH(D10,Resources!$A$2:$A$500,0)),"")</f>
        <v>Isabel Gill</v>
      </c>
      <c r="F10" s="18" t="s">
        <v>516</v>
      </c>
      <c r="G10" s="18" t="s">
        <v>513</v>
      </c>
      <c r="H10" s="19" t="n">
        <v>46034</v>
      </c>
      <c r="I10" s="19" t="n">
        <v>46391</v>
      </c>
      <c r="J10" s="24" t="n">
        <v>0.5</v>
      </c>
      <c r="K10" s="12" t="str">
        <f aca="false">IF(AND(AsOfDate&gt;=H10,AsOfDate&lt;=I10),"Yes","No")</f>
        <v>Yes</v>
      </c>
      <c r="L10" s="13" t="n">
        <f aca="false">NETWORKDAYS(H10,I10)</f>
        <v>256</v>
      </c>
      <c r="M10" s="16" t="n">
        <f aca="false">ROUND(L10*INDEX(Resources!$J$2:$J$500,MATCH(D10,Resources!$A$2:$A$500,0))/5*J10,1)</f>
        <v>1024</v>
      </c>
      <c r="N10" s="29" t="n">
        <f aca="false">INDEX(Resources!$H$2:$H$500,MATCH(D10,Resources!$A$2:$A$500,0))</f>
        <v>99.36</v>
      </c>
      <c r="O10" s="29" t="n">
        <f aca="false">INDEX(Resources!$I$2:$I$500,MATCH(D10,Resources!$A$2:$A$500,0))</f>
        <v>200</v>
      </c>
      <c r="P10" s="14" t="n">
        <f aca="false">M10*N10</f>
        <v>101744.64</v>
      </c>
      <c r="Q10" s="14" t="n">
        <f aca="false">IF(G10="Yes",M10*O10,0)</f>
        <v>204800</v>
      </c>
      <c r="R10" s="16" t="n">
        <f aca="false">SUMIFS(Actuals!$H$2:$H$6000,Actuals!$C$2:$C$6000,B10,Actuals!$E$2:$E$6000,D10)</f>
        <v>936.1</v>
      </c>
      <c r="S10" s="15" t="n">
        <f aca="false">IF(M10=0,0,R10/M10)</f>
        <v>0.91416015625</v>
      </c>
    </row>
    <row r="11" customFormat="false" ht="15" hidden="false" customHeight="false" outlineLevel="0" collapsed="false">
      <c r="A11" s="18" t="s">
        <v>523</v>
      </c>
      <c r="B11" s="18" t="s">
        <v>207</v>
      </c>
      <c r="C11" s="21" t="str">
        <f aca="false">IFERROR(INDEX(Projects!$B$2:$B$500,MATCH(B11,Projects!$A$2:$A$500,0)),"")</f>
        <v>Claims Automation Engine</v>
      </c>
      <c r="D11" s="18" t="s">
        <v>412</v>
      </c>
      <c r="E11" s="21" t="str">
        <f aca="false">IFERROR(INDEX(Resources!$B$2:$B$500,MATCH(D11,Resources!$A$2:$A$500,0)),"")</f>
        <v>Maya Osei</v>
      </c>
      <c r="F11" s="18" t="s">
        <v>411</v>
      </c>
      <c r="G11" s="18" t="s">
        <v>513</v>
      </c>
      <c r="H11" s="19" t="n">
        <v>46034</v>
      </c>
      <c r="I11" s="19" t="n">
        <v>46391</v>
      </c>
      <c r="J11" s="24" t="n">
        <v>0.75</v>
      </c>
      <c r="K11" s="12" t="str">
        <f aca="false">IF(AND(AsOfDate&gt;=H11,AsOfDate&lt;=I11),"Yes","No")</f>
        <v>Yes</v>
      </c>
      <c r="L11" s="13" t="n">
        <f aca="false">NETWORKDAYS(H11,I11)</f>
        <v>256</v>
      </c>
      <c r="M11" s="16" t="n">
        <f aca="false">ROUND(L11*INDEX(Resources!$J$2:$J$500,MATCH(D11,Resources!$A$2:$A$500,0))/5*J11,1)</f>
        <v>1536</v>
      </c>
      <c r="N11" s="29" t="n">
        <f aca="false">INDEX(Resources!$H$2:$H$500,MATCH(D11,Resources!$A$2:$A$500,0))</f>
        <v>59.52</v>
      </c>
      <c r="O11" s="29" t="n">
        <f aca="false">INDEX(Resources!$I$2:$I$500,MATCH(D11,Resources!$A$2:$A$500,0))</f>
        <v>120</v>
      </c>
      <c r="P11" s="14" t="n">
        <f aca="false">M11*N11</f>
        <v>91422.72</v>
      </c>
      <c r="Q11" s="14" t="n">
        <f aca="false">IF(G11="Yes",M11*O11,0)</f>
        <v>184320</v>
      </c>
      <c r="R11" s="16" t="n">
        <f aca="false">SUMIFS(Actuals!$H$2:$H$6000,Actuals!$C$2:$C$6000,B11,Actuals!$E$2:$E$6000,D11)</f>
        <v>1410.3</v>
      </c>
      <c r="S11" s="15" t="n">
        <f aca="false">IF(M11=0,0,R11/M11)</f>
        <v>0.9181640625</v>
      </c>
    </row>
    <row r="12" customFormat="false" ht="15" hidden="false" customHeight="false" outlineLevel="0" collapsed="false">
      <c r="A12" s="18" t="s">
        <v>524</v>
      </c>
      <c r="B12" s="18" t="s">
        <v>207</v>
      </c>
      <c r="C12" s="21" t="str">
        <f aca="false">IFERROR(INDEX(Projects!$B$2:$B$500,MATCH(B12,Projects!$A$2:$A$500,0)),"")</f>
        <v>Claims Automation Engine</v>
      </c>
      <c r="D12" s="18" t="s">
        <v>439</v>
      </c>
      <c r="E12" s="21" t="str">
        <f aca="false">IFERROR(INDEX(Resources!$B$2:$B$500,MATCH(D12,Resources!$A$2:$A$500,0)),"")</f>
        <v>Victor Chen</v>
      </c>
      <c r="F12" s="18" t="s">
        <v>436</v>
      </c>
      <c r="G12" s="18" t="s">
        <v>513</v>
      </c>
      <c r="H12" s="19" t="n">
        <v>46187</v>
      </c>
      <c r="I12" s="19" t="n">
        <v>46391</v>
      </c>
      <c r="J12" s="24" t="n">
        <v>0.25</v>
      </c>
      <c r="K12" s="12" t="str">
        <f aca="false">IF(AND(AsOfDate&gt;=H12,AsOfDate&lt;=I12),"Yes","No")</f>
        <v>Yes</v>
      </c>
      <c r="L12" s="13" t="n">
        <f aca="false">NETWORKDAYS(H12,I12)</f>
        <v>146</v>
      </c>
      <c r="M12" s="16" t="n">
        <f aca="false">ROUND(L12*INDEX(Resources!$J$2:$J$500,MATCH(D12,Resources!$A$2:$A$500,0))/5*J12,1)</f>
        <v>292</v>
      </c>
      <c r="N12" s="29" t="n">
        <f aca="false">INDEX(Resources!$H$2:$H$500,MATCH(D12,Resources!$A$2:$A$500,0))</f>
        <v>81.2</v>
      </c>
      <c r="O12" s="29" t="n">
        <f aca="false">INDEX(Resources!$I$2:$I$500,MATCH(D12,Resources!$A$2:$A$500,0))</f>
        <v>135</v>
      </c>
      <c r="P12" s="14" t="n">
        <f aca="false">M12*N12</f>
        <v>23710.4</v>
      </c>
      <c r="Q12" s="14" t="n">
        <f aca="false">IF(G12="Yes",M12*O12,0)</f>
        <v>39420</v>
      </c>
      <c r="R12" s="16" t="n">
        <f aca="false">SUMIFS(Actuals!$H$2:$H$6000,Actuals!$C$2:$C$6000,B12,Actuals!$E$2:$E$6000,D12)</f>
        <v>158.7</v>
      </c>
      <c r="S12" s="15" t="n">
        <f aca="false">IF(M12=0,0,R12/M12)</f>
        <v>0.543493150684932</v>
      </c>
    </row>
    <row r="13" customFormat="false" ht="15" hidden="false" customHeight="false" outlineLevel="0" collapsed="false">
      <c r="A13" s="18" t="s">
        <v>525</v>
      </c>
      <c r="B13" s="18" t="s">
        <v>207</v>
      </c>
      <c r="C13" s="21" t="str">
        <f aca="false">IFERROR(INDEX(Projects!$B$2:$B$500,MATCH(B13,Projects!$A$2:$A$500,0)),"")</f>
        <v>Claims Automation Engine</v>
      </c>
      <c r="D13" s="18" t="s">
        <v>492</v>
      </c>
      <c r="E13" s="21" t="str">
        <f aca="false">IFERROR(INDEX(Resources!$B$2:$B$500,MATCH(D13,Resources!$A$2:$A$500,0)),"")</f>
        <v>Mariam Brooks</v>
      </c>
      <c r="F13" s="18" t="s">
        <v>494</v>
      </c>
      <c r="G13" s="18" t="s">
        <v>513</v>
      </c>
      <c r="H13" s="19" t="n">
        <v>46187</v>
      </c>
      <c r="I13" s="19" t="n">
        <v>46391</v>
      </c>
      <c r="J13" s="24" t="n">
        <v>0.25</v>
      </c>
      <c r="K13" s="12" t="str">
        <f aca="false">IF(AND(AsOfDate&gt;=H13,AsOfDate&lt;=I13),"Yes","No")</f>
        <v>Yes</v>
      </c>
      <c r="L13" s="13" t="n">
        <f aca="false">NETWORKDAYS(H13,I13)</f>
        <v>146</v>
      </c>
      <c r="M13" s="16" t="n">
        <f aca="false">ROUND(L13*INDEX(Resources!$J$2:$J$500,MATCH(D13,Resources!$A$2:$A$500,0))/5*J13,1)</f>
        <v>292</v>
      </c>
      <c r="N13" s="29" t="n">
        <f aca="false">INDEX(Resources!$H$2:$H$500,MATCH(D13,Resources!$A$2:$A$500,0))</f>
        <v>83.52</v>
      </c>
      <c r="O13" s="29" t="n">
        <f aca="false">INDEX(Resources!$I$2:$I$500,MATCH(D13,Resources!$A$2:$A$500,0))</f>
        <v>175</v>
      </c>
      <c r="P13" s="14" t="n">
        <f aca="false">M13*N13</f>
        <v>24387.84</v>
      </c>
      <c r="Q13" s="14" t="n">
        <f aca="false">IF(G13="Yes",M13*O13,0)</f>
        <v>51100</v>
      </c>
      <c r="R13" s="16" t="n">
        <f aca="false">SUMIFS(Actuals!$H$2:$H$6000,Actuals!$C$2:$C$6000,B13,Actuals!$E$2:$E$6000,D13)</f>
        <v>153.5</v>
      </c>
      <c r="S13" s="15" t="n">
        <f aca="false">IF(M13=0,0,R13/M13)</f>
        <v>0.525684931506849</v>
      </c>
    </row>
    <row r="14" customFormat="false" ht="15" hidden="false" customHeight="false" outlineLevel="0" collapsed="false">
      <c r="A14" s="18" t="s">
        <v>526</v>
      </c>
      <c r="B14" s="18" t="s">
        <v>215</v>
      </c>
      <c r="C14" s="21" t="str">
        <f aca="false">IFERROR(INDEX(Projects!$B$2:$B$500,MATCH(B14,Projects!$A$2:$A$500,0)),"")</f>
        <v>Enterprise Data Lakehouse</v>
      </c>
      <c r="D14" s="18" t="s">
        <v>218</v>
      </c>
      <c r="E14" s="21" t="str">
        <f aca="false">IFERROR(INDEX(Resources!$B$2:$B$500,MATCH(D14,Resources!$A$2:$A$500,0)),"")</f>
        <v>Mei Fraser</v>
      </c>
      <c r="F14" s="18" t="s">
        <v>512</v>
      </c>
      <c r="G14" s="18" t="s">
        <v>527</v>
      </c>
      <c r="H14" s="19" t="n">
        <v>45908</v>
      </c>
      <c r="I14" s="19" t="n">
        <v>46394</v>
      </c>
      <c r="J14" s="24" t="n">
        <v>0.25</v>
      </c>
      <c r="K14" s="12" t="str">
        <f aca="false">IF(AND(AsOfDate&gt;=H14,AsOfDate&lt;=I14),"Yes","No")</f>
        <v>Yes</v>
      </c>
      <c r="L14" s="13" t="n">
        <f aca="false">NETWORKDAYS(H14,I14)</f>
        <v>349</v>
      </c>
      <c r="M14" s="16" t="n">
        <f aca="false">ROUND(L14*INDEX(Resources!$J$2:$J$500,MATCH(D14,Resources!$A$2:$A$500,0))/5*J14,1)</f>
        <v>698</v>
      </c>
      <c r="N14" s="29" t="n">
        <f aca="false">INDEX(Resources!$H$2:$H$500,MATCH(D14,Resources!$A$2:$A$500,0))</f>
        <v>74.8</v>
      </c>
      <c r="O14" s="29" t="n">
        <f aca="false">INDEX(Resources!$I$2:$I$500,MATCH(D14,Resources!$A$2:$A$500,0))</f>
        <v>150</v>
      </c>
      <c r="P14" s="14" t="n">
        <f aca="false">M14*N14</f>
        <v>52210.4</v>
      </c>
      <c r="Q14" s="14" t="n">
        <f aca="false">IF(G14="Yes",M14*O14,0)</f>
        <v>0</v>
      </c>
      <c r="R14" s="16" t="n">
        <f aca="false">SUMIFS(Actuals!$H$2:$H$6000,Actuals!$C$2:$C$6000,B14,Actuals!$E$2:$E$6000,D14)</f>
        <v>557.9</v>
      </c>
      <c r="S14" s="15" t="n">
        <f aca="false">IF(M14=0,0,R14/M14)</f>
        <v>0.799283667621777</v>
      </c>
    </row>
    <row r="15" customFormat="false" ht="15" hidden="false" customHeight="false" outlineLevel="0" collapsed="false">
      <c r="A15" s="18" t="s">
        <v>528</v>
      </c>
      <c r="B15" s="18" t="s">
        <v>215</v>
      </c>
      <c r="C15" s="21" t="str">
        <f aca="false">IFERROR(INDEX(Projects!$B$2:$B$500,MATCH(B15,Projects!$A$2:$A$500,0)),"")</f>
        <v>Enterprise Data Lakehouse</v>
      </c>
      <c r="D15" s="18" t="s">
        <v>450</v>
      </c>
      <c r="E15" s="21" t="str">
        <f aca="false">IFERROR(INDEX(Resources!$B$2:$B$500,MATCH(D15,Resources!$A$2:$A$500,0)),"")</f>
        <v>Tessa Rossi</v>
      </c>
      <c r="F15" s="18" t="s">
        <v>452</v>
      </c>
      <c r="G15" s="18" t="s">
        <v>513</v>
      </c>
      <c r="H15" s="19" t="n">
        <v>45908</v>
      </c>
      <c r="I15" s="19" t="n">
        <v>46394</v>
      </c>
      <c r="J15" s="24" t="n">
        <v>1</v>
      </c>
      <c r="K15" s="12" t="str">
        <f aca="false">IF(AND(AsOfDate&gt;=H15,AsOfDate&lt;=I15),"Yes","No")</f>
        <v>Yes</v>
      </c>
      <c r="L15" s="13" t="n">
        <f aca="false">NETWORKDAYS(H15,I15)</f>
        <v>349</v>
      </c>
      <c r="M15" s="16" t="n">
        <f aca="false">ROUND(L15*INDEX(Resources!$J$2:$J$500,MATCH(D15,Resources!$A$2:$A$500,0))/5*J15,1)</f>
        <v>2792</v>
      </c>
      <c r="N15" s="29" t="n">
        <f aca="false">INDEX(Resources!$H$2:$H$500,MATCH(D15,Resources!$A$2:$A$500,0))</f>
        <v>104.4</v>
      </c>
      <c r="O15" s="29" t="n">
        <f aca="false">INDEX(Resources!$I$2:$I$500,MATCH(D15,Resources!$A$2:$A$500,0))</f>
        <v>210</v>
      </c>
      <c r="P15" s="14" t="n">
        <f aca="false">M15*N15</f>
        <v>291484.8</v>
      </c>
      <c r="Q15" s="14" t="n">
        <f aca="false">IF(G15="Yes",M15*O15,0)</f>
        <v>586320</v>
      </c>
      <c r="R15" s="16" t="n">
        <f aca="false">SUMIFS(Actuals!$H$2:$H$6000,Actuals!$C$2:$C$6000,B15,Actuals!$E$2:$E$6000,D15)</f>
        <v>2291.4</v>
      </c>
      <c r="S15" s="15" t="n">
        <f aca="false">IF(M15=0,0,R15/M15)</f>
        <v>0.820702005730659</v>
      </c>
    </row>
    <row r="16" customFormat="false" ht="15" hidden="false" customHeight="false" outlineLevel="0" collapsed="false">
      <c r="A16" s="18" t="s">
        <v>529</v>
      </c>
      <c r="B16" s="18" t="s">
        <v>215</v>
      </c>
      <c r="C16" s="21" t="str">
        <f aca="false">IFERROR(INDEX(Projects!$B$2:$B$500,MATCH(B16,Projects!$A$2:$A$500,0)),"")</f>
        <v>Enterprise Data Lakehouse</v>
      </c>
      <c r="D16" s="18" t="s">
        <v>462</v>
      </c>
      <c r="E16" s="21" t="str">
        <f aca="false">IFERROR(INDEX(Resources!$B$2:$B$500,MATCH(D16,Resources!$A$2:$A$500,0)),"")</f>
        <v>Ayesha Schmidt</v>
      </c>
      <c r="F16" s="18" t="s">
        <v>464</v>
      </c>
      <c r="G16" s="18" t="s">
        <v>513</v>
      </c>
      <c r="H16" s="19" t="n">
        <v>45997</v>
      </c>
      <c r="I16" s="19" t="n">
        <v>46286</v>
      </c>
      <c r="J16" s="24" t="n">
        <v>0.5</v>
      </c>
      <c r="K16" s="12" t="str">
        <f aca="false">IF(AND(AsOfDate&gt;=H16,AsOfDate&lt;=I16),"Yes","No")</f>
        <v>Yes</v>
      </c>
      <c r="L16" s="13" t="n">
        <f aca="false">NETWORKDAYS(H16,I16)</f>
        <v>206</v>
      </c>
      <c r="M16" s="16" t="n">
        <f aca="false">ROUND(L16*INDEX(Resources!$J$2:$J$500,MATCH(D16,Resources!$A$2:$A$500,0))/5*J16,1)</f>
        <v>824</v>
      </c>
      <c r="N16" s="29" t="n">
        <f aca="false">INDEX(Resources!$H$2:$H$500,MATCH(D16,Resources!$A$2:$A$500,0))</f>
        <v>113.68</v>
      </c>
      <c r="O16" s="29" t="n">
        <f aca="false">INDEX(Resources!$I$2:$I$500,MATCH(D16,Resources!$A$2:$A$500,0))</f>
        <v>230</v>
      </c>
      <c r="P16" s="14" t="n">
        <f aca="false">M16*N16</f>
        <v>93672.32</v>
      </c>
      <c r="Q16" s="14" t="n">
        <f aca="false">IF(G16="Yes",M16*O16,0)</f>
        <v>189520</v>
      </c>
      <c r="R16" s="16" t="n">
        <f aca="false">SUMIFS(Actuals!$H$2:$H$6000,Actuals!$C$2:$C$6000,B16,Actuals!$E$2:$E$6000,D16)</f>
        <v>838.2</v>
      </c>
      <c r="S16" s="15" t="n">
        <f aca="false">IF(M16=0,0,R16/M16)</f>
        <v>1.01723300970874</v>
      </c>
    </row>
    <row r="17" customFormat="false" ht="15" hidden="false" customHeight="false" outlineLevel="0" collapsed="false">
      <c r="A17" s="18" t="s">
        <v>530</v>
      </c>
      <c r="B17" s="18" t="s">
        <v>215</v>
      </c>
      <c r="C17" s="21" t="str">
        <f aca="false">IFERROR(INDEX(Projects!$B$2:$B$500,MATCH(B17,Projects!$A$2:$A$500,0)),"")</f>
        <v>Enterprise Data Lakehouse</v>
      </c>
      <c r="D17" s="18" t="s">
        <v>357</v>
      </c>
      <c r="E17" s="21" t="str">
        <f aca="false">IFERROR(INDEX(Resources!$B$2:$B$500,MATCH(D17,Resources!$A$2:$A$500,0)),"")</f>
        <v>Hana Clarke</v>
      </c>
      <c r="F17" s="18" t="s">
        <v>350</v>
      </c>
      <c r="G17" s="18" t="s">
        <v>513</v>
      </c>
      <c r="H17" s="19" t="n">
        <v>45908</v>
      </c>
      <c r="I17" s="19" t="n">
        <v>46152</v>
      </c>
      <c r="J17" s="24" t="n">
        <v>0.25</v>
      </c>
      <c r="K17" s="12" t="str">
        <f aca="false">IF(AND(AsOfDate&gt;=H17,AsOfDate&lt;=I17),"Yes","No")</f>
        <v>No</v>
      </c>
      <c r="L17" s="13" t="n">
        <f aca="false">NETWORKDAYS(H17,I17)</f>
        <v>175</v>
      </c>
      <c r="M17" s="16" t="n">
        <f aca="false">ROUND(L17*INDEX(Resources!$J$2:$J$500,MATCH(D17,Resources!$A$2:$A$500,0))/5*J17,1)</f>
        <v>350</v>
      </c>
      <c r="N17" s="29" t="n">
        <f aca="false">INDEX(Resources!$H$2:$H$500,MATCH(D17,Resources!$A$2:$A$500,0))</f>
        <v>120.96</v>
      </c>
      <c r="O17" s="29" t="n">
        <f aca="false">INDEX(Resources!$I$2:$I$500,MATCH(D17,Resources!$A$2:$A$500,0))</f>
        <v>245</v>
      </c>
      <c r="P17" s="14" t="n">
        <f aca="false">M17*N17</f>
        <v>42336</v>
      </c>
      <c r="Q17" s="14" t="n">
        <f aca="false">IF(G17="Yes",M17*O17,0)</f>
        <v>85750</v>
      </c>
      <c r="R17" s="16" t="n">
        <f aca="false">SUMIFS(Actuals!$H$2:$H$6000,Actuals!$C$2:$C$6000,B17,Actuals!$E$2:$E$6000,D17)</f>
        <v>383.1</v>
      </c>
      <c r="S17" s="15" t="n">
        <f aca="false">IF(M17=0,0,R17/M17)</f>
        <v>1.09457142857143</v>
      </c>
    </row>
    <row r="18" customFormat="false" ht="15" hidden="false" customHeight="false" outlineLevel="0" collapsed="false">
      <c r="A18" s="18" t="s">
        <v>531</v>
      </c>
      <c r="B18" s="18" t="s">
        <v>215</v>
      </c>
      <c r="C18" s="21" t="str">
        <f aca="false">IFERROR(INDEX(Projects!$B$2:$B$500,MATCH(B18,Projects!$A$2:$A$500,0)),"")</f>
        <v>Enterprise Data Lakehouse</v>
      </c>
      <c r="D18" s="18" t="s">
        <v>414</v>
      </c>
      <c r="E18" s="21" t="str">
        <f aca="false">IFERROR(INDEX(Resources!$B$2:$B$500,MATCH(D18,Resources!$A$2:$A$500,0)),"")</f>
        <v>Elijah Adeyemi</v>
      </c>
      <c r="F18" s="18" t="s">
        <v>411</v>
      </c>
      <c r="G18" s="18" t="s">
        <v>513</v>
      </c>
      <c r="H18" s="19" t="n">
        <v>45908</v>
      </c>
      <c r="I18" s="19" t="n">
        <v>46394</v>
      </c>
      <c r="J18" s="24" t="n">
        <v>0.5</v>
      </c>
      <c r="K18" s="12" t="str">
        <f aca="false">IF(AND(AsOfDate&gt;=H18,AsOfDate&lt;=I18),"Yes","No")</f>
        <v>Yes</v>
      </c>
      <c r="L18" s="13" t="n">
        <f aca="false">NETWORKDAYS(H18,I18)</f>
        <v>349</v>
      </c>
      <c r="M18" s="16" t="n">
        <f aca="false">ROUND(L18*INDEX(Resources!$J$2:$J$500,MATCH(D18,Resources!$A$2:$A$500,0))/5*J18,1)</f>
        <v>1396</v>
      </c>
      <c r="N18" s="29" t="n">
        <f aca="false">INDEX(Resources!$H$2:$H$500,MATCH(D18,Resources!$A$2:$A$500,0))</f>
        <v>59.52</v>
      </c>
      <c r="O18" s="29" t="n">
        <f aca="false">INDEX(Resources!$I$2:$I$500,MATCH(D18,Resources!$A$2:$A$500,0))</f>
        <v>120</v>
      </c>
      <c r="P18" s="14" t="n">
        <f aca="false">M18*N18</f>
        <v>83089.92</v>
      </c>
      <c r="Q18" s="14" t="n">
        <f aca="false">IF(G18="Yes",M18*O18,0)</f>
        <v>167520</v>
      </c>
      <c r="R18" s="16" t="n">
        <f aca="false">SUMIFS(Actuals!$H$2:$H$6000,Actuals!$C$2:$C$6000,B18,Actuals!$E$2:$E$6000,D18)</f>
        <v>1161.6</v>
      </c>
      <c r="S18" s="15" t="n">
        <f aca="false">IF(M18=0,0,R18/M18)</f>
        <v>0.832091690544413</v>
      </c>
    </row>
    <row r="19" customFormat="false" ht="15" hidden="false" customHeight="false" outlineLevel="0" collapsed="false">
      <c r="A19" s="18" t="s">
        <v>532</v>
      </c>
      <c r="B19" s="18" t="s">
        <v>215</v>
      </c>
      <c r="C19" s="21" t="str">
        <f aca="false">IFERROR(INDEX(Projects!$B$2:$B$500,MATCH(B19,Projects!$A$2:$A$500,0)),"")</f>
        <v>Enterprise Data Lakehouse</v>
      </c>
      <c r="D19" s="18" t="s">
        <v>442</v>
      </c>
      <c r="E19" s="21" t="str">
        <f aca="false">IFERROR(INDEX(Resources!$B$2:$B$500,MATCH(D19,Resources!$A$2:$A$500,0)),"")</f>
        <v>Simran Patel</v>
      </c>
      <c r="F19" s="18" t="s">
        <v>436</v>
      </c>
      <c r="G19" s="18" t="s">
        <v>513</v>
      </c>
      <c r="H19" s="19" t="n">
        <v>46108</v>
      </c>
      <c r="I19" s="19" t="n">
        <v>46394</v>
      </c>
      <c r="J19" s="24" t="n">
        <v>0.5</v>
      </c>
      <c r="K19" s="12" t="str">
        <f aca="false">IF(AND(AsOfDate&gt;=H19,AsOfDate&lt;=I19),"Yes","No")</f>
        <v>Yes</v>
      </c>
      <c r="L19" s="13" t="n">
        <f aca="false">NETWORKDAYS(H19,I19)</f>
        <v>205</v>
      </c>
      <c r="M19" s="16" t="n">
        <f aca="false">ROUND(L19*INDEX(Resources!$J$2:$J$500,MATCH(D19,Resources!$A$2:$A$500,0))/5*J19,1)</f>
        <v>820</v>
      </c>
      <c r="N19" s="29" t="n">
        <f aca="false">INDEX(Resources!$H$2:$H$500,MATCH(D19,Resources!$A$2:$A$500,0))</f>
        <v>70</v>
      </c>
      <c r="O19" s="29" t="n">
        <f aca="false">INDEX(Resources!$I$2:$I$500,MATCH(D19,Resources!$A$2:$A$500,0))</f>
        <v>115</v>
      </c>
      <c r="P19" s="14" t="n">
        <f aca="false">M19*N19</f>
        <v>57400</v>
      </c>
      <c r="Q19" s="14" t="n">
        <f aca="false">IF(G19="Yes",M19*O19,0)</f>
        <v>94300</v>
      </c>
      <c r="R19" s="16" t="n">
        <f aca="false">SUMIFS(Actuals!$H$2:$H$6000,Actuals!$C$2:$C$6000,B19,Actuals!$E$2:$E$6000,D19)</f>
        <v>490.2</v>
      </c>
      <c r="S19" s="15" t="n">
        <f aca="false">IF(M19=0,0,R19/M19)</f>
        <v>0.597804878048781</v>
      </c>
    </row>
    <row r="20" customFormat="false" ht="15" hidden="false" customHeight="false" outlineLevel="0" collapsed="false">
      <c r="A20" s="18" t="s">
        <v>533</v>
      </c>
      <c r="B20" s="18" t="s">
        <v>222</v>
      </c>
      <c r="C20" s="21" t="str">
        <f aca="false">IFERROR(INDEX(Projects!$B$2:$B$500,MATCH(B20,Projects!$A$2:$A$500,0)),"")</f>
        <v>Cloud Migration Wave 2</v>
      </c>
      <c r="D20" s="18" t="s">
        <v>226</v>
      </c>
      <c r="E20" s="21" t="str">
        <f aca="false">IFERROR(INDEX(Resources!$B$2:$B$500,MATCH(D20,Resources!$A$2:$A$500,0)),"")</f>
        <v>Noah Rahimi</v>
      </c>
      <c r="F20" s="18" t="s">
        <v>512</v>
      </c>
      <c r="G20" s="18" t="s">
        <v>513</v>
      </c>
      <c r="H20" s="19" t="n">
        <v>46055</v>
      </c>
      <c r="I20" s="19" t="n">
        <v>46422</v>
      </c>
      <c r="J20" s="24" t="n">
        <v>0.25</v>
      </c>
      <c r="K20" s="12" t="str">
        <f aca="false">IF(AND(AsOfDate&gt;=H20,AsOfDate&lt;=I20),"Yes","No")</f>
        <v>Yes</v>
      </c>
      <c r="L20" s="13" t="n">
        <f aca="false">NETWORKDAYS(H20,I20)</f>
        <v>264</v>
      </c>
      <c r="M20" s="16" t="n">
        <f aca="false">ROUND(L20*INDEX(Resources!$J$2:$J$500,MATCH(D20,Resources!$A$2:$A$500,0))/5*J20,1)</f>
        <v>528</v>
      </c>
      <c r="N20" s="29" t="n">
        <f aca="false">INDEX(Resources!$H$2:$H$500,MATCH(D20,Resources!$A$2:$A$500,0))</f>
        <v>88</v>
      </c>
      <c r="O20" s="29" t="n">
        <f aca="false">INDEX(Resources!$I$2:$I$500,MATCH(D20,Resources!$A$2:$A$500,0))</f>
        <v>175</v>
      </c>
      <c r="P20" s="14" t="n">
        <f aca="false">M20*N20</f>
        <v>46464</v>
      </c>
      <c r="Q20" s="14" t="n">
        <f aca="false">IF(G20="Yes",M20*O20,0)</f>
        <v>92400</v>
      </c>
      <c r="R20" s="16" t="n">
        <f aca="false">SUMIFS(Actuals!$H$2:$H$6000,Actuals!$C$2:$C$6000,B20,Actuals!$E$2:$E$6000,D20)</f>
        <v>303.8</v>
      </c>
      <c r="S20" s="15" t="n">
        <f aca="false">IF(M20=0,0,R20/M20)</f>
        <v>0.575378787878788</v>
      </c>
    </row>
    <row r="21" customFormat="false" ht="15" hidden="false" customHeight="false" outlineLevel="0" collapsed="false">
      <c r="A21" s="18" t="s">
        <v>534</v>
      </c>
      <c r="B21" s="18" t="s">
        <v>222</v>
      </c>
      <c r="C21" s="21" t="str">
        <f aca="false">IFERROR(INDEX(Projects!$B$2:$B$500,MATCH(B21,Projects!$A$2:$A$500,0)),"")</f>
        <v>Cloud Migration Wave 2</v>
      </c>
      <c r="D21" s="18" t="s">
        <v>470</v>
      </c>
      <c r="E21" s="21" t="str">
        <f aca="false">IFERROR(INDEX(Resources!$B$2:$B$500,MATCH(D21,Resources!$A$2:$A$500,0)),"")</f>
        <v>Rohan Keller</v>
      </c>
      <c r="F21" s="18" t="s">
        <v>472</v>
      </c>
      <c r="G21" s="18" t="s">
        <v>513</v>
      </c>
      <c r="H21" s="19" t="n">
        <v>46055</v>
      </c>
      <c r="I21" s="19" t="n">
        <v>46422</v>
      </c>
      <c r="J21" s="24" t="n">
        <v>1</v>
      </c>
      <c r="K21" s="12" t="str">
        <f aca="false">IF(AND(AsOfDate&gt;=H21,AsOfDate&lt;=I21),"Yes","No")</f>
        <v>Yes</v>
      </c>
      <c r="L21" s="13" t="n">
        <f aca="false">NETWORKDAYS(H21,I21)</f>
        <v>264</v>
      </c>
      <c r="M21" s="16" t="n">
        <f aca="false">ROUND(L21*INDEX(Resources!$J$2:$J$500,MATCH(D21,Resources!$A$2:$A$500,0))/5*J21,1)</f>
        <v>2112</v>
      </c>
      <c r="N21" s="29" t="n">
        <f aca="false">INDEX(Resources!$H$2:$H$500,MATCH(D21,Resources!$A$2:$A$500,0))</f>
        <v>109.04</v>
      </c>
      <c r="O21" s="29" t="n">
        <f aca="false">INDEX(Resources!$I$2:$I$500,MATCH(D21,Resources!$A$2:$A$500,0))</f>
        <v>220</v>
      </c>
      <c r="P21" s="14" t="n">
        <f aca="false">M21*N21</f>
        <v>230292.48</v>
      </c>
      <c r="Q21" s="14" t="n">
        <f aca="false">IF(G21="Yes",M21*O21,0)</f>
        <v>464640</v>
      </c>
      <c r="R21" s="16" t="n">
        <f aca="false">SUMIFS(Actuals!$H$2:$H$6000,Actuals!$C$2:$C$6000,B21,Actuals!$E$2:$E$6000,D21)</f>
        <v>1186.9</v>
      </c>
      <c r="S21" s="15" t="n">
        <f aca="false">IF(M21=0,0,R21/M21)</f>
        <v>0.561979166666667</v>
      </c>
    </row>
    <row r="22" customFormat="false" ht="15" hidden="false" customHeight="false" outlineLevel="0" collapsed="false">
      <c r="A22" s="18" t="s">
        <v>535</v>
      </c>
      <c r="B22" s="18" t="s">
        <v>222</v>
      </c>
      <c r="C22" s="21" t="str">
        <f aca="false">IFERROR(INDEX(Projects!$B$2:$B$500,MATCH(B22,Projects!$A$2:$A$500,0)),"")</f>
        <v>Cloud Migration Wave 2</v>
      </c>
      <c r="D22" s="18" t="s">
        <v>483</v>
      </c>
      <c r="E22" s="21" t="str">
        <f aca="false">IFERROR(INDEX(Resources!$B$2:$B$500,MATCH(D22,Resources!$A$2:$A$500,0)),"")</f>
        <v>Adrian Kapoor</v>
      </c>
      <c r="F22" s="18" t="s">
        <v>485</v>
      </c>
      <c r="G22" s="18" t="s">
        <v>513</v>
      </c>
      <c r="H22" s="19" t="n">
        <v>46055</v>
      </c>
      <c r="I22" s="19" t="n">
        <v>46422</v>
      </c>
      <c r="J22" s="24" t="n">
        <v>0.5</v>
      </c>
      <c r="K22" s="12" t="str">
        <f aca="false">IF(AND(AsOfDate&gt;=H22,AsOfDate&lt;=I22),"Yes","No")</f>
        <v>Yes</v>
      </c>
      <c r="L22" s="13" t="n">
        <f aca="false">NETWORKDAYS(H22,I22)</f>
        <v>264</v>
      </c>
      <c r="M22" s="16" t="n">
        <f aca="false">ROUND(L22*INDEX(Resources!$J$2:$J$500,MATCH(D22,Resources!$A$2:$A$500,0))/5*J22,1)</f>
        <v>1056</v>
      </c>
      <c r="N22" s="29" t="n">
        <f aca="false">INDEX(Resources!$H$2:$H$500,MATCH(D22,Resources!$A$2:$A$500,0))</f>
        <v>99.76</v>
      </c>
      <c r="O22" s="29" t="n">
        <f aca="false">INDEX(Resources!$I$2:$I$500,MATCH(D22,Resources!$A$2:$A$500,0))</f>
        <v>205</v>
      </c>
      <c r="P22" s="14" t="n">
        <f aca="false">M22*N22</f>
        <v>105346.56</v>
      </c>
      <c r="Q22" s="14" t="n">
        <f aca="false">IF(G22="Yes",M22*O22,0)</f>
        <v>216480</v>
      </c>
      <c r="R22" s="16" t="n">
        <f aca="false">SUMIFS(Actuals!$H$2:$H$6000,Actuals!$C$2:$C$6000,B22,Actuals!$E$2:$E$6000,D22)</f>
        <v>605.4</v>
      </c>
      <c r="S22" s="15" t="n">
        <f aca="false">IF(M22=0,0,R22/M22)</f>
        <v>0.573295454545455</v>
      </c>
    </row>
    <row r="23" customFormat="false" ht="15" hidden="false" customHeight="false" outlineLevel="0" collapsed="false">
      <c r="A23" s="18" t="s">
        <v>536</v>
      </c>
      <c r="B23" s="18" t="s">
        <v>222</v>
      </c>
      <c r="C23" s="21" t="str">
        <f aca="false">IFERROR(INDEX(Projects!$B$2:$B$500,MATCH(B23,Projects!$A$2:$A$500,0)),"")</f>
        <v>Cloud Migration Wave 2</v>
      </c>
      <c r="D23" s="18" t="s">
        <v>348</v>
      </c>
      <c r="E23" s="21" t="str">
        <f aca="false">IFERROR(INDEX(Resources!$B$2:$B$500,MATCH(D23,Resources!$A$2:$A$500,0)),"")</f>
        <v>Chloe Reyes</v>
      </c>
      <c r="F23" s="18" t="s">
        <v>350</v>
      </c>
      <c r="G23" s="18" t="s">
        <v>513</v>
      </c>
      <c r="H23" s="19" t="n">
        <v>46055</v>
      </c>
      <c r="I23" s="19" t="n">
        <v>46253</v>
      </c>
      <c r="J23" s="24" t="n">
        <v>0.25</v>
      </c>
      <c r="K23" s="12" t="str">
        <f aca="false">IF(AND(AsOfDate&gt;=H23,AsOfDate&lt;=I23),"Yes","No")</f>
        <v>No</v>
      </c>
      <c r="L23" s="13" t="n">
        <f aca="false">NETWORKDAYS(H23,I23)</f>
        <v>143</v>
      </c>
      <c r="M23" s="16" t="n">
        <f aca="false">ROUND(L23*INDEX(Resources!$J$2:$J$500,MATCH(D23,Resources!$A$2:$A$500,0))/5*J23,1)</f>
        <v>286</v>
      </c>
      <c r="N23" s="29" t="n">
        <f aca="false">INDEX(Resources!$H$2:$H$500,MATCH(D23,Resources!$A$2:$A$500,0))</f>
        <v>129.92</v>
      </c>
      <c r="O23" s="29" t="n">
        <f aca="false">INDEX(Resources!$I$2:$I$500,MATCH(D23,Resources!$A$2:$A$500,0))</f>
        <v>260</v>
      </c>
      <c r="P23" s="14" t="n">
        <f aca="false">M23*N23</f>
        <v>37157.12</v>
      </c>
      <c r="Q23" s="14" t="n">
        <f aca="false">IF(G23="Yes",M23*O23,0)</f>
        <v>74360</v>
      </c>
      <c r="R23" s="16" t="n">
        <f aca="false">SUMIFS(Actuals!$H$2:$H$6000,Actuals!$C$2:$C$6000,B23,Actuals!$E$2:$E$6000,D23)</f>
        <v>282.6</v>
      </c>
      <c r="S23" s="15" t="n">
        <f aca="false">IF(M23=0,0,R23/M23)</f>
        <v>0.988111888111888</v>
      </c>
    </row>
    <row r="24" customFormat="false" ht="15" hidden="false" customHeight="false" outlineLevel="0" collapsed="false">
      <c r="A24" s="18" t="s">
        <v>537</v>
      </c>
      <c r="B24" s="18" t="s">
        <v>222</v>
      </c>
      <c r="C24" s="21" t="str">
        <f aca="false">IFERROR(INDEX(Projects!$B$2:$B$500,MATCH(B24,Projects!$A$2:$A$500,0)),"")</f>
        <v>Cloud Migration Wave 2</v>
      </c>
      <c r="D24" s="18" t="s">
        <v>395</v>
      </c>
      <c r="E24" s="21" t="str">
        <f aca="false">IFERROR(INDEX(Resources!$B$2:$B$500,MATCH(D24,Resources!$A$2:$A$500,0)),"")</f>
        <v>Kwame Malik</v>
      </c>
      <c r="F24" s="18" t="s">
        <v>516</v>
      </c>
      <c r="G24" s="18" t="s">
        <v>513</v>
      </c>
      <c r="H24" s="19" t="n">
        <v>46055</v>
      </c>
      <c r="I24" s="19" t="n">
        <v>46422</v>
      </c>
      <c r="J24" s="24" t="n">
        <v>0.5</v>
      </c>
      <c r="K24" s="12" t="str">
        <f aca="false">IF(AND(AsOfDate&gt;=H24,AsOfDate&lt;=I24),"Yes","No")</f>
        <v>Yes</v>
      </c>
      <c r="L24" s="13" t="n">
        <f aca="false">NETWORKDAYS(H24,I24)</f>
        <v>264</v>
      </c>
      <c r="M24" s="16" t="n">
        <f aca="false">ROUND(L24*INDEX(Resources!$J$2:$J$500,MATCH(D24,Resources!$A$2:$A$500,0))/5*J24,1)</f>
        <v>1056</v>
      </c>
      <c r="N24" s="29" t="n">
        <f aca="false">INDEX(Resources!$H$2:$H$500,MATCH(D24,Resources!$A$2:$A$500,0))</f>
        <v>106.95</v>
      </c>
      <c r="O24" s="29" t="n">
        <f aca="false">INDEX(Resources!$I$2:$I$500,MATCH(D24,Resources!$A$2:$A$500,0))</f>
        <v>170</v>
      </c>
      <c r="P24" s="14" t="n">
        <f aca="false">M24*N24</f>
        <v>112939.2</v>
      </c>
      <c r="Q24" s="14" t="n">
        <f aca="false">IF(G24="Yes",M24*O24,0)</f>
        <v>179520</v>
      </c>
      <c r="R24" s="16" t="n">
        <f aca="false">SUMIFS(Actuals!$H$2:$H$6000,Actuals!$C$2:$C$6000,B24,Actuals!$E$2:$E$6000,D24)</f>
        <v>593.8</v>
      </c>
      <c r="S24" s="15" t="n">
        <f aca="false">IF(M24=0,0,R24/M24)</f>
        <v>0.562310606060606</v>
      </c>
    </row>
    <row r="25" customFormat="false" ht="15" hidden="false" customHeight="false" outlineLevel="0" collapsed="false">
      <c r="A25" s="18" t="s">
        <v>538</v>
      </c>
      <c r="B25" s="18" t="s">
        <v>228</v>
      </c>
      <c r="C25" s="21" t="str">
        <f aca="false">IFERROR(INDEX(Projects!$B$2:$B$500,MATCH(B25,Projects!$A$2:$A$500,0)),"")</f>
        <v>Fraud Detection ML Platform</v>
      </c>
      <c r="D25" s="18" t="s">
        <v>231</v>
      </c>
      <c r="E25" s="21" t="str">
        <f aca="false">IFERROR(INDEX(Resources!$B$2:$B$500,MATCH(D25,Resources!$A$2:$A$500,0)),"")</f>
        <v>Fatima Cohen</v>
      </c>
      <c r="F25" s="18" t="s">
        <v>512</v>
      </c>
      <c r="G25" s="18" t="s">
        <v>513</v>
      </c>
      <c r="H25" s="19" t="n">
        <v>46083</v>
      </c>
      <c r="I25" s="19" t="n">
        <v>46510</v>
      </c>
      <c r="J25" s="24" t="n">
        <v>0.25</v>
      </c>
      <c r="K25" s="12" t="str">
        <f aca="false">IF(AND(AsOfDate&gt;=H25,AsOfDate&lt;=I25),"Yes","No")</f>
        <v>Yes</v>
      </c>
      <c r="L25" s="13" t="n">
        <f aca="false">NETWORKDAYS(H25,I25)</f>
        <v>306</v>
      </c>
      <c r="M25" s="16" t="n">
        <f aca="false">ROUND(L25*INDEX(Resources!$J$2:$J$500,MATCH(D25,Resources!$A$2:$A$500,0))/5*J25,1)</f>
        <v>612</v>
      </c>
      <c r="N25" s="29" t="n">
        <f aca="false">INDEX(Resources!$H$2:$H$500,MATCH(D25,Resources!$A$2:$A$500,0))</f>
        <v>102.08</v>
      </c>
      <c r="O25" s="29" t="n">
        <f aca="false">INDEX(Resources!$I$2:$I$500,MATCH(D25,Resources!$A$2:$A$500,0))</f>
        <v>205</v>
      </c>
      <c r="P25" s="14" t="n">
        <f aca="false">M25*N25</f>
        <v>62472.96</v>
      </c>
      <c r="Q25" s="14" t="n">
        <f aca="false">IF(G25="Yes",M25*O25,0)</f>
        <v>125460</v>
      </c>
      <c r="R25" s="16" t="n">
        <f aca="false">SUMIFS(Actuals!$H$2:$H$6000,Actuals!$C$2:$C$6000,B25,Actuals!$E$2:$E$6000,D25)</f>
        <v>364.3</v>
      </c>
      <c r="S25" s="15" t="n">
        <f aca="false">IF(M25=0,0,R25/M25)</f>
        <v>0.595261437908497</v>
      </c>
    </row>
    <row r="26" customFormat="false" ht="15" hidden="false" customHeight="false" outlineLevel="0" collapsed="false">
      <c r="A26" s="18" t="s">
        <v>539</v>
      </c>
      <c r="B26" s="18" t="s">
        <v>228</v>
      </c>
      <c r="C26" s="21" t="str">
        <f aca="false">IFERROR(INDEX(Projects!$B$2:$B$500,MATCH(B26,Projects!$A$2:$A$500,0)),"")</f>
        <v>Fraud Detection ML Platform</v>
      </c>
      <c r="D26" s="18" t="s">
        <v>454</v>
      </c>
      <c r="E26" s="21" t="str">
        <f aca="false">IFERROR(INDEX(Resources!$B$2:$B$500,MATCH(D26,Resources!$A$2:$A$500,0)),"")</f>
        <v>Bilal Novak</v>
      </c>
      <c r="F26" s="18" t="s">
        <v>452</v>
      </c>
      <c r="G26" s="18" t="s">
        <v>513</v>
      </c>
      <c r="H26" s="19" t="n">
        <v>46083</v>
      </c>
      <c r="I26" s="19" t="n">
        <v>46510</v>
      </c>
      <c r="J26" s="24" t="n">
        <v>0.75</v>
      </c>
      <c r="K26" s="12" t="str">
        <f aca="false">IF(AND(AsOfDate&gt;=H26,AsOfDate&lt;=I26),"Yes","No")</f>
        <v>Yes</v>
      </c>
      <c r="L26" s="13" t="n">
        <f aca="false">NETWORKDAYS(H26,I26)</f>
        <v>306</v>
      </c>
      <c r="M26" s="16" t="n">
        <f aca="false">ROUND(L26*INDEX(Resources!$J$2:$J$500,MATCH(D26,Resources!$A$2:$A$500,0))/5*J26,1)</f>
        <v>1836</v>
      </c>
      <c r="N26" s="29" t="n">
        <f aca="false">INDEX(Resources!$H$2:$H$500,MATCH(D26,Resources!$A$2:$A$500,0))</f>
        <v>76.5</v>
      </c>
      <c r="O26" s="29" t="n">
        <f aca="false">INDEX(Resources!$I$2:$I$500,MATCH(D26,Resources!$A$2:$A$500,0))</f>
        <v>155</v>
      </c>
      <c r="P26" s="14" t="n">
        <f aca="false">M26*N26</f>
        <v>140454</v>
      </c>
      <c r="Q26" s="14" t="n">
        <f aca="false">IF(G26="Yes",M26*O26,0)</f>
        <v>284580</v>
      </c>
      <c r="R26" s="16" t="n">
        <f aca="false">SUMIFS(Actuals!$H$2:$H$6000,Actuals!$C$2:$C$6000,B26,Actuals!$E$2:$E$6000,D26)</f>
        <v>1102.6</v>
      </c>
      <c r="S26" s="15" t="n">
        <f aca="false">IF(M26=0,0,R26/M26)</f>
        <v>0.600544662309368</v>
      </c>
    </row>
    <row r="27" customFormat="false" ht="15" hidden="false" customHeight="false" outlineLevel="0" collapsed="false">
      <c r="A27" s="18" t="s">
        <v>540</v>
      </c>
      <c r="B27" s="18" t="s">
        <v>228</v>
      </c>
      <c r="C27" s="21" t="str">
        <f aca="false">IFERROR(INDEX(Projects!$B$2:$B$500,MATCH(B27,Projects!$A$2:$A$500,0)),"")</f>
        <v>Fraud Detection ML Platform</v>
      </c>
      <c r="D27" s="18" t="s">
        <v>462</v>
      </c>
      <c r="E27" s="21" t="str">
        <f aca="false">IFERROR(INDEX(Resources!$B$2:$B$500,MATCH(D27,Resources!$A$2:$A$500,0)),"")</f>
        <v>Ayesha Schmidt</v>
      </c>
      <c r="F27" s="18" t="s">
        <v>464</v>
      </c>
      <c r="G27" s="18" t="s">
        <v>513</v>
      </c>
      <c r="H27" s="19" t="n">
        <v>46155</v>
      </c>
      <c r="I27" s="19" t="n">
        <v>46389</v>
      </c>
      <c r="J27" s="24" t="n">
        <v>0.5</v>
      </c>
      <c r="K27" s="12" t="str">
        <f aca="false">IF(AND(AsOfDate&gt;=H27,AsOfDate&lt;=I27),"Yes","No")</f>
        <v>Yes</v>
      </c>
      <c r="L27" s="13" t="n">
        <f aca="false">NETWORKDAYS(H27,I27)</f>
        <v>168</v>
      </c>
      <c r="M27" s="16" t="n">
        <f aca="false">ROUND(L27*INDEX(Resources!$J$2:$J$500,MATCH(D27,Resources!$A$2:$A$500,0))/5*J27,1)</f>
        <v>672</v>
      </c>
      <c r="N27" s="29" t="n">
        <f aca="false">INDEX(Resources!$H$2:$H$500,MATCH(D27,Resources!$A$2:$A$500,0))</f>
        <v>113.68</v>
      </c>
      <c r="O27" s="29" t="n">
        <f aca="false">INDEX(Resources!$I$2:$I$500,MATCH(D27,Resources!$A$2:$A$500,0))</f>
        <v>230</v>
      </c>
      <c r="P27" s="14" t="n">
        <f aca="false">M27*N27</f>
        <v>76392.96</v>
      </c>
      <c r="Q27" s="14" t="n">
        <f aca="false">IF(G27="Yes",M27*O27,0)</f>
        <v>154560</v>
      </c>
      <c r="R27" s="16" t="n">
        <f aca="false">SUMIFS(Actuals!$H$2:$H$6000,Actuals!$C$2:$C$6000,B27,Actuals!$E$2:$E$6000,D27)</f>
        <v>426.2</v>
      </c>
      <c r="S27" s="15" t="n">
        <f aca="false">IF(M27=0,0,R27/M27)</f>
        <v>0.63422619047619</v>
      </c>
    </row>
    <row r="28" customFormat="false" ht="15" hidden="false" customHeight="false" outlineLevel="0" collapsed="false">
      <c r="A28" s="18" t="s">
        <v>541</v>
      </c>
      <c r="B28" s="18" t="s">
        <v>228</v>
      </c>
      <c r="C28" s="21" t="str">
        <f aca="false">IFERROR(INDEX(Projects!$B$2:$B$500,MATCH(B28,Projects!$A$2:$A$500,0)),"")</f>
        <v>Fraud Detection ML Platform</v>
      </c>
      <c r="D28" s="18" t="s">
        <v>354</v>
      </c>
      <c r="E28" s="21" t="str">
        <f aca="false">IFERROR(INDEX(Resources!$B$2:$B$500,MATCH(D28,Resources!$A$2:$A$500,0)),"")</f>
        <v>Mateo Bianchi</v>
      </c>
      <c r="F28" s="18" t="s">
        <v>350</v>
      </c>
      <c r="G28" s="18" t="s">
        <v>513</v>
      </c>
      <c r="H28" s="19" t="n">
        <v>46083</v>
      </c>
      <c r="I28" s="19" t="n">
        <v>46281</v>
      </c>
      <c r="J28" s="24" t="n">
        <v>0.25</v>
      </c>
      <c r="K28" s="12" t="str">
        <f aca="false">IF(AND(AsOfDate&gt;=H28,AsOfDate&lt;=I28),"Yes","No")</f>
        <v>Yes</v>
      </c>
      <c r="L28" s="13" t="n">
        <f aca="false">NETWORKDAYS(H28,I28)</f>
        <v>143</v>
      </c>
      <c r="M28" s="16" t="n">
        <f aca="false">ROUND(L28*INDEX(Resources!$J$2:$J$500,MATCH(D28,Resources!$A$2:$A$500,0))/5*J28,1)</f>
        <v>286</v>
      </c>
      <c r="N28" s="29" t="n">
        <f aca="false">INDEX(Resources!$H$2:$H$500,MATCH(D28,Resources!$A$2:$A$500,0))</f>
        <v>129.92</v>
      </c>
      <c r="O28" s="29" t="n">
        <f aca="false">INDEX(Resources!$I$2:$I$500,MATCH(D28,Resources!$A$2:$A$500,0))</f>
        <v>260</v>
      </c>
      <c r="P28" s="14" t="n">
        <f aca="false">M28*N28</f>
        <v>37157.12</v>
      </c>
      <c r="Q28" s="14" t="n">
        <f aca="false">IF(G28="Yes",M28*O28,0)</f>
        <v>74360</v>
      </c>
      <c r="R28" s="16" t="n">
        <f aca="false">SUMIFS(Actuals!$H$2:$H$6000,Actuals!$C$2:$C$6000,B28,Actuals!$E$2:$E$6000,D28)</f>
        <v>370.1</v>
      </c>
      <c r="S28" s="15" t="n">
        <f aca="false">IF(M28=0,0,R28/M28)</f>
        <v>1.29405594405594</v>
      </c>
    </row>
    <row r="29" customFormat="false" ht="15" hidden="false" customHeight="false" outlineLevel="0" collapsed="false">
      <c r="A29" s="18" t="s">
        <v>542</v>
      </c>
      <c r="B29" s="18" t="s">
        <v>228</v>
      </c>
      <c r="C29" s="21" t="str">
        <f aca="false">IFERROR(INDEX(Projects!$B$2:$B$500,MATCH(B29,Projects!$A$2:$A$500,0)),"")</f>
        <v>Fraud Detection ML Platform</v>
      </c>
      <c r="D29" s="18" t="s">
        <v>417</v>
      </c>
      <c r="E29" s="21" t="str">
        <f aca="false">IFERROR(INDEX(Resources!$B$2:$B$500,MATCH(D29,Resources!$A$2:$A$500,0)),"")</f>
        <v>Anika Farouk</v>
      </c>
      <c r="F29" s="18" t="s">
        <v>411</v>
      </c>
      <c r="G29" s="18" t="s">
        <v>513</v>
      </c>
      <c r="H29" s="19" t="n">
        <v>46083</v>
      </c>
      <c r="I29" s="19" t="n">
        <v>46510</v>
      </c>
      <c r="J29" s="24" t="n">
        <v>0.5</v>
      </c>
      <c r="K29" s="12" t="str">
        <f aca="false">IF(AND(AsOfDate&gt;=H29,AsOfDate&lt;=I29),"Yes","No")</f>
        <v>Yes</v>
      </c>
      <c r="L29" s="13" t="n">
        <f aca="false">NETWORKDAYS(H29,I29)</f>
        <v>306</v>
      </c>
      <c r="M29" s="16" t="n">
        <f aca="false">ROUND(L29*INDEX(Resources!$J$2:$J$500,MATCH(D29,Resources!$A$2:$A$500,0))/5*J29,1)</f>
        <v>979.2</v>
      </c>
      <c r="N29" s="29" t="n">
        <f aca="false">INDEX(Resources!$H$2:$H$500,MATCH(D29,Resources!$A$2:$A$500,0))</f>
        <v>54.4</v>
      </c>
      <c r="O29" s="29" t="n">
        <f aca="false">INDEX(Resources!$I$2:$I$500,MATCH(D29,Resources!$A$2:$A$500,0))</f>
        <v>110</v>
      </c>
      <c r="P29" s="14" t="n">
        <f aca="false">M29*N29</f>
        <v>53268.48</v>
      </c>
      <c r="Q29" s="14" t="n">
        <f aca="false">IF(G29="Yes",M29*O29,0)</f>
        <v>107712</v>
      </c>
      <c r="R29" s="16" t="n">
        <f aca="false">SUMIFS(Actuals!$H$2:$H$6000,Actuals!$C$2:$C$6000,B29,Actuals!$E$2:$E$6000,D29)</f>
        <v>599.5</v>
      </c>
      <c r="S29" s="15" t="n">
        <f aca="false">IF(M29=0,0,R29/M29)</f>
        <v>0.612234477124183</v>
      </c>
    </row>
    <row r="30" customFormat="false" ht="15" hidden="false" customHeight="false" outlineLevel="0" collapsed="false">
      <c r="A30" s="18" t="s">
        <v>543</v>
      </c>
      <c r="B30" s="18" t="s">
        <v>228</v>
      </c>
      <c r="C30" s="21" t="str">
        <f aca="false">IFERROR(INDEX(Projects!$B$2:$B$500,MATCH(B30,Projects!$A$2:$A$500,0)),"")</f>
        <v>Fraud Detection ML Platform</v>
      </c>
      <c r="D30" s="18" t="s">
        <v>446</v>
      </c>
      <c r="E30" s="21" t="str">
        <f aca="false">IFERROR(INDEX(Resources!$B$2:$B$500,MATCH(D30,Resources!$A$2:$A$500,0)),"")</f>
        <v>Ines Morales</v>
      </c>
      <c r="F30" s="18" t="s">
        <v>436</v>
      </c>
      <c r="G30" s="18" t="s">
        <v>513</v>
      </c>
      <c r="H30" s="19" t="n">
        <v>46245</v>
      </c>
      <c r="I30" s="19" t="n">
        <v>46510</v>
      </c>
      <c r="J30" s="24" t="n">
        <v>0.5</v>
      </c>
      <c r="K30" s="12" t="str">
        <f aca="false">IF(AND(AsOfDate&gt;=H30,AsOfDate&lt;=I30),"Yes","No")</f>
        <v>Yes</v>
      </c>
      <c r="L30" s="13" t="n">
        <f aca="false">NETWORKDAYS(H30,I30)</f>
        <v>190</v>
      </c>
      <c r="M30" s="16" t="n">
        <f aca="false">ROUND(L30*INDEX(Resources!$J$2:$J$500,MATCH(D30,Resources!$A$2:$A$500,0))/5*J30,1)</f>
        <v>760</v>
      </c>
      <c r="N30" s="29" t="n">
        <f aca="false">INDEX(Resources!$H$2:$H$500,MATCH(D30,Resources!$A$2:$A$500,0))</f>
        <v>56</v>
      </c>
      <c r="O30" s="29" t="n">
        <f aca="false">INDEX(Resources!$I$2:$I$500,MATCH(D30,Resources!$A$2:$A$500,0))</f>
        <v>115</v>
      </c>
      <c r="P30" s="14" t="n">
        <f aca="false">M30*N30</f>
        <v>42560</v>
      </c>
      <c r="Q30" s="14" t="n">
        <f aca="false">IF(G30="Yes",M30*O30,0)</f>
        <v>87400</v>
      </c>
      <c r="R30" s="16" t="n">
        <f aca="false">SUMIFS(Actuals!$H$2:$H$6000,Actuals!$C$2:$C$6000,B30,Actuals!$E$2:$E$6000,D30)</f>
        <v>79.4</v>
      </c>
      <c r="S30" s="15" t="n">
        <f aca="false">IF(M30=0,0,R30/M30)</f>
        <v>0.104473684210526</v>
      </c>
    </row>
    <row r="31" customFormat="false" ht="15" hidden="false" customHeight="false" outlineLevel="0" collapsed="false">
      <c r="A31" s="18" t="s">
        <v>544</v>
      </c>
      <c r="B31" s="18" t="s">
        <v>233</v>
      </c>
      <c r="C31" s="21" t="str">
        <f aca="false">IFERROR(INDEX(Projects!$B$2:$B$500,MATCH(B31,Projects!$A$2:$A$500,0)),"")</f>
        <v>Omnichannel Commerce Replatform</v>
      </c>
      <c r="D31" s="18" t="s">
        <v>237</v>
      </c>
      <c r="E31" s="21" t="str">
        <f aca="false">IFERROR(INDEX(Resources!$B$2:$B$500,MATCH(D31,Resources!$A$2:$A$500,0)),"")</f>
        <v>Olivia Silva</v>
      </c>
      <c r="F31" s="18" t="s">
        <v>512</v>
      </c>
      <c r="G31" s="18" t="s">
        <v>513</v>
      </c>
      <c r="H31" s="19" t="n">
        <v>45936</v>
      </c>
      <c r="I31" s="19" t="n">
        <v>46300</v>
      </c>
      <c r="J31" s="24" t="n">
        <v>0.5</v>
      </c>
      <c r="K31" s="12" t="str">
        <f aca="false">IF(AND(AsOfDate&gt;=H31,AsOfDate&lt;=I31),"Yes","No")</f>
        <v>Yes</v>
      </c>
      <c r="L31" s="13" t="n">
        <f aca="false">NETWORKDAYS(H31,I31)</f>
        <v>261</v>
      </c>
      <c r="M31" s="16" t="n">
        <f aca="false">ROUND(L31*INDEX(Resources!$J$2:$J$500,MATCH(D31,Resources!$A$2:$A$500,0))/5*J31,1)</f>
        <v>1044</v>
      </c>
      <c r="N31" s="29" t="n">
        <f aca="false">INDEX(Resources!$H$2:$H$500,MATCH(D31,Resources!$A$2:$A$500,0))</f>
        <v>74.8</v>
      </c>
      <c r="O31" s="29" t="n">
        <f aca="false">INDEX(Resources!$I$2:$I$500,MATCH(D31,Resources!$A$2:$A$500,0))</f>
        <v>150</v>
      </c>
      <c r="P31" s="14" t="n">
        <f aca="false">M31*N31</f>
        <v>78091.2</v>
      </c>
      <c r="Q31" s="14" t="n">
        <f aca="false">IF(G31="Yes",M31*O31,0)</f>
        <v>156600</v>
      </c>
      <c r="R31" s="16" t="n">
        <f aca="false">SUMIFS(Actuals!$H$2:$H$6000,Actuals!$C$2:$C$6000,B31,Actuals!$E$2:$E$6000,D31)</f>
        <v>1193.8</v>
      </c>
      <c r="S31" s="15" t="n">
        <f aca="false">IF(M31=0,0,R31/M31)</f>
        <v>1.14348659003831</v>
      </c>
    </row>
    <row r="32" customFormat="false" ht="15" hidden="false" customHeight="false" outlineLevel="0" collapsed="false">
      <c r="A32" s="18" t="s">
        <v>545</v>
      </c>
      <c r="B32" s="18" t="s">
        <v>233</v>
      </c>
      <c r="C32" s="21" t="str">
        <f aca="false">IFERROR(INDEX(Projects!$B$2:$B$500,MATCH(B32,Projects!$A$2:$A$500,0)),"")</f>
        <v>Omnichannel Commerce Replatform</v>
      </c>
      <c r="D32" s="18" t="s">
        <v>384</v>
      </c>
      <c r="E32" s="21" t="str">
        <f aca="false">IFERROR(INDEX(Resources!$B$2:$B$500,MATCH(D32,Resources!$A$2:$A$500,0)),"")</f>
        <v>Nadia Aziz</v>
      </c>
      <c r="F32" s="18" t="s">
        <v>381</v>
      </c>
      <c r="G32" s="18" t="s">
        <v>513</v>
      </c>
      <c r="H32" s="19" t="n">
        <v>45936</v>
      </c>
      <c r="I32" s="19" t="n">
        <v>46130</v>
      </c>
      <c r="J32" s="24" t="n">
        <v>0.75</v>
      </c>
      <c r="K32" s="12" t="str">
        <f aca="false">IF(AND(AsOfDate&gt;=H32,AsOfDate&lt;=I32),"Yes","No")</f>
        <v>No</v>
      </c>
      <c r="L32" s="13" t="n">
        <f aca="false">NETWORKDAYS(H32,I32)</f>
        <v>140</v>
      </c>
      <c r="M32" s="16" t="n">
        <f aca="false">ROUND(L32*INDEX(Resources!$J$2:$J$500,MATCH(D32,Resources!$A$2:$A$500,0))/5*J32,1)</f>
        <v>840</v>
      </c>
      <c r="N32" s="29" t="n">
        <f aca="false">INDEX(Resources!$H$2:$H$500,MATCH(D32,Resources!$A$2:$A$500,0))</f>
        <v>68.82</v>
      </c>
      <c r="O32" s="29" t="n">
        <f aca="false">INDEX(Resources!$I$2:$I$500,MATCH(D32,Resources!$A$2:$A$500,0))</f>
        <v>140</v>
      </c>
      <c r="P32" s="14" t="n">
        <f aca="false">M32*N32</f>
        <v>57808.8</v>
      </c>
      <c r="Q32" s="14" t="n">
        <f aca="false">IF(G32="Yes",M32*O32,0)</f>
        <v>117600</v>
      </c>
      <c r="R32" s="16" t="n">
        <f aca="false">SUMIFS(Actuals!$H$2:$H$6000,Actuals!$C$2:$C$6000,B32,Actuals!$E$2:$E$6000,D32)</f>
        <v>1068.4</v>
      </c>
      <c r="S32" s="15" t="n">
        <f aca="false">IF(M32=0,0,R32/M32)</f>
        <v>1.27190476190476</v>
      </c>
    </row>
    <row r="33" customFormat="false" ht="15" hidden="false" customHeight="false" outlineLevel="0" collapsed="false">
      <c r="A33" s="18" t="s">
        <v>546</v>
      </c>
      <c r="B33" s="18" t="s">
        <v>233</v>
      </c>
      <c r="C33" s="21" t="str">
        <f aca="false">IFERROR(INDEX(Projects!$B$2:$B$500,MATCH(B33,Projects!$A$2:$A$500,0)),"")</f>
        <v>Omnichannel Commerce Replatform</v>
      </c>
      <c r="D33" s="18" t="s">
        <v>398</v>
      </c>
      <c r="E33" s="21" t="str">
        <f aca="false">IFERROR(INDEX(Resources!$B$2:$B$500,MATCH(D33,Resources!$A$2:$A$500,0)),"")</f>
        <v>Leah Haddad</v>
      </c>
      <c r="F33" s="18" t="s">
        <v>516</v>
      </c>
      <c r="G33" s="18" t="s">
        <v>513</v>
      </c>
      <c r="H33" s="19" t="n">
        <v>45936</v>
      </c>
      <c r="I33" s="19" t="n">
        <v>46300</v>
      </c>
      <c r="J33" s="24" t="n">
        <v>0.75</v>
      </c>
      <c r="K33" s="12" t="str">
        <f aca="false">IF(AND(AsOfDate&gt;=H33,AsOfDate&lt;=I33),"Yes","No")</f>
        <v>Yes</v>
      </c>
      <c r="L33" s="13" t="n">
        <f aca="false">NETWORKDAYS(H33,I33)</f>
        <v>261</v>
      </c>
      <c r="M33" s="16" t="n">
        <f aca="false">ROUND(L33*INDEX(Resources!$J$2:$J$500,MATCH(D33,Resources!$A$2:$A$500,0))/5*J33,1)</f>
        <v>1566</v>
      </c>
      <c r="N33" s="29" t="n">
        <f aca="false">INDEX(Resources!$H$2:$H$500,MATCH(D33,Resources!$A$2:$A$500,0))</f>
        <v>85.56</v>
      </c>
      <c r="O33" s="29" t="n">
        <f aca="false">INDEX(Resources!$I$2:$I$500,MATCH(D33,Resources!$A$2:$A$500,0))</f>
        <v>170</v>
      </c>
      <c r="P33" s="14" t="n">
        <f aca="false">M33*N33</f>
        <v>133986.96</v>
      </c>
      <c r="Q33" s="14" t="n">
        <f aca="false">IF(G33="Yes",M33*O33,0)</f>
        <v>266220</v>
      </c>
      <c r="R33" s="16" t="n">
        <f aca="false">SUMIFS(Actuals!$H$2:$H$6000,Actuals!$C$2:$C$6000,B33,Actuals!$E$2:$E$6000,D33)</f>
        <v>1767.3</v>
      </c>
      <c r="S33" s="15" t="n">
        <f aca="false">IF(M33=0,0,R33/M33)</f>
        <v>1.12854406130268</v>
      </c>
    </row>
    <row r="34" customFormat="false" ht="15" hidden="false" customHeight="false" outlineLevel="0" collapsed="false">
      <c r="A34" s="18" t="s">
        <v>547</v>
      </c>
      <c r="B34" s="18" t="s">
        <v>233</v>
      </c>
      <c r="C34" s="21" t="str">
        <f aca="false">IFERROR(INDEX(Projects!$B$2:$B$500,MATCH(B34,Projects!$A$2:$A$500,0)),"")</f>
        <v>Omnichannel Commerce Replatform</v>
      </c>
      <c r="D34" s="18" t="s">
        <v>420</v>
      </c>
      <c r="E34" s="21" t="str">
        <f aca="false">IFERROR(INDEX(Resources!$B$2:$B$500,MATCH(D34,Resources!$A$2:$A$500,0)),"")</f>
        <v>Felix Singh</v>
      </c>
      <c r="F34" s="18" t="s">
        <v>411</v>
      </c>
      <c r="G34" s="18" t="s">
        <v>513</v>
      </c>
      <c r="H34" s="19" t="n">
        <v>45936</v>
      </c>
      <c r="I34" s="19" t="n">
        <v>46300</v>
      </c>
      <c r="J34" s="24" t="n">
        <v>1</v>
      </c>
      <c r="K34" s="12" t="str">
        <f aca="false">IF(AND(AsOfDate&gt;=H34,AsOfDate&lt;=I34),"Yes","No")</f>
        <v>Yes</v>
      </c>
      <c r="L34" s="13" t="n">
        <f aca="false">NETWORKDAYS(H34,I34)</f>
        <v>261</v>
      </c>
      <c r="M34" s="16" t="n">
        <f aca="false">ROUND(L34*INDEX(Resources!$J$2:$J$500,MATCH(D34,Resources!$A$2:$A$500,0))/5*J34,1)</f>
        <v>2088</v>
      </c>
      <c r="N34" s="29" t="n">
        <f aca="false">INDEX(Resources!$H$2:$H$500,MATCH(D34,Resources!$A$2:$A$500,0))</f>
        <v>59.52</v>
      </c>
      <c r="O34" s="29" t="n">
        <f aca="false">INDEX(Resources!$I$2:$I$500,MATCH(D34,Resources!$A$2:$A$500,0))</f>
        <v>120</v>
      </c>
      <c r="P34" s="14" t="n">
        <f aca="false">M34*N34</f>
        <v>124277.76</v>
      </c>
      <c r="Q34" s="14" t="n">
        <f aca="false">IF(G34="Yes",M34*O34,0)</f>
        <v>250560</v>
      </c>
      <c r="R34" s="16" t="n">
        <f aca="false">SUMIFS(Actuals!$H$2:$H$6000,Actuals!$C$2:$C$6000,B34,Actuals!$E$2:$E$6000,D34)</f>
        <v>2393.6</v>
      </c>
      <c r="S34" s="15" t="n">
        <f aca="false">IF(M34=0,0,R34/M34)</f>
        <v>1.14636015325671</v>
      </c>
    </row>
    <row r="35" customFormat="false" ht="15" hidden="false" customHeight="false" outlineLevel="0" collapsed="false">
      <c r="A35" s="18" t="s">
        <v>548</v>
      </c>
      <c r="B35" s="18" t="s">
        <v>233</v>
      </c>
      <c r="C35" s="21" t="str">
        <f aca="false">IFERROR(INDEX(Projects!$B$2:$B$500,MATCH(B35,Projects!$A$2:$A$500,0)),"")</f>
        <v>Omnichannel Commerce Replatform</v>
      </c>
      <c r="D35" s="18" t="s">
        <v>444</v>
      </c>
      <c r="E35" s="21" t="str">
        <f aca="false">IFERROR(INDEX(Resources!$B$2:$B$500,MATCH(D35,Resources!$A$2:$A$500,0)),"")</f>
        <v>Hugo Ahmed</v>
      </c>
      <c r="F35" s="18" t="s">
        <v>436</v>
      </c>
      <c r="G35" s="18" t="s">
        <v>513</v>
      </c>
      <c r="H35" s="19" t="n">
        <v>46095</v>
      </c>
      <c r="I35" s="19" t="n">
        <v>46300</v>
      </c>
      <c r="J35" s="24" t="n">
        <v>0.5</v>
      </c>
      <c r="K35" s="12" t="str">
        <f aca="false">IF(AND(AsOfDate&gt;=H35,AsOfDate&lt;=I35),"Yes","No")</f>
        <v>Yes</v>
      </c>
      <c r="L35" s="13" t="n">
        <f aca="false">NETWORKDAYS(H35,I35)</f>
        <v>146</v>
      </c>
      <c r="M35" s="16" t="n">
        <f aca="false">ROUND(L35*INDEX(Resources!$J$2:$J$500,MATCH(D35,Resources!$A$2:$A$500,0))/5*J35,1)</f>
        <v>584</v>
      </c>
      <c r="N35" s="29" t="n">
        <f aca="false">INDEX(Resources!$H$2:$H$500,MATCH(D35,Resources!$A$2:$A$500,0))</f>
        <v>52.08</v>
      </c>
      <c r="O35" s="29" t="n">
        <f aca="false">INDEX(Resources!$I$2:$I$500,MATCH(D35,Resources!$A$2:$A$500,0))</f>
        <v>105</v>
      </c>
      <c r="P35" s="14" t="n">
        <f aca="false">M35*N35</f>
        <v>30414.72</v>
      </c>
      <c r="Q35" s="14" t="n">
        <f aca="false">IF(G35="Yes",M35*O35,0)</f>
        <v>61320</v>
      </c>
      <c r="R35" s="16" t="n">
        <f aca="false">SUMIFS(Actuals!$H$2:$H$6000,Actuals!$C$2:$C$6000,B35,Actuals!$E$2:$E$6000,D35)</f>
        <v>631.8</v>
      </c>
      <c r="S35" s="15" t="n">
        <f aca="false">IF(M35=0,0,R35/M35)</f>
        <v>1.08184931506849</v>
      </c>
    </row>
    <row r="36" customFormat="false" ht="15" hidden="false" customHeight="false" outlineLevel="0" collapsed="false">
      <c r="A36" s="18" t="s">
        <v>549</v>
      </c>
      <c r="B36" s="18" t="s">
        <v>233</v>
      </c>
      <c r="C36" s="21" t="str">
        <f aca="false">IFERROR(INDEX(Projects!$B$2:$B$500,MATCH(B36,Projects!$A$2:$A$500,0)),"")</f>
        <v>Omnichannel Commerce Replatform</v>
      </c>
      <c r="D36" s="18" t="s">
        <v>375</v>
      </c>
      <c r="E36" s="21" t="str">
        <f aca="false">IFERROR(INDEX(Resources!$B$2:$B$500,MATCH(D36,Resources!$A$2:$A$500,0)),"")</f>
        <v>Emma Leblanc</v>
      </c>
      <c r="F36" s="18" t="s">
        <v>365</v>
      </c>
      <c r="G36" s="18" t="s">
        <v>513</v>
      </c>
      <c r="H36" s="19" t="n">
        <v>45936</v>
      </c>
      <c r="I36" s="19" t="n">
        <v>46130</v>
      </c>
      <c r="J36" s="24" t="n">
        <v>0.5</v>
      </c>
      <c r="K36" s="12" t="str">
        <f aca="false">IF(AND(AsOfDate&gt;=H36,AsOfDate&lt;=I36),"Yes","No")</f>
        <v>No</v>
      </c>
      <c r="L36" s="13" t="n">
        <f aca="false">NETWORKDAYS(H36,I36)</f>
        <v>140</v>
      </c>
      <c r="M36" s="16" t="n">
        <f aca="false">ROUND(L36*INDEX(Resources!$J$2:$J$500,MATCH(D36,Resources!$A$2:$A$500,0))/5*J36,1)</f>
        <v>560</v>
      </c>
      <c r="N36" s="29" t="n">
        <f aca="false">INDEX(Resources!$H$2:$H$500,MATCH(D36,Resources!$A$2:$A$500,0))</f>
        <v>72.25</v>
      </c>
      <c r="O36" s="29" t="n">
        <f aca="false">INDEX(Resources!$I$2:$I$500,MATCH(D36,Resources!$A$2:$A$500,0))</f>
        <v>120</v>
      </c>
      <c r="P36" s="14" t="n">
        <f aca="false">M36*N36</f>
        <v>40460</v>
      </c>
      <c r="Q36" s="14" t="n">
        <f aca="false">IF(G36="Yes",M36*O36,0)</f>
        <v>67200</v>
      </c>
      <c r="R36" s="16" t="n">
        <f aca="false">SUMIFS(Actuals!$H$2:$H$6000,Actuals!$C$2:$C$6000,B36,Actuals!$E$2:$E$6000,D36)</f>
        <v>714.5</v>
      </c>
      <c r="S36" s="15" t="n">
        <f aca="false">IF(M36=0,0,R36/M36)</f>
        <v>1.27589285714286</v>
      </c>
    </row>
    <row r="37" customFormat="false" ht="15" hidden="false" customHeight="false" outlineLevel="0" collapsed="false">
      <c r="A37" s="18" t="s">
        <v>550</v>
      </c>
      <c r="B37" s="18" t="s">
        <v>239</v>
      </c>
      <c r="C37" s="21" t="str">
        <f aca="false">IFERROR(INDEX(Projects!$B$2:$B$500,MATCH(B37,Projects!$A$2:$A$500,0)),"")</f>
        <v>Student Information System Upgrade</v>
      </c>
      <c r="D37" s="18" t="s">
        <v>242</v>
      </c>
      <c r="E37" s="21" t="str">
        <f aca="false">IFERROR(INDEX(Resources!$B$2:$B$500,MATCH(D37,Resources!$A$2:$A$500,0)),"")</f>
        <v>Ethan Park</v>
      </c>
      <c r="F37" s="18" t="s">
        <v>512</v>
      </c>
      <c r="G37" s="18" t="s">
        <v>513</v>
      </c>
      <c r="H37" s="19" t="n">
        <v>46118</v>
      </c>
      <c r="I37" s="19" t="n">
        <v>46475</v>
      </c>
      <c r="J37" s="24" t="n">
        <v>0.5</v>
      </c>
      <c r="K37" s="12" t="str">
        <f aca="false">IF(AND(AsOfDate&gt;=H37,AsOfDate&lt;=I37),"Yes","No")</f>
        <v>Yes</v>
      </c>
      <c r="L37" s="13" t="n">
        <f aca="false">NETWORKDAYS(H37,I37)</f>
        <v>256</v>
      </c>
      <c r="M37" s="16" t="n">
        <f aca="false">ROUND(L37*INDEX(Resources!$J$2:$J$500,MATCH(D37,Resources!$A$2:$A$500,0))/5*J37,1)</f>
        <v>1024</v>
      </c>
      <c r="N37" s="29" t="n">
        <f aca="false">INDEX(Resources!$H$2:$H$500,MATCH(D37,Resources!$A$2:$A$500,0))</f>
        <v>95.04</v>
      </c>
      <c r="O37" s="29" t="n">
        <f aca="false">INDEX(Resources!$I$2:$I$500,MATCH(D37,Resources!$A$2:$A$500,0))</f>
        <v>190</v>
      </c>
      <c r="P37" s="14" t="n">
        <f aca="false">M37*N37</f>
        <v>97320.96</v>
      </c>
      <c r="Q37" s="14" t="n">
        <f aca="false">IF(G37="Yes",M37*O37,0)</f>
        <v>194560</v>
      </c>
      <c r="R37" s="16" t="n">
        <f aca="false">SUMIFS(Actuals!$H$2:$H$6000,Actuals!$C$2:$C$6000,B37,Actuals!$E$2:$E$6000,D37)</f>
        <v>419.5</v>
      </c>
      <c r="S37" s="15" t="n">
        <f aca="false">IF(M37=0,0,R37/M37)</f>
        <v>0.40966796875</v>
      </c>
    </row>
    <row r="38" customFormat="false" ht="15" hidden="false" customHeight="false" outlineLevel="0" collapsed="false">
      <c r="A38" s="18" t="s">
        <v>551</v>
      </c>
      <c r="B38" s="18" t="s">
        <v>239</v>
      </c>
      <c r="C38" s="21" t="str">
        <f aca="false">IFERROR(INDEX(Projects!$B$2:$B$500,MATCH(B38,Projects!$A$2:$A$500,0)),"")</f>
        <v>Student Information System Upgrade</v>
      </c>
      <c r="D38" s="18" t="s">
        <v>371</v>
      </c>
      <c r="E38" s="21" t="str">
        <f aca="false">IFERROR(INDEX(Resources!$B$2:$B$500,MATCH(D38,Resources!$A$2:$A$500,0)),"")</f>
        <v>Amara Martin</v>
      </c>
      <c r="F38" s="18" t="s">
        <v>365</v>
      </c>
      <c r="G38" s="18" t="s">
        <v>513</v>
      </c>
      <c r="H38" s="19" t="n">
        <v>46118</v>
      </c>
      <c r="I38" s="19" t="n">
        <v>46475</v>
      </c>
      <c r="J38" s="24" t="n">
        <v>0.5</v>
      </c>
      <c r="K38" s="12" t="str">
        <f aca="false">IF(AND(AsOfDate&gt;=H38,AsOfDate&lt;=I38),"Yes","No")</f>
        <v>Yes</v>
      </c>
      <c r="L38" s="13" t="n">
        <f aca="false">NETWORKDAYS(H38,I38)</f>
        <v>256</v>
      </c>
      <c r="M38" s="16" t="n">
        <f aca="false">ROUND(L38*INDEX(Resources!$J$2:$J$500,MATCH(D38,Resources!$A$2:$A$500,0))/5*J38,1)</f>
        <v>1024</v>
      </c>
      <c r="N38" s="29" t="n">
        <f aca="false">INDEX(Resources!$H$2:$H$500,MATCH(D38,Resources!$A$2:$A$500,0))</f>
        <v>63.24</v>
      </c>
      <c r="O38" s="29" t="n">
        <f aca="false">INDEX(Resources!$I$2:$I$500,MATCH(D38,Resources!$A$2:$A$500,0))</f>
        <v>130</v>
      </c>
      <c r="P38" s="14" t="n">
        <f aca="false">M38*N38</f>
        <v>64757.76</v>
      </c>
      <c r="Q38" s="14" t="n">
        <f aca="false">IF(G38="Yes",M38*O38,0)</f>
        <v>133120</v>
      </c>
      <c r="R38" s="16" t="n">
        <f aca="false">SUMIFS(Actuals!$H$2:$H$6000,Actuals!$C$2:$C$6000,B38,Actuals!$E$2:$E$6000,D38)</f>
        <v>446.5</v>
      </c>
      <c r="S38" s="15" t="n">
        <f aca="false">IF(M38=0,0,R38/M38)</f>
        <v>0.43603515625</v>
      </c>
    </row>
    <row r="39" customFormat="false" ht="15" hidden="false" customHeight="false" outlineLevel="0" collapsed="false">
      <c r="A39" s="18" t="s">
        <v>552</v>
      </c>
      <c r="B39" s="18" t="s">
        <v>239</v>
      </c>
      <c r="C39" s="21" t="str">
        <f aca="false">IFERROR(INDEX(Projects!$B$2:$B$500,MATCH(B39,Projects!$A$2:$A$500,0)),"")</f>
        <v>Student Information System Upgrade</v>
      </c>
      <c r="D39" s="18" t="s">
        <v>360</v>
      </c>
      <c r="E39" s="21" t="str">
        <f aca="false">IFERROR(INDEX(Resources!$B$2:$B$500,MATCH(D39,Resources!$A$2:$A$500,0)),"")</f>
        <v>Lucas Okoro</v>
      </c>
      <c r="F39" s="18" t="s">
        <v>350</v>
      </c>
      <c r="G39" s="18" t="s">
        <v>513</v>
      </c>
      <c r="H39" s="19" t="n">
        <v>46118</v>
      </c>
      <c r="I39" s="19" t="n">
        <v>46312</v>
      </c>
      <c r="J39" s="24" t="n">
        <v>0.5</v>
      </c>
      <c r="K39" s="12" t="str">
        <f aca="false">IF(AND(AsOfDate&gt;=H39,AsOfDate&lt;=I39),"Yes","No")</f>
        <v>Yes</v>
      </c>
      <c r="L39" s="13" t="n">
        <f aca="false">NETWORKDAYS(H39,I39)</f>
        <v>140</v>
      </c>
      <c r="M39" s="16" t="n">
        <f aca="false">ROUND(L39*INDEX(Resources!$J$2:$J$500,MATCH(D39,Resources!$A$2:$A$500,0))/5*J39,1)</f>
        <v>560</v>
      </c>
      <c r="N39" s="29" t="n">
        <f aca="false">INDEX(Resources!$H$2:$H$500,MATCH(D39,Resources!$A$2:$A$500,0))</f>
        <v>104.16</v>
      </c>
      <c r="O39" s="29" t="n">
        <f aca="false">INDEX(Resources!$I$2:$I$500,MATCH(D39,Resources!$A$2:$A$500,0))</f>
        <v>210</v>
      </c>
      <c r="P39" s="14" t="n">
        <f aca="false">M39*N39</f>
        <v>58329.6</v>
      </c>
      <c r="Q39" s="14" t="n">
        <f aca="false">IF(G39="Yes",M39*O39,0)</f>
        <v>117600</v>
      </c>
      <c r="R39" s="16" t="n">
        <f aca="false">SUMIFS(Actuals!$H$2:$H$6000,Actuals!$C$2:$C$6000,B39,Actuals!$E$2:$E$6000,D39)</f>
        <v>429.7</v>
      </c>
      <c r="S39" s="15" t="n">
        <f aca="false">IF(M39=0,0,R39/M39)</f>
        <v>0.767321428571429</v>
      </c>
    </row>
    <row r="40" customFormat="false" ht="15" hidden="false" customHeight="false" outlineLevel="0" collapsed="false">
      <c r="A40" s="18" t="s">
        <v>553</v>
      </c>
      <c r="B40" s="18" t="s">
        <v>239</v>
      </c>
      <c r="C40" s="21" t="str">
        <f aca="false">IFERROR(INDEX(Projects!$B$2:$B$500,MATCH(B40,Projects!$A$2:$A$500,0)),"")</f>
        <v>Student Information System Upgrade</v>
      </c>
      <c r="D40" s="18" t="s">
        <v>400</v>
      </c>
      <c r="E40" s="21" t="str">
        <f aca="false">IFERROR(INDEX(Resources!$B$2:$B$500,MATCH(D40,Resources!$A$2:$A$500,0)),"")</f>
        <v>Omar Bose</v>
      </c>
      <c r="F40" s="18" t="s">
        <v>516</v>
      </c>
      <c r="G40" s="18" t="s">
        <v>513</v>
      </c>
      <c r="H40" s="19" t="n">
        <v>46118</v>
      </c>
      <c r="I40" s="19" t="n">
        <v>46475</v>
      </c>
      <c r="J40" s="24" t="n">
        <v>0.75</v>
      </c>
      <c r="K40" s="12" t="str">
        <f aca="false">IF(AND(AsOfDate&gt;=H40,AsOfDate&lt;=I40),"Yes","No")</f>
        <v>Yes</v>
      </c>
      <c r="L40" s="13" t="n">
        <f aca="false">NETWORKDAYS(H40,I40)</f>
        <v>256</v>
      </c>
      <c r="M40" s="16" t="n">
        <f aca="false">ROUND(L40*INDEX(Resources!$J$2:$J$500,MATCH(D40,Resources!$A$2:$A$500,0))/5*J40,1)</f>
        <v>1536</v>
      </c>
      <c r="N40" s="29" t="n">
        <f aca="false">INDEX(Resources!$H$2:$H$500,MATCH(D40,Resources!$A$2:$A$500,0))</f>
        <v>99.36</v>
      </c>
      <c r="O40" s="29" t="n">
        <f aca="false">INDEX(Resources!$I$2:$I$500,MATCH(D40,Resources!$A$2:$A$500,0))</f>
        <v>200</v>
      </c>
      <c r="P40" s="14" t="n">
        <f aca="false">M40*N40</f>
        <v>152616.96</v>
      </c>
      <c r="Q40" s="14" t="n">
        <f aca="false">IF(G40="Yes",M40*O40,0)</f>
        <v>307200</v>
      </c>
      <c r="R40" s="16" t="n">
        <f aca="false">SUMIFS(Actuals!$H$2:$H$6000,Actuals!$C$2:$C$6000,B40,Actuals!$E$2:$E$6000,D40)</f>
        <v>622.7</v>
      </c>
      <c r="S40" s="15" t="n">
        <f aca="false">IF(M40=0,0,R40/M40)</f>
        <v>0.405403645833333</v>
      </c>
    </row>
    <row r="41" customFormat="false" ht="15" hidden="false" customHeight="false" outlineLevel="0" collapsed="false">
      <c r="A41" s="18" t="s">
        <v>554</v>
      </c>
      <c r="B41" s="18" t="s">
        <v>239</v>
      </c>
      <c r="C41" s="21" t="str">
        <f aca="false">IFERROR(INDEX(Projects!$B$2:$B$500,MATCH(B41,Projects!$A$2:$A$500,0)),"")</f>
        <v>Student Information System Upgrade</v>
      </c>
      <c r="D41" s="18" t="s">
        <v>422</v>
      </c>
      <c r="E41" s="21" t="str">
        <f aca="false">IFERROR(INDEX(Resources!$B$2:$B$500,MATCH(D41,Resources!$A$2:$A$500,0)),"")</f>
        <v>Rosa Qureshi</v>
      </c>
      <c r="F41" s="18" t="s">
        <v>411</v>
      </c>
      <c r="G41" s="18" t="s">
        <v>513</v>
      </c>
      <c r="H41" s="19" t="n">
        <v>46118</v>
      </c>
      <c r="I41" s="19" t="n">
        <v>46475</v>
      </c>
      <c r="J41" s="24" t="n">
        <v>0.5</v>
      </c>
      <c r="K41" s="12" t="str">
        <f aca="false">IF(AND(AsOfDate&gt;=H41,AsOfDate&lt;=I41),"Yes","No")</f>
        <v>Yes</v>
      </c>
      <c r="L41" s="13" t="n">
        <f aca="false">NETWORKDAYS(H41,I41)</f>
        <v>256</v>
      </c>
      <c r="M41" s="16" t="n">
        <f aca="false">ROUND(L41*INDEX(Resources!$J$2:$J$500,MATCH(D41,Resources!$A$2:$A$500,0))/5*J41,1)</f>
        <v>1024</v>
      </c>
      <c r="N41" s="29" t="n">
        <f aca="false">INDEX(Resources!$H$2:$H$500,MATCH(D41,Resources!$A$2:$A$500,0))</f>
        <v>59.52</v>
      </c>
      <c r="O41" s="29" t="n">
        <f aca="false">INDEX(Resources!$I$2:$I$500,MATCH(D41,Resources!$A$2:$A$500,0))</f>
        <v>120</v>
      </c>
      <c r="P41" s="14" t="n">
        <f aca="false">M41*N41</f>
        <v>60948.48</v>
      </c>
      <c r="Q41" s="14" t="n">
        <f aca="false">IF(G41="Yes",M41*O41,0)</f>
        <v>122880</v>
      </c>
      <c r="R41" s="16" t="n">
        <f aca="false">SUMIFS(Actuals!$H$2:$H$6000,Actuals!$C$2:$C$6000,B41,Actuals!$E$2:$E$6000,D41)</f>
        <v>388.6</v>
      </c>
      <c r="S41" s="15" t="n">
        <f aca="false">IF(M41=0,0,R41/M41)</f>
        <v>0.3794921875</v>
      </c>
    </row>
    <row r="42" customFormat="false" ht="15" hidden="false" customHeight="false" outlineLevel="0" collapsed="false">
      <c r="A42" s="18" t="s">
        <v>555</v>
      </c>
      <c r="B42" s="18" t="s">
        <v>239</v>
      </c>
      <c r="C42" s="21" t="str">
        <f aca="false">IFERROR(INDEX(Projects!$B$2:$B$500,MATCH(B42,Projects!$A$2:$A$500,0)),"")</f>
        <v>Student Information System Upgrade</v>
      </c>
      <c r="D42" s="18" t="s">
        <v>444</v>
      </c>
      <c r="E42" s="21" t="str">
        <f aca="false">IFERROR(INDEX(Resources!$B$2:$B$500,MATCH(D42,Resources!$A$2:$A$500,0)),"")</f>
        <v>Hugo Ahmed</v>
      </c>
      <c r="F42" s="18" t="s">
        <v>436</v>
      </c>
      <c r="G42" s="18" t="s">
        <v>513</v>
      </c>
      <c r="H42" s="19" t="n">
        <v>46277</v>
      </c>
      <c r="I42" s="19" t="n">
        <v>46475</v>
      </c>
      <c r="J42" s="24" t="n">
        <v>0.5</v>
      </c>
      <c r="K42" s="12" t="str">
        <f aca="false">IF(AND(AsOfDate&gt;=H42,AsOfDate&lt;=I42),"Yes","No")</f>
        <v>No</v>
      </c>
      <c r="L42" s="13" t="n">
        <f aca="false">NETWORKDAYS(H42,I42)</f>
        <v>141</v>
      </c>
      <c r="M42" s="16" t="n">
        <f aca="false">ROUND(L42*INDEX(Resources!$J$2:$J$500,MATCH(D42,Resources!$A$2:$A$500,0))/5*J42,1)</f>
        <v>564</v>
      </c>
      <c r="N42" s="29" t="n">
        <f aca="false">INDEX(Resources!$H$2:$H$500,MATCH(D42,Resources!$A$2:$A$500,0))</f>
        <v>52.08</v>
      </c>
      <c r="O42" s="29" t="n">
        <f aca="false">INDEX(Resources!$I$2:$I$500,MATCH(D42,Resources!$A$2:$A$500,0))</f>
        <v>105</v>
      </c>
      <c r="P42" s="14" t="n">
        <f aca="false">M42*N42</f>
        <v>29373.12</v>
      </c>
      <c r="Q42" s="14" t="n">
        <f aca="false">IF(G42="Yes",M42*O42,0)</f>
        <v>59220</v>
      </c>
      <c r="R42" s="16" t="n">
        <f aca="false">SUMIFS(Actuals!$H$2:$H$6000,Actuals!$C$2:$C$6000,B42,Actuals!$E$2:$E$6000,D42)</f>
        <v>0</v>
      </c>
      <c r="S42" s="15" t="n">
        <f aca="false">IF(M42=0,0,R42/M42)</f>
        <v>0</v>
      </c>
    </row>
    <row r="43" customFormat="false" ht="15" hidden="false" customHeight="false" outlineLevel="0" collapsed="false">
      <c r="A43" s="18" t="s">
        <v>556</v>
      </c>
      <c r="B43" s="18" t="s">
        <v>239</v>
      </c>
      <c r="C43" s="21" t="str">
        <f aca="false">IFERROR(INDEX(Projects!$B$2:$B$500,MATCH(B43,Projects!$A$2:$A$500,0)),"")</f>
        <v>Student Information System Upgrade</v>
      </c>
      <c r="D43" s="18" t="s">
        <v>496</v>
      </c>
      <c r="E43" s="21" t="str">
        <f aca="false">IFERROR(INDEX(Resources!$B$2:$B$500,MATCH(D43,Resources!$A$2:$A$500,0)),"")</f>
        <v>Callum Dubois</v>
      </c>
      <c r="F43" s="18" t="s">
        <v>494</v>
      </c>
      <c r="G43" s="18" t="s">
        <v>513</v>
      </c>
      <c r="H43" s="19" t="n">
        <v>46277</v>
      </c>
      <c r="I43" s="19" t="n">
        <v>46475</v>
      </c>
      <c r="J43" s="24" t="n">
        <v>0.25</v>
      </c>
      <c r="K43" s="12" t="str">
        <f aca="false">IF(AND(AsOfDate&gt;=H43,AsOfDate&lt;=I43),"Yes","No")</f>
        <v>No</v>
      </c>
      <c r="L43" s="13" t="n">
        <f aca="false">NETWORKDAYS(H43,I43)</f>
        <v>141</v>
      </c>
      <c r="M43" s="16" t="n">
        <f aca="false">ROUND(L43*INDEX(Resources!$J$2:$J$500,MATCH(D43,Resources!$A$2:$A$500,0))/5*J43,1)</f>
        <v>225.6</v>
      </c>
      <c r="N43" s="29" t="n">
        <f aca="false">INDEX(Resources!$H$2:$H$500,MATCH(D43,Resources!$A$2:$A$500,0))</f>
        <v>77.76</v>
      </c>
      <c r="O43" s="29" t="n">
        <f aca="false">INDEX(Resources!$I$2:$I$500,MATCH(D43,Resources!$A$2:$A$500,0))</f>
        <v>160</v>
      </c>
      <c r="P43" s="14" t="n">
        <f aca="false">M43*N43</f>
        <v>17542.656</v>
      </c>
      <c r="Q43" s="14" t="n">
        <f aca="false">IF(G43="Yes",M43*O43,0)</f>
        <v>36096</v>
      </c>
      <c r="R43" s="16" t="n">
        <f aca="false">SUMIFS(Actuals!$H$2:$H$6000,Actuals!$C$2:$C$6000,B43,Actuals!$E$2:$E$6000,D43)</f>
        <v>0</v>
      </c>
      <c r="S43" s="15" t="n">
        <f aca="false">IF(M43=0,0,R43/M43)</f>
        <v>0</v>
      </c>
    </row>
    <row r="44" customFormat="false" ht="15" hidden="false" customHeight="false" outlineLevel="0" collapsed="false">
      <c r="A44" s="18" t="s">
        <v>557</v>
      </c>
      <c r="B44" s="18" t="s">
        <v>244</v>
      </c>
      <c r="C44" s="21" t="str">
        <f aca="false">IFERROR(INDEX(Projects!$B$2:$B$500,MATCH(B44,Projects!$A$2:$A$500,0)),"")</f>
        <v>Network Operations Centre Refresh</v>
      </c>
      <c r="D44" s="18" t="s">
        <v>247</v>
      </c>
      <c r="E44" s="21" t="str">
        <f aca="false">IFERROR(INDEX(Resources!$B$2:$B$500,MATCH(D44,Resources!$A$2:$A$500,0)),"")</f>
        <v>Arjun Baptiste</v>
      </c>
      <c r="F44" s="18" t="s">
        <v>512</v>
      </c>
      <c r="G44" s="18" t="s">
        <v>527</v>
      </c>
      <c r="H44" s="19" t="n">
        <v>46027</v>
      </c>
      <c r="I44" s="19" t="n">
        <v>46328</v>
      </c>
      <c r="J44" s="24" t="n">
        <v>0.25</v>
      </c>
      <c r="K44" s="12" t="str">
        <f aca="false">IF(AND(AsOfDate&gt;=H44,AsOfDate&lt;=I44),"Yes","No")</f>
        <v>Yes</v>
      </c>
      <c r="L44" s="13" t="n">
        <f aca="false">NETWORKDAYS(H44,I44)</f>
        <v>216</v>
      </c>
      <c r="M44" s="16" t="n">
        <f aca="false">ROUND(L44*INDEX(Resources!$J$2:$J$500,MATCH(D44,Resources!$A$2:$A$500,0))/5*J44,1)</f>
        <v>432</v>
      </c>
      <c r="N44" s="29" t="n">
        <f aca="false">INDEX(Resources!$H$2:$H$500,MATCH(D44,Resources!$A$2:$A$500,0))</f>
        <v>88</v>
      </c>
      <c r="O44" s="29" t="n">
        <f aca="false">INDEX(Resources!$I$2:$I$500,MATCH(D44,Resources!$A$2:$A$500,0))</f>
        <v>175</v>
      </c>
      <c r="P44" s="14" t="n">
        <f aca="false">M44*N44</f>
        <v>38016</v>
      </c>
      <c r="Q44" s="14" t="n">
        <f aca="false">IF(G44="Yes",M44*O44,0)</f>
        <v>0</v>
      </c>
      <c r="R44" s="16" t="n">
        <f aca="false">SUMIFS(Actuals!$H$2:$H$6000,Actuals!$C$2:$C$6000,B44,Actuals!$E$2:$E$6000,D44)</f>
        <v>417.7</v>
      </c>
      <c r="S44" s="15" t="n">
        <f aca="false">IF(M44=0,0,R44/M44)</f>
        <v>0.966898148148148</v>
      </c>
    </row>
    <row r="45" customFormat="false" ht="15" hidden="false" customHeight="false" outlineLevel="0" collapsed="false">
      <c r="A45" s="18" t="s">
        <v>558</v>
      </c>
      <c r="B45" s="18" t="s">
        <v>244</v>
      </c>
      <c r="C45" s="21" t="str">
        <f aca="false">IFERROR(INDEX(Projects!$B$2:$B$500,MATCH(B45,Projects!$A$2:$A$500,0)),"")</f>
        <v>Network Operations Centre Refresh</v>
      </c>
      <c r="D45" s="18" t="s">
        <v>475</v>
      </c>
      <c r="E45" s="21" t="str">
        <f aca="false">IFERROR(INDEX(Resources!$B$2:$B$500,MATCH(D45,Resources!$A$2:$A$500,0)),"")</f>
        <v>Esme Khan</v>
      </c>
      <c r="F45" s="18" t="s">
        <v>472</v>
      </c>
      <c r="G45" s="18" t="s">
        <v>513</v>
      </c>
      <c r="H45" s="19" t="n">
        <v>46027</v>
      </c>
      <c r="I45" s="19" t="n">
        <v>46328</v>
      </c>
      <c r="J45" s="24" t="n">
        <v>0.75</v>
      </c>
      <c r="K45" s="12" t="str">
        <f aca="false">IF(AND(AsOfDate&gt;=H45,AsOfDate&lt;=I45),"Yes","No")</f>
        <v>Yes</v>
      </c>
      <c r="L45" s="13" t="n">
        <f aca="false">NETWORKDAYS(H45,I45)</f>
        <v>216</v>
      </c>
      <c r="M45" s="16" t="n">
        <f aca="false">ROUND(L45*INDEX(Resources!$J$2:$J$500,MATCH(D45,Resources!$A$2:$A$500,0))/5*J45,1)</f>
        <v>1296</v>
      </c>
      <c r="N45" s="29" t="n">
        <f aca="false">INDEX(Resources!$H$2:$H$500,MATCH(D45,Resources!$A$2:$A$500,0))</f>
        <v>117.5</v>
      </c>
      <c r="O45" s="29" t="n">
        <f aca="false">INDEX(Resources!$I$2:$I$500,MATCH(D45,Resources!$A$2:$A$500,0))</f>
        <v>190</v>
      </c>
      <c r="P45" s="14" t="n">
        <f aca="false">M45*N45</f>
        <v>152280</v>
      </c>
      <c r="Q45" s="14" t="n">
        <f aca="false">IF(G45="Yes",M45*O45,0)</f>
        <v>246240</v>
      </c>
      <c r="R45" s="16" t="n">
        <f aca="false">SUMIFS(Actuals!$H$2:$H$6000,Actuals!$C$2:$C$6000,B45,Actuals!$E$2:$E$6000,D45)</f>
        <v>1231.5</v>
      </c>
      <c r="S45" s="15" t="n">
        <f aca="false">IF(M45=0,0,R45/M45)</f>
        <v>0.950231481481482</v>
      </c>
    </row>
    <row r="46" customFormat="false" ht="15" hidden="false" customHeight="false" outlineLevel="0" collapsed="false">
      <c r="A46" s="18" t="s">
        <v>559</v>
      </c>
      <c r="B46" s="18" t="s">
        <v>244</v>
      </c>
      <c r="C46" s="21" t="str">
        <f aca="false">IFERROR(INDEX(Projects!$B$2:$B$500,MATCH(B46,Projects!$A$2:$A$500,0)),"")</f>
        <v>Network Operations Centre Refresh</v>
      </c>
      <c r="D46" s="18" t="s">
        <v>487</v>
      </c>
      <c r="E46" s="21" t="str">
        <f aca="false">IFERROR(INDEX(Resources!$B$2:$B$500,MATCH(D46,Resources!$A$2:$A$500,0)),"")</f>
        <v>Priyanka Tanaka</v>
      </c>
      <c r="F46" s="18" t="s">
        <v>485</v>
      </c>
      <c r="G46" s="18" t="s">
        <v>513</v>
      </c>
      <c r="H46" s="19" t="n">
        <v>46027</v>
      </c>
      <c r="I46" s="19" t="n">
        <v>46328</v>
      </c>
      <c r="J46" s="24" t="n">
        <v>0.5</v>
      </c>
      <c r="K46" s="12" t="str">
        <f aca="false">IF(AND(AsOfDate&gt;=H46,AsOfDate&lt;=I46),"Yes","No")</f>
        <v>Yes</v>
      </c>
      <c r="L46" s="13" t="n">
        <f aca="false">NETWORKDAYS(H46,I46)</f>
        <v>216</v>
      </c>
      <c r="M46" s="16" t="n">
        <f aca="false">ROUND(L46*INDEX(Resources!$J$2:$J$500,MATCH(D46,Resources!$A$2:$A$500,0))/5*J46,1)</f>
        <v>864</v>
      </c>
      <c r="N46" s="29" t="n">
        <f aca="false">INDEX(Resources!$H$2:$H$500,MATCH(D46,Resources!$A$2:$A$500,0))</f>
        <v>79.98</v>
      </c>
      <c r="O46" s="29" t="n">
        <f aca="false">INDEX(Resources!$I$2:$I$500,MATCH(D46,Resources!$A$2:$A$500,0))</f>
        <v>165</v>
      </c>
      <c r="P46" s="14" t="n">
        <f aca="false">M46*N46</f>
        <v>69102.72</v>
      </c>
      <c r="Q46" s="14" t="n">
        <f aca="false">IF(G46="Yes",M46*O46,0)</f>
        <v>142560</v>
      </c>
      <c r="R46" s="16" t="n">
        <f aca="false">SUMIFS(Actuals!$H$2:$H$6000,Actuals!$C$2:$C$6000,B46,Actuals!$E$2:$E$6000,D46)</f>
        <v>829.2</v>
      </c>
      <c r="S46" s="15" t="n">
        <f aca="false">IF(M46=0,0,R46/M46)</f>
        <v>0.959722222222222</v>
      </c>
    </row>
    <row r="47" customFormat="false" ht="15" hidden="false" customHeight="false" outlineLevel="0" collapsed="false">
      <c r="A47" s="18" t="s">
        <v>560</v>
      </c>
      <c r="B47" s="18" t="s">
        <v>244</v>
      </c>
      <c r="C47" s="21" t="str">
        <f aca="false">IFERROR(INDEX(Projects!$B$2:$B$500,MATCH(B47,Projects!$A$2:$A$500,0)),"")</f>
        <v>Network Operations Centre Refresh</v>
      </c>
      <c r="D47" s="18" t="s">
        <v>354</v>
      </c>
      <c r="E47" s="21" t="str">
        <f aca="false">IFERROR(INDEX(Resources!$B$2:$B$500,MATCH(D47,Resources!$A$2:$A$500,0)),"")</f>
        <v>Mateo Bianchi</v>
      </c>
      <c r="F47" s="18" t="s">
        <v>350</v>
      </c>
      <c r="G47" s="18" t="s">
        <v>513</v>
      </c>
      <c r="H47" s="19" t="n">
        <v>46027</v>
      </c>
      <c r="I47" s="19" t="n">
        <v>46183</v>
      </c>
      <c r="J47" s="24" t="n">
        <v>0.25</v>
      </c>
      <c r="K47" s="12" t="str">
        <f aca="false">IF(AND(AsOfDate&gt;=H47,AsOfDate&lt;=I47),"Yes","No")</f>
        <v>No</v>
      </c>
      <c r="L47" s="13" t="n">
        <f aca="false">NETWORKDAYS(H47,I47)</f>
        <v>113</v>
      </c>
      <c r="M47" s="16" t="n">
        <f aca="false">ROUND(L47*INDEX(Resources!$J$2:$J$500,MATCH(D47,Resources!$A$2:$A$500,0))/5*J47,1)</f>
        <v>226</v>
      </c>
      <c r="N47" s="29" t="n">
        <f aca="false">INDEX(Resources!$H$2:$H$500,MATCH(D47,Resources!$A$2:$A$500,0))</f>
        <v>129.92</v>
      </c>
      <c r="O47" s="29" t="n">
        <f aca="false">INDEX(Resources!$I$2:$I$500,MATCH(D47,Resources!$A$2:$A$500,0))</f>
        <v>260</v>
      </c>
      <c r="P47" s="14" t="n">
        <f aca="false">M47*N47</f>
        <v>29361.92</v>
      </c>
      <c r="Q47" s="14" t="n">
        <f aca="false">IF(G47="Yes",M47*O47,0)</f>
        <v>58760</v>
      </c>
      <c r="R47" s="16" t="n">
        <f aca="false">SUMIFS(Actuals!$H$2:$H$6000,Actuals!$C$2:$C$6000,B47,Actuals!$E$2:$E$6000,D47)</f>
        <v>274.4</v>
      </c>
      <c r="S47" s="15" t="n">
        <f aca="false">IF(M47=0,0,R47/M47)</f>
        <v>1.2141592920354</v>
      </c>
    </row>
    <row r="48" customFormat="false" ht="15" hidden="false" customHeight="false" outlineLevel="0" collapsed="false">
      <c r="A48" s="18" t="s">
        <v>561</v>
      </c>
      <c r="B48" s="18" t="s">
        <v>244</v>
      </c>
      <c r="C48" s="21" t="str">
        <f aca="false">IFERROR(INDEX(Projects!$B$2:$B$500,MATCH(B48,Projects!$A$2:$A$500,0)),"")</f>
        <v>Network Operations Centre Refresh</v>
      </c>
      <c r="D48" s="18" t="s">
        <v>405</v>
      </c>
      <c r="E48" s="21" t="str">
        <f aca="false">IFERROR(INDEX(Resources!$B$2:$B$500,MATCH(D48,Resources!$A$2:$A$500,0)),"")</f>
        <v>Tariq Obi</v>
      </c>
      <c r="F48" s="18" t="s">
        <v>516</v>
      </c>
      <c r="G48" s="18" t="s">
        <v>513</v>
      </c>
      <c r="H48" s="19" t="n">
        <v>46027</v>
      </c>
      <c r="I48" s="19" t="n">
        <v>46328</v>
      </c>
      <c r="J48" s="24" t="n">
        <v>0.5</v>
      </c>
      <c r="K48" s="12" t="str">
        <f aca="false">IF(AND(AsOfDate&gt;=H48,AsOfDate&lt;=I48),"Yes","No")</f>
        <v>Yes</v>
      </c>
      <c r="L48" s="13" t="n">
        <f aca="false">NETWORKDAYS(H48,I48)</f>
        <v>216</v>
      </c>
      <c r="M48" s="16" t="n">
        <f aca="false">ROUND(L48*INDEX(Resources!$J$2:$J$500,MATCH(D48,Resources!$A$2:$A$500,0))/5*J48,1)</f>
        <v>864</v>
      </c>
      <c r="N48" s="29" t="n">
        <f aca="false">INDEX(Resources!$H$2:$H$500,MATCH(D48,Resources!$A$2:$A$500,0))</f>
        <v>99.36</v>
      </c>
      <c r="O48" s="29" t="n">
        <f aca="false">INDEX(Resources!$I$2:$I$500,MATCH(D48,Resources!$A$2:$A$500,0))</f>
        <v>200</v>
      </c>
      <c r="P48" s="14" t="n">
        <f aca="false">M48*N48</f>
        <v>85847.04</v>
      </c>
      <c r="Q48" s="14" t="n">
        <f aca="false">IF(G48="Yes",M48*O48,0)</f>
        <v>172800</v>
      </c>
      <c r="R48" s="16" t="n">
        <f aca="false">SUMIFS(Actuals!$H$2:$H$6000,Actuals!$C$2:$C$6000,B48,Actuals!$E$2:$E$6000,D48)</f>
        <v>828.5</v>
      </c>
      <c r="S48" s="15" t="n">
        <f aca="false">IF(M48=0,0,R48/M48)</f>
        <v>0.958912037037037</v>
      </c>
    </row>
    <row r="49" customFormat="false" ht="15" hidden="false" customHeight="false" outlineLevel="0" collapsed="false">
      <c r="A49" s="18" t="s">
        <v>562</v>
      </c>
      <c r="B49" s="18" t="s">
        <v>249</v>
      </c>
      <c r="C49" s="21" t="str">
        <f aca="false">IFERROR(INDEX(Projects!$B$2:$B$500,MATCH(B49,Projects!$A$2:$A$500,0)),"")</f>
        <v>Smart Factory IoT Pilot</v>
      </c>
      <c r="D49" s="18" t="s">
        <v>218</v>
      </c>
      <c r="E49" s="21" t="str">
        <f aca="false">IFERROR(INDEX(Resources!$B$2:$B$500,MATCH(D49,Resources!$A$2:$A$500,0)),"")</f>
        <v>Mei Fraser</v>
      </c>
      <c r="F49" s="18" t="s">
        <v>512</v>
      </c>
      <c r="G49" s="18" t="s">
        <v>513</v>
      </c>
      <c r="H49" s="19" t="n">
        <v>46146</v>
      </c>
      <c r="I49" s="19" t="n">
        <v>46370</v>
      </c>
      <c r="J49" s="24" t="n">
        <v>0.5</v>
      </c>
      <c r="K49" s="12" t="str">
        <f aca="false">IF(AND(AsOfDate&gt;=H49,AsOfDate&lt;=I49),"Yes","No")</f>
        <v>Yes</v>
      </c>
      <c r="L49" s="13" t="n">
        <f aca="false">NETWORKDAYS(H49,I49)</f>
        <v>161</v>
      </c>
      <c r="M49" s="16" t="n">
        <f aca="false">ROUND(L49*INDEX(Resources!$J$2:$J$500,MATCH(D49,Resources!$A$2:$A$500,0))/5*J49,1)</f>
        <v>644</v>
      </c>
      <c r="N49" s="29" t="n">
        <f aca="false">INDEX(Resources!$H$2:$H$500,MATCH(D49,Resources!$A$2:$A$500,0))</f>
        <v>74.8</v>
      </c>
      <c r="O49" s="29" t="n">
        <f aca="false">INDEX(Resources!$I$2:$I$500,MATCH(D49,Resources!$A$2:$A$500,0))</f>
        <v>150</v>
      </c>
      <c r="P49" s="14" t="n">
        <f aca="false">M49*N49</f>
        <v>48171.2</v>
      </c>
      <c r="Q49" s="14" t="n">
        <f aca="false">IF(G49="Yes",M49*O49,0)</f>
        <v>96600</v>
      </c>
      <c r="R49" s="16" t="n">
        <f aca="false">SUMIFS(Actuals!$H$2:$H$6000,Actuals!$C$2:$C$6000,B49,Actuals!$E$2:$E$6000,D49)</f>
        <v>343.5</v>
      </c>
      <c r="S49" s="15" t="n">
        <f aca="false">IF(M49=0,0,R49/M49)</f>
        <v>0.533385093167702</v>
      </c>
    </row>
    <row r="50" customFormat="false" ht="15" hidden="false" customHeight="false" outlineLevel="0" collapsed="false">
      <c r="A50" s="18" t="s">
        <v>563</v>
      </c>
      <c r="B50" s="18" t="s">
        <v>249</v>
      </c>
      <c r="C50" s="21" t="str">
        <f aca="false">IFERROR(INDEX(Projects!$B$2:$B$500,MATCH(B50,Projects!$A$2:$A$500,0)),"")</f>
        <v>Smart Factory IoT Pilot</v>
      </c>
      <c r="D50" s="18" t="s">
        <v>373</v>
      </c>
      <c r="E50" s="21" t="str">
        <f aca="false">IFERROR(INDEX(Resources!$B$2:$B$500,MATCH(D50,Resources!$A$2:$A$500,0)),"")</f>
        <v>Ravi Gagnon</v>
      </c>
      <c r="F50" s="18" t="s">
        <v>365</v>
      </c>
      <c r="G50" s="18" t="s">
        <v>513</v>
      </c>
      <c r="H50" s="19" t="n">
        <v>46146</v>
      </c>
      <c r="I50" s="19" t="n">
        <v>46370</v>
      </c>
      <c r="J50" s="24" t="n">
        <v>0.5</v>
      </c>
      <c r="K50" s="12" t="str">
        <f aca="false">IF(AND(AsOfDate&gt;=H50,AsOfDate&lt;=I50),"Yes","No")</f>
        <v>Yes</v>
      </c>
      <c r="L50" s="13" t="n">
        <f aca="false">NETWORKDAYS(H50,I50)</f>
        <v>161</v>
      </c>
      <c r="M50" s="16" t="n">
        <f aca="false">ROUND(L50*INDEX(Resources!$J$2:$J$500,MATCH(D50,Resources!$A$2:$A$500,0))/5*J50,1)</f>
        <v>644</v>
      </c>
      <c r="N50" s="29" t="n">
        <f aca="false">INDEX(Resources!$H$2:$H$500,MATCH(D50,Resources!$A$2:$A$500,0))</f>
        <v>73.44</v>
      </c>
      <c r="O50" s="29" t="n">
        <f aca="false">INDEX(Resources!$I$2:$I$500,MATCH(D50,Resources!$A$2:$A$500,0))</f>
        <v>150</v>
      </c>
      <c r="P50" s="14" t="n">
        <f aca="false">M50*N50</f>
        <v>47295.36</v>
      </c>
      <c r="Q50" s="14" t="n">
        <f aca="false">IF(G50="Yes",M50*O50,0)</f>
        <v>96600</v>
      </c>
      <c r="R50" s="16" t="n">
        <f aca="false">SUMIFS(Actuals!$H$2:$H$6000,Actuals!$C$2:$C$6000,B50,Actuals!$E$2:$E$6000,D50)</f>
        <v>332</v>
      </c>
      <c r="S50" s="15" t="n">
        <f aca="false">IF(M50=0,0,R50/M50)</f>
        <v>0.515527950310559</v>
      </c>
    </row>
    <row r="51" customFormat="false" ht="15" hidden="false" customHeight="false" outlineLevel="0" collapsed="false">
      <c r="A51" s="18" t="s">
        <v>564</v>
      </c>
      <c r="B51" s="18" t="s">
        <v>249</v>
      </c>
      <c r="C51" s="21" t="str">
        <f aca="false">IFERROR(INDEX(Projects!$B$2:$B$500,MATCH(B51,Projects!$A$2:$A$500,0)),"")</f>
        <v>Smart Factory IoT Pilot</v>
      </c>
      <c r="D51" s="18" t="s">
        <v>403</v>
      </c>
      <c r="E51" s="21" t="str">
        <f aca="false">IFERROR(INDEX(Resources!$B$2:$B$500,MATCH(D51,Resources!$A$2:$A$500,0)),"")</f>
        <v>Grace Chowdhury</v>
      </c>
      <c r="F51" s="18" t="s">
        <v>516</v>
      </c>
      <c r="G51" s="18" t="s">
        <v>513</v>
      </c>
      <c r="H51" s="19" t="n">
        <v>46146</v>
      </c>
      <c r="I51" s="19" t="n">
        <v>46370</v>
      </c>
      <c r="J51" s="24" t="n">
        <v>0.75</v>
      </c>
      <c r="K51" s="12" t="str">
        <f aca="false">IF(AND(AsOfDate&gt;=H51,AsOfDate&lt;=I51),"Yes","No")</f>
        <v>Yes</v>
      </c>
      <c r="L51" s="13" t="n">
        <f aca="false">NETWORKDAYS(H51,I51)</f>
        <v>161</v>
      </c>
      <c r="M51" s="16" t="n">
        <f aca="false">ROUND(L51*INDEX(Resources!$J$2:$J$500,MATCH(D51,Resources!$A$2:$A$500,0))/5*J51,1)</f>
        <v>966</v>
      </c>
      <c r="N51" s="29" t="n">
        <f aca="false">INDEX(Resources!$H$2:$H$500,MATCH(D51,Resources!$A$2:$A$500,0))</f>
        <v>85.56</v>
      </c>
      <c r="O51" s="29" t="n">
        <f aca="false">INDEX(Resources!$I$2:$I$500,MATCH(D51,Resources!$A$2:$A$500,0))</f>
        <v>170</v>
      </c>
      <c r="P51" s="14" t="n">
        <f aca="false">M51*N51</f>
        <v>82650.96</v>
      </c>
      <c r="Q51" s="14" t="n">
        <f aca="false">IF(G51="Yes",M51*O51,0)</f>
        <v>164220</v>
      </c>
      <c r="R51" s="16" t="n">
        <f aca="false">SUMIFS(Actuals!$H$2:$H$6000,Actuals!$C$2:$C$6000,B51,Actuals!$E$2:$E$6000,D51)</f>
        <v>523.2</v>
      </c>
      <c r="S51" s="15" t="n">
        <f aca="false">IF(M51=0,0,R51/M51)</f>
        <v>0.541614906832298</v>
      </c>
    </row>
    <row r="52" customFormat="false" ht="15" hidden="false" customHeight="false" outlineLevel="0" collapsed="false">
      <c r="A52" s="18" t="s">
        <v>565</v>
      </c>
      <c r="B52" s="18" t="s">
        <v>249</v>
      </c>
      <c r="C52" s="21" t="str">
        <f aca="false">IFERROR(INDEX(Projects!$B$2:$B$500,MATCH(B52,Projects!$A$2:$A$500,0)),"")</f>
        <v>Smart Factory IoT Pilot</v>
      </c>
      <c r="D52" s="18" t="s">
        <v>424</v>
      </c>
      <c r="E52" s="21" t="str">
        <f aca="false">IFERROR(INDEX(Resources!$B$2:$B$500,MATCH(D52,Resources!$A$2:$A$500,0)),"")</f>
        <v>Imran Ivanova</v>
      </c>
      <c r="F52" s="18" t="s">
        <v>411</v>
      </c>
      <c r="G52" s="18" t="s">
        <v>513</v>
      </c>
      <c r="H52" s="19" t="n">
        <v>46146</v>
      </c>
      <c r="I52" s="19" t="n">
        <v>46370</v>
      </c>
      <c r="J52" s="24" t="n">
        <v>0.75</v>
      </c>
      <c r="K52" s="12" t="str">
        <f aca="false">IF(AND(AsOfDate&gt;=H52,AsOfDate&lt;=I52),"Yes","No")</f>
        <v>Yes</v>
      </c>
      <c r="L52" s="13" t="n">
        <f aca="false">NETWORKDAYS(H52,I52)</f>
        <v>161</v>
      </c>
      <c r="M52" s="16" t="n">
        <f aca="false">ROUND(L52*INDEX(Resources!$J$2:$J$500,MATCH(D52,Resources!$A$2:$A$500,0))/5*J52,1)</f>
        <v>966</v>
      </c>
      <c r="N52" s="29" t="n">
        <f aca="false">INDEX(Resources!$H$2:$H$500,MATCH(D52,Resources!$A$2:$A$500,0))</f>
        <v>68</v>
      </c>
      <c r="O52" s="29" t="n">
        <f aca="false">INDEX(Resources!$I$2:$I$500,MATCH(D52,Resources!$A$2:$A$500,0))</f>
        <v>110</v>
      </c>
      <c r="P52" s="14" t="n">
        <f aca="false">M52*N52</f>
        <v>65688</v>
      </c>
      <c r="Q52" s="14" t="n">
        <f aca="false">IF(G52="Yes",M52*O52,0)</f>
        <v>106260</v>
      </c>
      <c r="R52" s="16" t="n">
        <f aca="false">SUMIFS(Actuals!$H$2:$H$6000,Actuals!$C$2:$C$6000,B52,Actuals!$E$2:$E$6000,D52)</f>
        <v>507.7</v>
      </c>
      <c r="S52" s="15" t="n">
        <f aca="false">IF(M52=0,0,R52/M52)</f>
        <v>0.525569358178054</v>
      </c>
    </row>
    <row r="53" customFormat="false" ht="15" hidden="false" customHeight="false" outlineLevel="0" collapsed="false">
      <c r="A53" s="18" t="s">
        <v>566</v>
      </c>
      <c r="B53" s="18" t="s">
        <v>249</v>
      </c>
      <c r="C53" s="21" t="str">
        <f aca="false">IFERROR(INDEX(Projects!$B$2:$B$500,MATCH(B53,Projects!$A$2:$A$500,0)),"")</f>
        <v>Smart Factory IoT Pilot</v>
      </c>
      <c r="D53" s="18" t="s">
        <v>448</v>
      </c>
      <c r="E53" s="21" t="str">
        <f aca="false">IFERROR(INDEX(Resources!$B$2:$B$500,MATCH(D53,Resources!$A$2:$A$500,0)),"")</f>
        <v>Kofi Mensah</v>
      </c>
      <c r="F53" s="18" t="s">
        <v>436</v>
      </c>
      <c r="G53" s="18" t="s">
        <v>513</v>
      </c>
      <c r="H53" s="19" t="n">
        <v>46245</v>
      </c>
      <c r="I53" s="19" t="n">
        <v>46370</v>
      </c>
      <c r="J53" s="24" t="n">
        <v>0.5</v>
      </c>
      <c r="K53" s="12" t="str">
        <f aca="false">IF(AND(AsOfDate&gt;=H53,AsOfDate&lt;=I53),"Yes","No")</f>
        <v>Yes</v>
      </c>
      <c r="L53" s="13" t="n">
        <f aca="false">NETWORKDAYS(H53,I53)</f>
        <v>90</v>
      </c>
      <c r="M53" s="16" t="n">
        <f aca="false">ROUND(L53*INDEX(Resources!$J$2:$J$500,MATCH(D53,Resources!$A$2:$A$500,0))/5*J53,1)</f>
        <v>360</v>
      </c>
      <c r="N53" s="29" t="n">
        <f aca="false">INDEX(Resources!$H$2:$H$500,MATCH(D53,Resources!$A$2:$A$500,0))</f>
        <v>64.96</v>
      </c>
      <c r="O53" s="29" t="n">
        <f aca="false">INDEX(Resources!$I$2:$I$500,MATCH(D53,Resources!$A$2:$A$500,0))</f>
        <v>135</v>
      </c>
      <c r="P53" s="14" t="n">
        <f aca="false">M53*N53</f>
        <v>23385.6</v>
      </c>
      <c r="Q53" s="14" t="n">
        <f aca="false">IF(G53="Yes",M53*O53,0)</f>
        <v>48600</v>
      </c>
      <c r="R53" s="16" t="n">
        <f aca="false">SUMIFS(Actuals!$H$2:$H$6000,Actuals!$C$2:$C$6000,B53,Actuals!$E$2:$E$6000,D53)</f>
        <v>65.6</v>
      </c>
      <c r="S53" s="15" t="n">
        <f aca="false">IF(M53=0,0,R53/M53)</f>
        <v>0.182222222222222</v>
      </c>
    </row>
    <row r="54" customFormat="false" ht="15" hidden="false" customHeight="false" outlineLevel="0" collapsed="false">
      <c r="A54" s="18" t="s">
        <v>567</v>
      </c>
      <c r="B54" s="18" t="s">
        <v>249</v>
      </c>
      <c r="C54" s="21" t="str">
        <f aca="false">IFERROR(INDEX(Projects!$B$2:$B$500,MATCH(B54,Projects!$A$2:$A$500,0)),"")</f>
        <v>Smart Factory IoT Pilot</v>
      </c>
      <c r="D54" s="18" t="s">
        <v>496</v>
      </c>
      <c r="E54" s="21" t="str">
        <f aca="false">IFERROR(INDEX(Resources!$B$2:$B$500,MATCH(D54,Resources!$A$2:$A$500,0)),"")</f>
        <v>Callum Dubois</v>
      </c>
      <c r="F54" s="18" t="s">
        <v>494</v>
      </c>
      <c r="G54" s="18" t="s">
        <v>513</v>
      </c>
      <c r="H54" s="19" t="n">
        <v>46245</v>
      </c>
      <c r="I54" s="19" t="n">
        <v>46370</v>
      </c>
      <c r="J54" s="24" t="n">
        <v>0.25</v>
      </c>
      <c r="K54" s="12" t="str">
        <f aca="false">IF(AND(AsOfDate&gt;=H54,AsOfDate&lt;=I54),"Yes","No")</f>
        <v>Yes</v>
      </c>
      <c r="L54" s="13" t="n">
        <f aca="false">NETWORKDAYS(H54,I54)</f>
        <v>90</v>
      </c>
      <c r="M54" s="16" t="n">
        <f aca="false">ROUND(L54*INDEX(Resources!$J$2:$J$500,MATCH(D54,Resources!$A$2:$A$500,0))/5*J54,1)</f>
        <v>144</v>
      </c>
      <c r="N54" s="29" t="n">
        <f aca="false">INDEX(Resources!$H$2:$H$500,MATCH(D54,Resources!$A$2:$A$500,0))</f>
        <v>77.76</v>
      </c>
      <c r="O54" s="29" t="n">
        <f aca="false">INDEX(Resources!$I$2:$I$500,MATCH(D54,Resources!$A$2:$A$500,0))</f>
        <v>160</v>
      </c>
      <c r="P54" s="14" t="n">
        <f aca="false">M54*N54</f>
        <v>11197.44</v>
      </c>
      <c r="Q54" s="14" t="n">
        <f aca="false">IF(G54="Yes",M54*O54,0)</f>
        <v>23040</v>
      </c>
      <c r="R54" s="16" t="n">
        <f aca="false">SUMIFS(Actuals!$H$2:$H$6000,Actuals!$C$2:$C$6000,B54,Actuals!$E$2:$E$6000,D54)</f>
        <v>26</v>
      </c>
      <c r="S54" s="15" t="n">
        <f aca="false">IF(M54=0,0,R54/M54)</f>
        <v>0.180555555555556</v>
      </c>
    </row>
    <row r="55" customFormat="false" ht="15" hidden="false" customHeight="false" outlineLevel="0" collapsed="false">
      <c r="A55" s="18" t="s">
        <v>568</v>
      </c>
      <c r="B55" s="18" t="s">
        <v>253</v>
      </c>
      <c r="C55" s="21" t="str">
        <f aca="false">IFERROR(INDEX(Projects!$B$2:$B$500,MATCH(B55,Projects!$A$2:$A$500,0)),"")</f>
        <v>311 Citizen Services App</v>
      </c>
      <c r="D55" s="18" t="s">
        <v>231</v>
      </c>
      <c r="E55" s="21" t="str">
        <f aca="false">IFERROR(INDEX(Resources!$B$2:$B$500,MATCH(D55,Resources!$A$2:$A$500,0)),"")</f>
        <v>Fatima Cohen</v>
      </c>
      <c r="F55" s="18" t="s">
        <v>512</v>
      </c>
      <c r="G55" s="18" t="s">
        <v>513</v>
      </c>
      <c r="H55" s="19" t="n">
        <v>45992</v>
      </c>
      <c r="I55" s="19" t="n">
        <v>46311</v>
      </c>
      <c r="J55" s="24" t="n">
        <v>0.5</v>
      </c>
      <c r="K55" s="12" t="str">
        <f aca="false">IF(AND(AsOfDate&gt;=H55,AsOfDate&lt;=I55),"Yes","No")</f>
        <v>Yes</v>
      </c>
      <c r="L55" s="13" t="n">
        <f aca="false">NETWORKDAYS(H55,I55)</f>
        <v>230</v>
      </c>
      <c r="M55" s="16" t="n">
        <f aca="false">ROUND(L55*INDEX(Resources!$J$2:$J$500,MATCH(D55,Resources!$A$2:$A$500,0))/5*J55,1)</f>
        <v>920</v>
      </c>
      <c r="N55" s="29" t="n">
        <f aca="false">INDEX(Resources!$H$2:$H$500,MATCH(D55,Resources!$A$2:$A$500,0))</f>
        <v>102.08</v>
      </c>
      <c r="O55" s="29" t="n">
        <f aca="false">INDEX(Resources!$I$2:$I$500,MATCH(D55,Resources!$A$2:$A$500,0))</f>
        <v>205</v>
      </c>
      <c r="P55" s="14" t="n">
        <f aca="false">M55*N55</f>
        <v>93913.6</v>
      </c>
      <c r="Q55" s="14" t="n">
        <f aca="false">IF(G55="Yes",M55*O55,0)</f>
        <v>188600</v>
      </c>
      <c r="R55" s="16" t="n">
        <f aca="false">SUMIFS(Actuals!$H$2:$H$6000,Actuals!$C$2:$C$6000,B55,Actuals!$E$2:$E$6000,D55)</f>
        <v>975.2</v>
      </c>
      <c r="S55" s="15" t="n">
        <f aca="false">IF(M55=0,0,R55/M55)</f>
        <v>1.06</v>
      </c>
    </row>
    <row r="56" customFormat="false" ht="15" hidden="false" customHeight="false" outlineLevel="0" collapsed="false">
      <c r="A56" s="18" t="s">
        <v>569</v>
      </c>
      <c r="B56" s="18" t="s">
        <v>253</v>
      </c>
      <c r="C56" s="21" t="str">
        <f aca="false">IFERROR(INDEX(Projects!$B$2:$B$500,MATCH(B56,Projects!$A$2:$A$500,0)),"")</f>
        <v>311 Citizen Services App</v>
      </c>
      <c r="D56" s="18" t="s">
        <v>387</v>
      </c>
      <c r="E56" s="21" t="str">
        <f aca="false">IFERROR(INDEX(Resources!$B$2:$B$500,MATCH(D56,Resources!$A$2:$A$500,0)),"")</f>
        <v>Samuel Mehta</v>
      </c>
      <c r="F56" s="18" t="s">
        <v>381</v>
      </c>
      <c r="G56" s="18" t="s">
        <v>513</v>
      </c>
      <c r="H56" s="19" t="n">
        <v>45992</v>
      </c>
      <c r="I56" s="19" t="n">
        <v>46140</v>
      </c>
      <c r="J56" s="24" t="n">
        <v>0.5</v>
      </c>
      <c r="K56" s="12" t="str">
        <f aca="false">IF(AND(AsOfDate&gt;=H56,AsOfDate&lt;=I56),"Yes","No")</f>
        <v>No</v>
      </c>
      <c r="L56" s="13" t="n">
        <f aca="false">NETWORKDAYS(H56,I56)</f>
        <v>107</v>
      </c>
      <c r="M56" s="16" t="n">
        <f aca="false">ROUND(L56*INDEX(Resources!$J$2:$J$500,MATCH(D56,Resources!$A$2:$A$500,0))/5*J56,1)</f>
        <v>428</v>
      </c>
      <c r="N56" s="29" t="n">
        <f aca="false">INDEX(Resources!$H$2:$H$500,MATCH(D56,Resources!$A$2:$A$500,0))</f>
        <v>62.9</v>
      </c>
      <c r="O56" s="29" t="n">
        <f aca="false">INDEX(Resources!$I$2:$I$500,MATCH(D56,Resources!$A$2:$A$500,0))</f>
        <v>130</v>
      </c>
      <c r="P56" s="14" t="n">
        <f aca="false">M56*N56</f>
        <v>26921.2</v>
      </c>
      <c r="Q56" s="14" t="n">
        <f aca="false">IF(G56="Yes",M56*O56,0)</f>
        <v>55640</v>
      </c>
      <c r="R56" s="16" t="n">
        <f aca="false">SUMIFS(Actuals!$H$2:$H$6000,Actuals!$C$2:$C$6000,B56,Actuals!$E$2:$E$6000,D56)</f>
        <v>538.1</v>
      </c>
      <c r="S56" s="15" t="n">
        <f aca="false">IF(M56=0,0,R56/M56)</f>
        <v>1.25724299065421</v>
      </c>
    </row>
    <row r="57" customFormat="false" ht="15" hidden="false" customHeight="false" outlineLevel="0" collapsed="false">
      <c r="A57" s="18" t="s">
        <v>570</v>
      </c>
      <c r="B57" s="18" t="s">
        <v>253</v>
      </c>
      <c r="C57" s="21" t="str">
        <f aca="false">IFERROR(INDEX(Projects!$B$2:$B$500,MATCH(B57,Projects!$A$2:$A$500,0)),"")</f>
        <v>311 Citizen Services App</v>
      </c>
      <c r="D57" s="18" t="s">
        <v>407</v>
      </c>
      <c r="E57" s="21" t="str">
        <f aca="false">IFERROR(INDEX(Resources!$B$2:$B$500,MATCH(D57,Resources!$A$2:$A$500,0)),"")</f>
        <v>Sofia Hassan</v>
      </c>
      <c r="F57" s="18" t="s">
        <v>516</v>
      </c>
      <c r="G57" s="18" t="s">
        <v>513</v>
      </c>
      <c r="H57" s="19" t="n">
        <v>45992</v>
      </c>
      <c r="I57" s="19" t="n">
        <v>46311</v>
      </c>
      <c r="J57" s="24" t="n">
        <v>1</v>
      </c>
      <c r="K57" s="12" t="str">
        <f aca="false">IF(AND(AsOfDate&gt;=H57,AsOfDate&lt;=I57),"Yes","No")</f>
        <v>Yes</v>
      </c>
      <c r="L57" s="13" t="n">
        <f aca="false">NETWORKDAYS(H57,I57)</f>
        <v>230</v>
      </c>
      <c r="M57" s="16" t="n">
        <f aca="false">ROUND(L57*INDEX(Resources!$J$2:$J$500,MATCH(D57,Resources!$A$2:$A$500,0))/5*J57,1)</f>
        <v>1840</v>
      </c>
      <c r="N57" s="29" t="n">
        <f aca="false">INDEX(Resources!$H$2:$H$500,MATCH(D57,Resources!$A$2:$A$500,0))</f>
        <v>85.56</v>
      </c>
      <c r="O57" s="29" t="n">
        <f aca="false">INDEX(Resources!$I$2:$I$500,MATCH(D57,Resources!$A$2:$A$500,0))</f>
        <v>170</v>
      </c>
      <c r="P57" s="14" t="n">
        <f aca="false">M57*N57</f>
        <v>157430.4</v>
      </c>
      <c r="Q57" s="14" t="n">
        <f aca="false">IF(G57="Yes",M57*O57,0)</f>
        <v>312800</v>
      </c>
      <c r="R57" s="16" t="n">
        <f aca="false">SUMIFS(Actuals!$H$2:$H$6000,Actuals!$C$2:$C$6000,B57,Actuals!$E$2:$E$6000,D57)</f>
        <v>1909.9</v>
      </c>
      <c r="S57" s="15" t="n">
        <f aca="false">IF(M57=0,0,R57/M57)</f>
        <v>1.03798913043478</v>
      </c>
    </row>
    <row r="58" customFormat="false" ht="15" hidden="false" customHeight="false" outlineLevel="0" collapsed="false">
      <c r="A58" s="18" t="s">
        <v>571</v>
      </c>
      <c r="B58" s="18" t="s">
        <v>253</v>
      </c>
      <c r="C58" s="21" t="str">
        <f aca="false">IFERROR(INDEX(Projects!$B$2:$B$500,MATCH(B58,Projects!$A$2:$A$500,0)),"")</f>
        <v>311 Citizen Services App</v>
      </c>
      <c r="D58" s="18" t="s">
        <v>426</v>
      </c>
      <c r="E58" s="21" t="str">
        <f aca="false">IFERROR(INDEX(Resources!$B$2:$B$500,MATCH(D58,Resources!$A$2:$A$500,0)),"")</f>
        <v>Clara Boateng</v>
      </c>
      <c r="F58" s="18" t="s">
        <v>411</v>
      </c>
      <c r="G58" s="18" t="s">
        <v>513</v>
      </c>
      <c r="H58" s="19" t="n">
        <v>45992</v>
      </c>
      <c r="I58" s="19" t="n">
        <v>46311</v>
      </c>
      <c r="J58" s="24" t="n">
        <v>0.5</v>
      </c>
      <c r="K58" s="12" t="str">
        <f aca="false">IF(AND(AsOfDate&gt;=H58,AsOfDate&lt;=I58),"Yes","No")</f>
        <v>Yes</v>
      </c>
      <c r="L58" s="13" t="n">
        <f aca="false">NETWORKDAYS(H58,I58)</f>
        <v>230</v>
      </c>
      <c r="M58" s="16" t="n">
        <f aca="false">ROUND(L58*INDEX(Resources!$J$2:$J$500,MATCH(D58,Resources!$A$2:$A$500,0))/5*J58,1)</f>
        <v>920</v>
      </c>
      <c r="N58" s="29" t="n">
        <f aca="false">INDEX(Resources!$H$2:$H$500,MATCH(D58,Resources!$A$2:$A$500,0))</f>
        <v>74.24</v>
      </c>
      <c r="O58" s="29" t="n">
        <f aca="false">INDEX(Resources!$I$2:$I$500,MATCH(D58,Resources!$A$2:$A$500,0))</f>
        <v>150</v>
      </c>
      <c r="P58" s="14" t="n">
        <f aca="false">M58*N58</f>
        <v>68300.8</v>
      </c>
      <c r="Q58" s="14" t="n">
        <f aca="false">IF(G58="Yes",M58*O58,0)</f>
        <v>138000</v>
      </c>
      <c r="R58" s="16" t="n">
        <f aca="false">SUMIFS(Actuals!$H$2:$H$6000,Actuals!$C$2:$C$6000,B58,Actuals!$E$2:$E$6000,D58)</f>
        <v>1011.7</v>
      </c>
      <c r="S58" s="15" t="n">
        <f aca="false">IF(M58=0,0,R58/M58)</f>
        <v>1.09967391304348</v>
      </c>
    </row>
    <row r="59" customFormat="false" ht="15" hidden="false" customHeight="false" outlineLevel="0" collapsed="false">
      <c r="A59" s="18" t="s">
        <v>572</v>
      </c>
      <c r="B59" s="18" t="s">
        <v>253</v>
      </c>
      <c r="C59" s="21" t="str">
        <f aca="false">IFERROR(INDEX(Projects!$B$2:$B$500,MATCH(B59,Projects!$A$2:$A$500,0)),"")</f>
        <v>311 Citizen Services App</v>
      </c>
      <c r="D59" s="18" t="s">
        <v>446</v>
      </c>
      <c r="E59" s="21" t="str">
        <f aca="false">IFERROR(INDEX(Resources!$B$2:$B$500,MATCH(D59,Resources!$A$2:$A$500,0)),"")</f>
        <v>Ines Morales</v>
      </c>
      <c r="F59" s="18" t="s">
        <v>436</v>
      </c>
      <c r="G59" s="18" t="s">
        <v>513</v>
      </c>
      <c r="H59" s="19" t="n">
        <v>46113</v>
      </c>
      <c r="I59" s="19" t="n">
        <v>46311</v>
      </c>
      <c r="J59" s="24" t="n">
        <v>0.5</v>
      </c>
      <c r="K59" s="12" t="str">
        <f aca="false">IF(AND(AsOfDate&gt;=H59,AsOfDate&lt;=I59),"Yes","No")</f>
        <v>Yes</v>
      </c>
      <c r="L59" s="13" t="n">
        <f aca="false">NETWORKDAYS(H59,I59)</f>
        <v>143</v>
      </c>
      <c r="M59" s="16" t="n">
        <f aca="false">ROUND(L59*INDEX(Resources!$J$2:$J$500,MATCH(D59,Resources!$A$2:$A$500,0))/5*J59,1)</f>
        <v>572</v>
      </c>
      <c r="N59" s="29" t="n">
        <f aca="false">INDEX(Resources!$H$2:$H$500,MATCH(D59,Resources!$A$2:$A$500,0))</f>
        <v>56</v>
      </c>
      <c r="O59" s="29" t="n">
        <f aca="false">INDEX(Resources!$I$2:$I$500,MATCH(D59,Resources!$A$2:$A$500,0))</f>
        <v>115</v>
      </c>
      <c r="P59" s="14" t="n">
        <f aca="false">M59*N59</f>
        <v>32032</v>
      </c>
      <c r="Q59" s="14" t="n">
        <f aca="false">IF(G59="Yes",M59*O59,0)</f>
        <v>65780</v>
      </c>
      <c r="R59" s="16" t="n">
        <f aca="false">SUMIFS(Actuals!$H$2:$H$6000,Actuals!$C$2:$C$6000,B59,Actuals!$E$2:$E$6000,D59)</f>
        <v>547.2</v>
      </c>
      <c r="S59" s="15" t="n">
        <f aca="false">IF(M59=0,0,R59/M59)</f>
        <v>0.956643356643357</v>
      </c>
    </row>
    <row r="60" customFormat="false" ht="15" hidden="false" customHeight="false" outlineLevel="0" collapsed="false">
      <c r="A60" s="18" t="s">
        <v>573</v>
      </c>
      <c r="B60" s="18" t="s">
        <v>253</v>
      </c>
      <c r="C60" s="21" t="str">
        <f aca="false">IFERROR(INDEX(Projects!$B$2:$B$500,MATCH(B60,Projects!$A$2:$A$500,0)),"")</f>
        <v>311 Citizen Services App</v>
      </c>
      <c r="D60" s="18" t="s">
        <v>373</v>
      </c>
      <c r="E60" s="21" t="str">
        <f aca="false">IFERROR(INDEX(Resources!$B$2:$B$500,MATCH(D60,Resources!$A$2:$A$500,0)),"")</f>
        <v>Ravi Gagnon</v>
      </c>
      <c r="F60" s="18" t="s">
        <v>365</v>
      </c>
      <c r="G60" s="18" t="s">
        <v>513</v>
      </c>
      <c r="H60" s="19" t="n">
        <v>45992</v>
      </c>
      <c r="I60" s="19" t="n">
        <v>46140</v>
      </c>
      <c r="J60" s="24" t="n">
        <v>0.5</v>
      </c>
      <c r="K60" s="12" t="str">
        <f aca="false">IF(AND(AsOfDate&gt;=H60,AsOfDate&lt;=I60),"Yes","No")</f>
        <v>No</v>
      </c>
      <c r="L60" s="13" t="n">
        <f aca="false">NETWORKDAYS(H60,I60)</f>
        <v>107</v>
      </c>
      <c r="M60" s="16" t="n">
        <f aca="false">ROUND(L60*INDEX(Resources!$J$2:$J$500,MATCH(D60,Resources!$A$2:$A$500,0))/5*J60,1)</f>
        <v>428</v>
      </c>
      <c r="N60" s="29" t="n">
        <f aca="false">INDEX(Resources!$H$2:$H$500,MATCH(D60,Resources!$A$2:$A$500,0))</f>
        <v>73.44</v>
      </c>
      <c r="O60" s="29" t="n">
        <f aca="false">INDEX(Resources!$I$2:$I$500,MATCH(D60,Resources!$A$2:$A$500,0))</f>
        <v>150</v>
      </c>
      <c r="P60" s="14" t="n">
        <f aca="false">M60*N60</f>
        <v>31432.32</v>
      </c>
      <c r="Q60" s="14" t="n">
        <f aca="false">IF(G60="Yes",M60*O60,0)</f>
        <v>64200</v>
      </c>
      <c r="R60" s="16" t="n">
        <f aca="false">SUMIFS(Actuals!$H$2:$H$6000,Actuals!$C$2:$C$6000,B60,Actuals!$E$2:$E$6000,D60)</f>
        <v>540.2</v>
      </c>
      <c r="S60" s="15" t="n">
        <f aca="false">IF(M60=0,0,R60/M60)</f>
        <v>1.26214953271028</v>
      </c>
    </row>
    <row r="61" customFormat="false" ht="15" hidden="false" customHeight="false" outlineLevel="0" collapsed="false">
      <c r="A61" s="18" t="s">
        <v>574</v>
      </c>
      <c r="B61" s="18" t="s">
        <v>257</v>
      </c>
      <c r="C61" s="21" t="str">
        <f aca="false">IFERROR(INDEX(Projects!$B$2:$B$500,MATCH(B61,Projects!$A$2:$A$500,0)),"")</f>
        <v>Clinical Trials Data Hub</v>
      </c>
      <c r="D61" s="18" t="s">
        <v>226</v>
      </c>
      <c r="E61" s="21" t="str">
        <f aca="false">IFERROR(INDEX(Resources!$B$2:$B$500,MATCH(D61,Resources!$A$2:$A$500,0)),"")</f>
        <v>Noah Rahimi</v>
      </c>
      <c r="F61" s="18" t="s">
        <v>512</v>
      </c>
      <c r="G61" s="18" t="s">
        <v>527</v>
      </c>
      <c r="H61" s="19" t="n">
        <v>46069</v>
      </c>
      <c r="I61" s="19" t="n">
        <v>46507</v>
      </c>
      <c r="J61" s="24" t="n">
        <v>0.25</v>
      </c>
      <c r="K61" s="12" t="str">
        <f aca="false">IF(AND(AsOfDate&gt;=H61,AsOfDate&lt;=I61),"Yes","No")</f>
        <v>Yes</v>
      </c>
      <c r="L61" s="13" t="n">
        <f aca="false">NETWORKDAYS(H61,I61)</f>
        <v>315</v>
      </c>
      <c r="M61" s="16" t="n">
        <f aca="false">ROUND(L61*INDEX(Resources!$J$2:$J$500,MATCH(D61,Resources!$A$2:$A$500,0))/5*J61,1)</f>
        <v>630</v>
      </c>
      <c r="N61" s="29" t="n">
        <f aca="false">INDEX(Resources!$H$2:$H$500,MATCH(D61,Resources!$A$2:$A$500,0))</f>
        <v>88</v>
      </c>
      <c r="O61" s="29" t="n">
        <f aca="false">INDEX(Resources!$I$2:$I$500,MATCH(D61,Resources!$A$2:$A$500,0))</f>
        <v>175</v>
      </c>
      <c r="P61" s="14" t="n">
        <f aca="false">M61*N61</f>
        <v>55440</v>
      </c>
      <c r="Q61" s="14" t="n">
        <f aca="false">IF(G61="Yes",M61*O61,0)</f>
        <v>0</v>
      </c>
      <c r="R61" s="16" t="n">
        <f aca="false">SUMIFS(Actuals!$H$2:$H$6000,Actuals!$C$2:$C$6000,B61,Actuals!$E$2:$E$6000,D61)</f>
        <v>286.4</v>
      </c>
      <c r="S61" s="15" t="n">
        <f aca="false">IF(M61=0,0,R61/M61)</f>
        <v>0.454603174603175</v>
      </c>
    </row>
    <row r="62" customFormat="false" ht="15" hidden="false" customHeight="false" outlineLevel="0" collapsed="false">
      <c r="A62" s="18" t="s">
        <v>575</v>
      </c>
      <c r="B62" s="18" t="s">
        <v>257</v>
      </c>
      <c r="C62" s="21" t="str">
        <f aca="false">IFERROR(INDEX(Projects!$B$2:$B$500,MATCH(B62,Projects!$A$2:$A$500,0)),"")</f>
        <v>Clinical Trials Data Hub</v>
      </c>
      <c r="D62" s="18" t="s">
        <v>457</v>
      </c>
      <c r="E62" s="21" t="str">
        <f aca="false">IFERROR(INDEX(Resources!$B$2:$B$500,MATCH(D62,Resources!$A$2:$A$500,0)),"")</f>
        <v>Julia Karimi</v>
      </c>
      <c r="F62" s="18" t="s">
        <v>452</v>
      </c>
      <c r="G62" s="18" t="s">
        <v>513</v>
      </c>
      <c r="H62" s="19" t="n">
        <v>46069</v>
      </c>
      <c r="I62" s="19" t="n">
        <v>46507</v>
      </c>
      <c r="J62" s="24" t="n">
        <v>0.75</v>
      </c>
      <c r="K62" s="12" t="str">
        <f aca="false">IF(AND(AsOfDate&gt;=H62,AsOfDate&lt;=I62),"Yes","No")</f>
        <v>Yes</v>
      </c>
      <c r="L62" s="13" t="n">
        <f aca="false">NETWORKDAYS(H62,I62)</f>
        <v>315</v>
      </c>
      <c r="M62" s="16" t="n">
        <f aca="false">ROUND(L62*INDEX(Resources!$J$2:$J$500,MATCH(D62,Resources!$A$2:$A$500,0))/5*J62,1)</f>
        <v>1512</v>
      </c>
      <c r="N62" s="29" t="n">
        <f aca="false">INDEX(Resources!$H$2:$H$500,MATCH(D62,Resources!$A$2:$A$500,0))</f>
        <v>104.4</v>
      </c>
      <c r="O62" s="29" t="n">
        <f aca="false">INDEX(Resources!$I$2:$I$500,MATCH(D62,Resources!$A$2:$A$500,0))</f>
        <v>210</v>
      </c>
      <c r="P62" s="14" t="n">
        <f aca="false">M62*N62</f>
        <v>157852.8</v>
      </c>
      <c r="Q62" s="14" t="n">
        <f aca="false">IF(G62="Yes",M62*O62,0)</f>
        <v>317520</v>
      </c>
      <c r="R62" s="16" t="n">
        <f aca="false">SUMIFS(Actuals!$H$2:$H$6000,Actuals!$C$2:$C$6000,B62,Actuals!$E$2:$E$6000,D62)</f>
        <v>679.4</v>
      </c>
      <c r="S62" s="15" t="n">
        <f aca="false">IF(M62=0,0,R62/M62)</f>
        <v>0.449338624338624</v>
      </c>
    </row>
    <row r="63" customFormat="false" ht="15" hidden="false" customHeight="false" outlineLevel="0" collapsed="false">
      <c r="A63" s="18" t="s">
        <v>576</v>
      </c>
      <c r="B63" s="18" t="s">
        <v>257</v>
      </c>
      <c r="C63" s="21" t="str">
        <f aca="false">IFERROR(INDEX(Projects!$B$2:$B$500,MATCH(B63,Projects!$A$2:$A$500,0)),"")</f>
        <v>Clinical Trials Data Hub</v>
      </c>
      <c r="D63" s="18" t="s">
        <v>466</v>
      </c>
      <c r="E63" s="21" t="str">
        <f aca="false">IFERROR(INDEX(Resources!$B$2:$B$500,MATCH(D63,Resources!$A$2:$A$500,0)),"")</f>
        <v>Declan Iyer</v>
      </c>
      <c r="F63" s="18" t="s">
        <v>464</v>
      </c>
      <c r="G63" s="18" t="s">
        <v>513</v>
      </c>
      <c r="H63" s="19" t="n">
        <v>46156</v>
      </c>
      <c r="I63" s="19" t="n">
        <v>46441</v>
      </c>
      <c r="J63" s="24" t="n">
        <v>0.75</v>
      </c>
      <c r="K63" s="12" t="str">
        <f aca="false">IF(AND(AsOfDate&gt;=H63,AsOfDate&lt;=I63),"Yes","No")</f>
        <v>Yes</v>
      </c>
      <c r="L63" s="13" t="n">
        <f aca="false">NETWORKDAYS(H63,I63)</f>
        <v>204</v>
      </c>
      <c r="M63" s="16" t="n">
        <f aca="false">ROUND(L63*INDEX(Resources!$J$2:$J$500,MATCH(D63,Resources!$A$2:$A$500,0))/5*J63,1)</f>
        <v>1224</v>
      </c>
      <c r="N63" s="29" t="n">
        <f aca="false">INDEX(Resources!$H$2:$H$500,MATCH(D63,Resources!$A$2:$A$500,0))</f>
        <v>98</v>
      </c>
      <c r="O63" s="29" t="n">
        <f aca="false">INDEX(Resources!$I$2:$I$500,MATCH(D63,Resources!$A$2:$A$500,0))</f>
        <v>200</v>
      </c>
      <c r="P63" s="14" t="n">
        <f aca="false">M63*N63</f>
        <v>119952</v>
      </c>
      <c r="Q63" s="14" t="n">
        <f aca="false">IF(G63="Yes",M63*O63,0)</f>
        <v>244800</v>
      </c>
      <c r="R63" s="16" t="n">
        <f aca="false">SUMIFS(Actuals!$H$2:$H$6000,Actuals!$C$2:$C$6000,B63,Actuals!$E$2:$E$6000,D63)</f>
        <v>494.5</v>
      </c>
      <c r="S63" s="15" t="n">
        <f aca="false">IF(M63=0,0,R63/M63)</f>
        <v>0.404003267973856</v>
      </c>
    </row>
    <row r="64" customFormat="false" ht="15" hidden="false" customHeight="false" outlineLevel="0" collapsed="false">
      <c r="A64" s="18" t="s">
        <v>577</v>
      </c>
      <c r="B64" s="18" t="s">
        <v>257</v>
      </c>
      <c r="C64" s="21" t="str">
        <f aca="false">IFERROR(INDEX(Projects!$B$2:$B$500,MATCH(B64,Projects!$A$2:$A$500,0)),"")</f>
        <v>Clinical Trials Data Hub</v>
      </c>
      <c r="D64" s="18" t="s">
        <v>357</v>
      </c>
      <c r="E64" s="21" t="str">
        <f aca="false">IFERROR(INDEX(Resources!$B$2:$B$500,MATCH(D64,Resources!$A$2:$A$500,0)),"")</f>
        <v>Hana Clarke</v>
      </c>
      <c r="F64" s="18" t="s">
        <v>350</v>
      </c>
      <c r="G64" s="18" t="s">
        <v>513</v>
      </c>
      <c r="H64" s="19" t="n">
        <v>46069</v>
      </c>
      <c r="I64" s="19" t="n">
        <v>46309</v>
      </c>
      <c r="J64" s="24" t="n">
        <v>0.25</v>
      </c>
      <c r="K64" s="12" t="str">
        <f aca="false">IF(AND(AsOfDate&gt;=H64,AsOfDate&lt;=I64),"Yes","No")</f>
        <v>Yes</v>
      </c>
      <c r="L64" s="13" t="n">
        <f aca="false">NETWORKDAYS(H64,I64)</f>
        <v>173</v>
      </c>
      <c r="M64" s="16" t="n">
        <f aca="false">ROUND(L64*INDEX(Resources!$J$2:$J$500,MATCH(D64,Resources!$A$2:$A$500,0))/5*J64,1)</f>
        <v>346</v>
      </c>
      <c r="N64" s="29" t="n">
        <f aca="false">INDEX(Resources!$H$2:$H$500,MATCH(D64,Resources!$A$2:$A$500,0))</f>
        <v>120.96</v>
      </c>
      <c r="O64" s="29" t="n">
        <f aca="false">INDEX(Resources!$I$2:$I$500,MATCH(D64,Resources!$A$2:$A$500,0))</f>
        <v>245</v>
      </c>
      <c r="P64" s="14" t="n">
        <f aca="false">M64*N64</f>
        <v>41852.16</v>
      </c>
      <c r="Q64" s="14" t="n">
        <f aca="false">IF(G64="Yes",M64*O64,0)</f>
        <v>84770</v>
      </c>
      <c r="R64" s="16" t="n">
        <f aca="false">SUMIFS(Actuals!$H$2:$H$6000,Actuals!$C$2:$C$6000,B64,Actuals!$E$2:$E$6000,D64)</f>
        <v>288.9</v>
      </c>
      <c r="S64" s="15" t="n">
        <f aca="false">IF(M64=0,0,R64/M64)</f>
        <v>0.834971098265896</v>
      </c>
    </row>
    <row r="65" customFormat="false" ht="15" hidden="false" customHeight="false" outlineLevel="0" collapsed="false">
      <c r="A65" s="18" t="s">
        <v>578</v>
      </c>
      <c r="B65" s="18" t="s">
        <v>257</v>
      </c>
      <c r="C65" s="21" t="str">
        <f aca="false">IFERROR(INDEX(Projects!$B$2:$B$500,MATCH(B65,Projects!$A$2:$A$500,0)),"")</f>
        <v>Clinical Trials Data Hub</v>
      </c>
      <c r="D65" s="18" t="s">
        <v>428</v>
      </c>
      <c r="E65" s="21" t="str">
        <f aca="false">IFERROR(INDEX(Resources!$B$2:$B$500,MATCH(D65,Resources!$A$2:$A$500,0)),"")</f>
        <v>Theo Siddiqui</v>
      </c>
      <c r="F65" s="18" t="s">
        <v>411</v>
      </c>
      <c r="G65" s="18" t="s">
        <v>513</v>
      </c>
      <c r="H65" s="19" t="n">
        <v>46069</v>
      </c>
      <c r="I65" s="19" t="n">
        <v>46507</v>
      </c>
      <c r="J65" s="24" t="n">
        <v>0.5</v>
      </c>
      <c r="K65" s="12" t="str">
        <f aca="false">IF(AND(AsOfDate&gt;=H65,AsOfDate&lt;=I65),"Yes","No")</f>
        <v>Yes</v>
      </c>
      <c r="L65" s="13" t="n">
        <f aca="false">NETWORKDAYS(H65,I65)</f>
        <v>315</v>
      </c>
      <c r="M65" s="16" t="n">
        <f aca="false">ROUND(L65*INDEX(Resources!$J$2:$J$500,MATCH(D65,Resources!$A$2:$A$500,0))/5*J65,1)</f>
        <v>1260</v>
      </c>
      <c r="N65" s="29" t="n">
        <f aca="false">INDEX(Resources!$H$2:$H$500,MATCH(D65,Resources!$A$2:$A$500,0))</f>
        <v>54.4</v>
      </c>
      <c r="O65" s="29" t="n">
        <f aca="false">INDEX(Resources!$I$2:$I$500,MATCH(D65,Resources!$A$2:$A$500,0))</f>
        <v>110</v>
      </c>
      <c r="P65" s="14" t="n">
        <f aca="false">M65*N65</f>
        <v>68544</v>
      </c>
      <c r="Q65" s="14" t="n">
        <f aca="false">IF(G65="Yes",M65*O65,0)</f>
        <v>138600</v>
      </c>
      <c r="R65" s="16" t="n">
        <f aca="false">SUMIFS(Actuals!$H$2:$H$6000,Actuals!$C$2:$C$6000,B65,Actuals!$E$2:$E$6000,D65)</f>
        <v>547.1</v>
      </c>
      <c r="S65" s="15" t="n">
        <f aca="false">IF(M65=0,0,R65/M65)</f>
        <v>0.434206349206349</v>
      </c>
    </row>
    <row r="66" customFormat="false" ht="15" hidden="false" customHeight="false" outlineLevel="0" collapsed="false">
      <c r="A66" s="18" t="s">
        <v>579</v>
      </c>
      <c r="B66" s="18" t="s">
        <v>257</v>
      </c>
      <c r="C66" s="21" t="str">
        <f aca="false">IFERROR(INDEX(Projects!$B$2:$B$500,MATCH(B66,Projects!$A$2:$A$500,0)),"")</f>
        <v>Clinical Trials Data Hub</v>
      </c>
      <c r="D66" s="18" t="s">
        <v>439</v>
      </c>
      <c r="E66" s="21" t="str">
        <f aca="false">IFERROR(INDEX(Resources!$B$2:$B$500,MATCH(D66,Resources!$A$2:$A$500,0)),"")</f>
        <v>Victor Chen</v>
      </c>
      <c r="F66" s="18" t="s">
        <v>436</v>
      </c>
      <c r="G66" s="18" t="s">
        <v>513</v>
      </c>
      <c r="H66" s="19" t="n">
        <v>46266</v>
      </c>
      <c r="I66" s="19" t="n">
        <v>46507</v>
      </c>
      <c r="J66" s="24" t="n">
        <v>0.5</v>
      </c>
      <c r="K66" s="12" t="str">
        <f aca="false">IF(AND(AsOfDate&gt;=H66,AsOfDate&lt;=I66),"Yes","No")</f>
        <v>Yes</v>
      </c>
      <c r="L66" s="13" t="n">
        <f aca="false">NETWORKDAYS(H66,I66)</f>
        <v>174</v>
      </c>
      <c r="M66" s="16" t="n">
        <f aca="false">ROUND(L66*INDEX(Resources!$J$2:$J$500,MATCH(D66,Resources!$A$2:$A$500,0))/5*J66,1)</f>
        <v>696</v>
      </c>
      <c r="N66" s="29" t="n">
        <f aca="false">INDEX(Resources!$H$2:$H$500,MATCH(D66,Resources!$A$2:$A$500,0))</f>
        <v>81.2</v>
      </c>
      <c r="O66" s="29" t="n">
        <f aca="false">INDEX(Resources!$I$2:$I$500,MATCH(D66,Resources!$A$2:$A$500,0))</f>
        <v>135</v>
      </c>
      <c r="P66" s="14" t="n">
        <f aca="false">M66*N66</f>
        <v>56515.2</v>
      </c>
      <c r="Q66" s="14" t="n">
        <f aca="false">IF(G66="Yes",M66*O66,0)</f>
        <v>93960</v>
      </c>
      <c r="R66" s="16" t="n">
        <f aca="false">SUMIFS(Actuals!$H$2:$H$6000,Actuals!$C$2:$C$6000,B66,Actuals!$E$2:$E$6000,D66)</f>
        <v>0</v>
      </c>
      <c r="S66" s="15" t="n">
        <f aca="false">IF(M66=0,0,R66/M66)</f>
        <v>0</v>
      </c>
    </row>
    <row r="67" customFormat="false" ht="15" hidden="false" customHeight="false" outlineLevel="0" collapsed="false">
      <c r="A67" s="18" t="s">
        <v>580</v>
      </c>
      <c r="B67" s="18" t="s">
        <v>261</v>
      </c>
      <c r="C67" s="21" t="str">
        <f aca="false">IFERROR(INDEX(Projects!$B$2:$B$500,MATCH(B67,Projects!$A$2:$A$500,0)),"")</f>
        <v>Grid Analytics Dashboard</v>
      </c>
      <c r="D67" s="18" t="s">
        <v>247</v>
      </c>
      <c r="E67" s="21" t="str">
        <f aca="false">IFERROR(INDEX(Resources!$B$2:$B$500,MATCH(D67,Resources!$A$2:$A$500,0)),"")</f>
        <v>Arjun Baptiste</v>
      </c>
      <c r="F67" s="18" t="s">
        <v>512</v>
      </c>
      <c r="G67" s="18" t="s">
        <v>513</v>
      </c>
      <c r="H67" s="19" t="n">
        <v>46174</v>
      </c>
      <c r="I67" s="19" t="n">
        <v>46374</v>
      </c>
      <c r="J67" s="24" t="n">
        <v>0.5</v>
      </c>
      <c r="K67" s="12" t="str">
        <f aca="false">IF(AND(AsOfDate&gt;=H67,AsOfDate&lt;=I67),"Yes","No")</f>
        <v>Yes</v>
      </c>
      <c r="L67" s="13" t="n">
        <f aca="false">NETWORKDAYS(H67,I67)</f>
        <v>145</v>
      </c>
      <c r="M67" s="16" t="n">
        <f aca="false">ROUND(L67*INDEX(Resources!$J$2:$J$500,MATCH(D67,Resources!$A$2:$A$500,0))/5*J67,1)</f>
        <v>580</v>
      </c>
      <c r="N67" s="29" t="n">
        <f aca="false">INDEX(Resources!$H$2:$H$500,MATCH(D67,Resources!$A$2:$A$500,0))</f>
        <v>88</v>
      </c>
      <c r="O67" s="29" t="n">
        <f aca="false">INDEX(Resources!$I$2:$I$500,MATCH(D67,Resources!$A$2:$A$500,0))</f>
        <v>175</v>
      </c>
      <c r="P67" s="14" t="n">
        <f aca="false">M67*N67</f>
        <v>51040</v>
      </c>
      <c r="Q67" s="14" t="n">
        <f aca="false">IF(G67="Yes",M67*O67,0)</f>
        <v>101500</v>
      </c>
      <c r="R67" s="16" t="n">
        <f aca="false">SUMIFS(Actuals!$H$2:$H$6000,Actuals!$C$2:$C$6000,B67,Actuals!$E$2:$E$6000,D67)</f>
        <v>271.1</v>
      </c>
      <c r="S67" s="15" t="n">
        <f aca="false">IF(M67=0,0,R67/M67)</f>
        <v>0.467413793103448</v>
      </c>
    </row>
    <row r="68" customFormat="false" ht="15" hidden="false" customHeight="false" outlineLevel="0" collapsed="false">
      <c r="A68" s="18" t="s">
        <v>581</v>
      </c>
      <c r="B68" s="18" t="s">
        <v>261</v>
      </c>
      <c r="C68" s="21" t="str">
        <f aca="false">IFERROR(INDEX(Projects!$B$2:$B$500,MATCH(B68,Projects!$A$2:$A$500,0)),"")</f>
        <v>Grid Analytics Dashboard</v>
      </c>
      <c r="D68" s="18" t="s">
        <v>459</v>
      </c>
      <c r="E68" s="21" t="str">
        <f aca="false">IFERROR(INDEX(Resources!$B$2:$B$500,MATCH(D68,Resources!$A$2:$A$500,0)),"")</f>
        <v>Marco Laurent</v>
      </c>
      <c r="F68" s="18" t="s">
        <v>452</v>
      </c>
      <c r="G68" s="18" t="s">
        <v>513</v>
      </c>
      <c r="H68" s="19" t="n">
        <v>46174</v>
      </c>
      <c r="I68" s="19" t="n">
        <v>46374</v>
      </c>
      <c r="J68" s="24" t="n">
        <v>0.75</v>
      </c>
      <c r="K68" s="12" t="str">
        <f aca="false">IF(AND(AsOfDate&gt;=H68,AsOfDate&lt;=I68),"Yes","No")</f>
        <v>Yes</v>
      </c>
      <c r="L68" s="13" t="n">
        <f aca="false">NETWORKDAYS(H68,I68)</f>
        <v>145</v>
      </c>
      <c r="M68" s="16" t="n">
        <f aca="false">ROUND(L68*INDEX(Resources!$J$2:$J$500,MATCH(D68,Resources!$A$2:$A$500,0))/5*J68,1)</f>
        <v>870</v>
      </c>
      <c r="N68" s="29" t="n">
        <f aca="false">INDEX(Resources!$H$2:$H$500,MATCH(D68,Resources!$A$2:$A$500,0))</f>
        <v>97.2</v>
      </c>
      <c r="O68" s="29" t="n">
        <f aca="false">INDEX(Resources!$I$2:$I$500,MATCH(D68,Resources!$A$2:$A$500,0))</f>
        <v>195</v>
      </c>
      <c r="P68" s="14" t="n">
        <f aca="false">M68*N68</f>
        <v>84564</v>
      </c>
      <c r="Q68" s="14" t="n">
        <f aca="false">IF(G68="Yes",M68*O68,0)</f>
        <v>169650</v>
      </c>
      <c r="R68" s="16" t="n">
        <f aca="false">SUMIFS(Actuals!$H$2:$H$6000,Actuals!$C$2:$C$6000,B68,Actuals!$E$2:$E$6000,D68)</f>
        <v>402.1</v>
      </c>
      <c r="S68" s="15" t="n">
        <f aca="false">IF(M68=0,0,R68/M68)</f>
        <v>0.462183908045977</v>
      </c>
    </row>
    <row r="69" customFormat="false" ht="15" hidden="false" customHeight="false" outlineLevel="0" collapsed="false">
      <c r="A69" s="18" t="s">
        <v>582</v>
      </c>
      <c r="B69" s="18" t="s">
        <v>261</v>
      </c>
      <c r="C69" s="21" t="str">
        <f aca="false">IFERROR(INDEX(Projects!$B$2:$B$500,MATCH(B69,Projects!$A$2:$A$500,0)),"")</f>
        <v>Grid Analytics Dashboard</v>
      </c>
      <c r="D69" s="18" t="s">
        <v>468</v>
      </c>
      <c r="E69" s="21" t="str">
        <f aca="false">IFERROR(INDEX(Resources!$B$2:$B$500,MATCH(D69,Resources!$A$2:$A$500,0)),"")</f>
        <v>Lina Lindgren</v>
      </c>
      <c r="F69" s="18" t="s">
        <v>464</v>
      </c>
      <c r="G69" s="18" t="s">
        <v>513</v>
      </c>
      <c r="H69" s="19" t="n">
        <v>46214</v>
      </c>
      <c r="I69" s="19" t="n">
        <v>46344</v>
      </c>
      <c r="J69" s="24" t="n">
        <v>0.75</v>
      </c>
      <c r="K69" s="12" t="str">
        <f aca="false">IF(AND(AsOfDate&gt;=H69,AsOfDate&lt;=I69),"Yes","No")</f>
        <v>Yes</v>
      </c>
      <c r="L69" s="13" t="n">
        <f aca="false">NETWORKDAYS(H69,I69)</f>
        <v>93</v>
      </c>
      <c r="M69" s="16" t="n">
        <f aca="false">ROUND(L69*INDEX(Resources!$J$2:$J$500,MATCH(D69,Resources!$A$2:$A$500,0))/5*J69,1)</f>
        <v>558</v>
      </c>
      <c r="N69" s="29" t="n">
        <f aca="false">INDEX(Resources!$H$2:$H$500,MATCH(D69,Resources!$A$2:$A$500,0))</f>
        <v>113.68</v>
      </c>
      <c r="O69" s="29" t="n">
        <f aca="false">INDEX(Resources!$I$2:$I$500,MATCH(D69,Resources!$A$2:$A$500,0))</f>
        <v>230</v>
      </c>
      <c r="P69" s="14" t="n">
        <f aca="false">M69*N69</f>
        <v>63433.44</v>
      </c>
      <c r="Q69" s="14" t="n">
        <f aca="false">IF(G69="Yes",M69*O69,0)</f>
        <v>128340</v>
      </c>
      <c r="R69" s="16" t="n">
        <f aca="false">SUMIFS(Actuals!$H$2:$H$6000,Actuals!$C$2:$C$6000,B69,Actuals!$E$2:$E$6000,D69)</f>
        <v>206</v>
      </c>
      <c r="S69" s="15" t="n">
        <f aca="false">IF(M69=0,0,R69/M69)</f>
        <v>0.369175627240143</v>
      </c>
    </row>
    <row r="70" customFormat="false" ht="15" hidden="false" customHeight="false" outlineLevel="0" collapsed="false">
      <c r="A70" s="18" t="s">
        <v>583</v>
      </c>
      <c r="B70" s="18" t="s">
        <v>261</v>
      </c>
      <c r="C70" s="21" t="str">
        <f aca="false">IFERROR(INDEX(Projects!$B$2:$B$500,MATCH(B70,Projects!$A$2:$A$500,0)),"")</f>
        <v>Grid Analytics Dashboard</v>
      </c>
      <c r="D70" s="18" t="s">
        <v>348</v>
      </c>
      <c r="E70" s="21" t="str">
        <f aca="false">IFERROR(INDEX(Resources!$B$2:$B$500,MATCH(D70,Resources!$A$2:$A$500,0)),"")</f>
        <v>Chloe Reyes</v>
      </c>
      <c r="F70" s="18" t="s">
        <v>350</v>
      </c>
      <c r="G70" s="18" t="s">
        <v>513</v>
      </c>
      <c r="H70" s="19" t="n">
        <v>46174</v>
      </c>
      <c r="I70" s="19" t="n">
        <v>46284</v>
      </c>
      <c r="J70" s="24" t="n">
        <v>0.25</v>
      </c>
      <c r="K70" s="12" t="str">
        <f aca="false">IF(AND(AsOfDate&gt;=H70,AsOfDate&lt;=I70),"Yes","No")</f>
        <v>Yes</v>
      </c>
      <c r="L70" s="13" t="n">
        <f aca="false">NETWORKDAYS(H70,I70)</f>
        <v>80</v>
      </c>
      <c r="M70" s="16" t="n">
        <f aca="false">ROUND(L70*INDEX(Resources!$J$2:$J$500,MATCH(D70,Resources!$A$2:$A$500,0))/5*J70,1)</f>
        <v>160</v>
      </c>
      <c r="N70" s="29" t="n">
        <f aca="false">INDEX(Resources!$H$2:$H$500,MATCH(D70,Resources!$A$2:$A$500,0))</f>
        <v>129.92</v>
      </c>
      <c r="O70" s="29" t="n">
        <f aca="false">INDEX(Resources!$I$2:$I$500,MATCH(D70,Resources!$A$2:$A$500,0))</f>
        <v>260</v>
      </c>
      <c r="P70" s="14" t="n">
        <f aca="false">M70*N70</f>
        <v>20787.2</v>
      </c>
      <c r="Q70" s="14" t="n">
        <f aca="false">IF(G70="Yes",M70*O70,0)</f>
        <v>41600</v>
      </c>
      <c r="R70" s="16" t="n">
        <f aca="false">SUMIFS(Actuals!$H$2:$H$6000,Actuals!$C$2:$C$6000,B70,Actuals!$E$2:$E$6000,D70)</f>
        <v>129.1</v>
      </c>
      <c r="S70" s="15" t="n">
        <f aca="false">IF(M70=0,0,R70/M70)</f>
        <v>0.806875</v>
      </c>
    </row>
    <row r="71" customFormat="false" ht="15" hidden="false" customHeight="false" outlineLevel="0" collapsed="false">
      <c r="A71" s="18" t="s">
        <v>584</v>
      </c>
      <c r="B71" s="18" t="s">
        <v>261</v>
      </c>
      <c r="C71" s="21" t="str">
        <f aca="false">IFERROR(INDEX(Projects!$B$2:$B$500,MATCH(B71,Projects!$A$2:$A$500,0)),"")</f>
        <v>Grid Analytics Dashboard</v>
      </c>
      <c r="D71" s="18" t="s">
        <v>430</v>
      </c>
      <c r="E71" s="21" t="str">
        <f aca="false">IFERROR(INDEX(Resources!$B$2:$B$500,MATCH(D71,Resources!$A$2:$A$500,0)),"")</f>
        <v>Leila Nguyen</v>
      </c>
      <c r="F71" s="18" t="s">
        <v>411</v>
      </c>
      <c r="G71" s="18" t="s">
        <v>513</v>
      </c>
      <c r="H71" s="19" t="n">
        <v>46174</v>
      </c>
      <c r="I71" s="19" t="n">
        <v>46374</v>
      </c>
      <c r="J71" s="24" t="n">
        <v>0.5</v>
      </c>
      <c r="K71" s="12" t="str">
        <f aca="false">IF(AND(AsOfDate&gt;=H71,AsOfDate&lt;=I71),"Yes","No")</f>
        <v>Yes</v>
      </c>
      <c r="L71" s="13" t="n">
        <f aca="false">NETWORKDAYS(H71,I71)</f>
        <v>145</v>
      </c>
      <c r="M71" s="16" t="n">
        <f aca="false">ROUND(L71*INDEX(Resources!$J$2:$J$500,MATCH(D71,Resources!$A$2:$A$500,0))/5*J71,1)</f>
        <v>580</v>
      </c>
      <c r="N71" s="29" t="n">
        <f aca="false">INDEX(Resources!$H$2:$H$500,MATCH(D71,Resources!$A$2:$A$500,0))</f>
        <v>64</v>
      </c>
      <c r="O71" s="29" t="n">
        <f aca="false">INDEX(Resources!$I$2:$I$500,MATCH(D71,Resources!$A$2:$A$500,0))</f>
        <v>130</v>
      </c>
      <c r="P71" s="14" t="n">
        <f aca="false">M71*N71</f>
        <v>37120</v>
      </c>
      <c r="Q71" s="14" t="n">
        <f aca="false">IF(G71="Yes",M71*O71,0)</f>
        <v>75400</v>
      </c>
      <c r="R71" s="16" t="n">
        <f aca="false">SUMIFS(Actuals!$H$2:$H$6000,Actuals!$C$2:$C$6000,B71,Actuals!$E$2:$E$6000,D71)</f>
        <v>277.2</v>
      </c>
      <c r="S71" s="15" t="n">
        <f aca="false">IF(M71=0,0,R71/M71)</f>
        <v>0.477931034482759</v>
      </c>
    </row>
    <row r="72" customFormat="false" ht="15" hidden="false" customHeight="false" outlineLevel="0" collapsed="false">
      <c r="A72" s="18" t="s">
        <v>585</v>
      </c>
      <c r="B72" s="18" t="s">
        <v>261</v>
      </c>
      <c r="C72" s="21" t="str">
        <f aca="false">IFERROR(INDEX(Projects!$B$2:$B$500,MATCH(B72,Projects!$A$2:$A$500,0)),"")</f>
        <v>Grid Analytics Dashboard</v>
      </c>
      <c r="D72" s="18" t="s">
        <v>434</v>
      </c>
      <c r="E72" s="21" t="str">
        <f aca="false">IFERROR(INDEX(Resources!$B$2:$B$500,MATCH(D72,Resources!$A$2:$A$500,0)),"")</f>
        <v>Nina Yilmaz</v>
      </c>
      <c r="F72" s="18" t="s">
        <v>436</v>
      </c>
      <c r="G72" s="18" t="s">
        <v>513</v>
      </c>
      <c r="H72" s="19" t="n">
        <v>46264</v>
      </c>
      <c r="I72" s="19" t="n">
        <v>46374</v>
      </c>
      <c r="J72" s="24" t="n">
        <v>0.5</v>
      </c>
      <c r="K72" s="12" t="str">
        <f aca="false">IF(AND(AsOfDate&gt;=H72,AsOfDate&lt;=I72),"Yes","No")</f>
        <v>Yes</v>
      </c>
      <c r="L72" s="13" t="n">
        <f aca="false">NETWORKDAYS(H72,I72)</f>
        <v>80</v>
      </c>
      <c r="M72" s="16" t="n">
        <f aca="false">ROUND(L72*INDEX(Resources!$J$2:$J$500,MATCH(D72,Resources!$A$2:$A$500,0))/5*J72,1)</f>
        <v>320</v>
      </c>
      <c r="N72" s="29" t="n">
        <f aca="false">INDEX(Resources!$H$2:$H$500,MATCH(D72,Resources!$A$2:$A$500,0))</f>
        <v>64.96</v>
      </c>
      <c r="O72" s="29" t="n">
        <f aca="false">INDEX(Resources!$I$2:$I$500,MATCH(D72,Resources!$A$2:$A$500,0))</f>
        <v>135</v>
      </c>
      <c r="P72" s="14" t="n">
        <f aca="false">M72*N72</f>
        <v>20787.2</v>
      </c>
      <c r="Q72" s="14" t="n">
        <f aca="false">IF(G72="Yes",M72*O72,0)</f>
        <v>43200</v>
      </c>
      <c r="R72" s="16" t="n">
        <f aca="false">SUMIFS(Actuals!$H$2:$H$6000,Actuals!$C$2:$C$6000,B72,Actuals!$E$2:$E$6000,D72)</f>
        <v>3.7</v>
      </c>
      <c r="S72" s="15" t="n">
        <f aca="false">IF(M72=0,0,R72/M72)</f>
        <v>0.0115625</v>
      </c>
    </row>
    <row r="73" customFormat="false" ht="15" hidden="false" customHeight="false" outlineLevel="0" collapsed="false">
      <c r="A73" s="18" t="s">
        <v>586</v>
      </c>
      <c r="B73" s="18" t="s">
        <v>265</v>
      </c>
      <c r="C73" s="21" t="str">
        <f aca="false">IFERROR(INDEX(Projects!$B$2:$B$500,MATCH(B73,Projects!$A$2:$A$500,0)),"")</f>
        <v>Core Banking API Layer</v>
      </c>
      <c r="D73" s="18" t="s">
        <v>211</v>
      </c>
      <c r="E73" s="21" t="str">
        <f aca="false">IFERROR(INDEX(Resources!$B$2:$B$500,MATCH(D73,Resources!$A$2:$A$500,0)),"")</f>
        <v>Liam Roy</v>
      </c>
      <c r="F73" s="18" t="s">
        <v>512</v>
      </c>
      <c r="G73" s="18" t="s">
        <v>513</v>
      </c>
      <c r="H73" s="19" t="n">
        <v>45873</v>
      </c>
      <c r="I73" s="19" t="n">
        <v>46342</v>
      </c>
      <c r="J73" s="24" t="n">
        <v>0.5</v>
      </c>
      <c r="K73" s="12" t="str">
        <f aca="false">IF(AND(AsOfDate&gt;=H73,AsOfDate&lt;=I73),"Yes","No")</f>
        <v>Yes</v>
      </c>
      <c r="L73" s="13" t="n">
        <f aca="false">NETWORKDAYS(H73,I73)</f>
        <v>336</v>
      </c>
      <c r="M73" s="16" t="n">
        <f aca="false">ROUND(L73*INDEX(Resources!$J$2:$J$500,MATCH(D73,Resources!$A$2:$A$500,0))/5*J73,1)</f>
        <v>1344</v>
      </c>
      <c r="N73" s="29" t="n">
        <f aca="false">INDEX(Resources!$H$2:$H$500,MATCH(D73,Resources!$A$2:$A$500,0))</f>
        <v>102.08</v>
      </c>
      <c r="O73" s="29" t="n">
        <f aca="false">INDEX(Resources!$I$2:$I$500,MATCH(D73,Resources!$A$2:$A$500,0))</f>
        <v>205</v>
      </c>
      <c r="P73" s="14" t="n">
        <f aca="false">M73*N73</f>
        <v>137195.52</v>
      </c>
      <c r="Q73" s="14" t="n">
        <f aca="false">IF(G73="Yes",M73*O73,0)</f>
        <v>275520</v>
      </c>
      <c r="R73" s="16" t="n">
        <f aca="false">SUMIFS(Actuals!$H$2:$H$6000,Actuals!$C$2:$C$6000,B73,Actuals!$E$2:$E$6000,D73)</f>
        <v>1434.5</v>
      </c>
      <c r="S73" s="15" t="n">
        <f aca="false">IF(M73=0,0,R73/M73)</f>
        <v>1.06733630952381</v>
      </c>
    </row>
    <row r="74" customFormat="false" ht="15" hidden="false" customHeight="false" outlineLevel="0" collapsed="false">
      <c r="A74" s="18" t="s">
        <v>587</v>
      </c>
      <c r="B74" s="18" t="s">
        <v>265</v>
      </c>
      <c r="C74" s="21" t="str">
        <f aca="false">IFERROR(INDEX(Projects!$B$2:$B$500,MATCH(B74,Projects!$A$2:$A$500,0)),"")</f>
        <v>Core Banking API Layer</v>
      </c>
      <c r="D74" s="18" t="s">
        <v>375</v>
      </c>
      <c r="E74" s="21" t="str">
        <f aca="false">IFERROR(INDEX(Resources!$B$2:$B$500,MATCH(D74,Resources!$A$2:$A$500,0)),"")</f>
        <v>Emma Leblanc</v>
      </c>
      <c r="F74" s="18" t="s">
        <v>365</v>
      </c>
      <c r="G74" s="18" t="s">
        <v>513</v>
      </c>
      <c r="H74" s="19" t="n">
        <v>45873</v>
      </c>
      <c r="I74" s="19" t="n">
        <v>46342</v>
      </c>
      <c r="J74" s="24" t="n">
        <v>0.75</v>
      </c>
      <c r="K74" s="12" t="str">
        <f aca="false">IF(AND(AsOfDate&gt;=H74,AsOfDate&lt;=I74),"Yes","No")</f>
        <v>Yes</v>
      </c>
      <c r="L74" s="13" t="n">
        <f aca="false">NETWORKDAYS(H74,I74)</f>
        <v>336</v>
      </c>
      <c r="M74" s="16" t="n">
        <f aca="false">ROUND(L74*INDEX(Resources!$J$2:$J$500,MATCH(D74,Resources!$A$2:$A$500,0))/5*J74,1)</f>
        <v>2016</v>
      </c>
      <c r="N74" s="29" t="n">
        <f aca="false">INDEX(Resources!$H$2:$H$500,MATCH(D74,Resources!$A$2:$A$500,0))</f>
        <v>72.25</v>
      </c>
      <c r="O74" s="29" t="n">
        <f aca="false">INDEX(Resources!$I$2:$I$500,MATCH(D74,Resources!$A$2:$A$500,0))</f>
        <v>120</v>
      </c>
      <c r="P74" s="14" t="n">
        <f aca="false">M74*N74</f>
        <v>145656</v>
      </c>
      <c r="Q74" s="14" t="n">
        <f aca="false">IF(G74="Yes",M74*O74,0)</f>
        <v>241920</v>
      </c>
      <c r="R74" s="16" t="n">
        <f aca="false">SUMIFS(Actuals!$H$2:$H$6000,Actuals!$C$2:$C$6000,B74,Actuals!$E$2:$E$6000,D74)</f>
        <v>2149.6</v>
      </c>
      <c r="S74" s="15" t="n">
        <f aca="false">IF(M74=0,0,R74/M74)</f>
        <v>1.06626984126984</v>
      </c>
    </row>
    <row r="75" customFormat="false" ht="15" hidden="false" customHeight="false" outlineLevel="0" collapsed="false">
      <c r="A75" s="18" t="s">
        <v>588</v>
      </c>
      <c r="B75" s="18" t="s">
        <v>265</v>
      </c>
      <c r="C75" s="21" t="str">
        <f aca="false">IFERROR(INDEX(Projects!$B$2:$B$500,MATCH(B75,Projects!$A$2:$A$500,0)),"")</f>
        <v>Core Banking API Layer</v>
      </c>
      <c r="D75" s="18" t="s">
        <v>360</v>
      </c>
      <c r="E75" s="21" t="str">
        <f aca="false">IFERROR(INDEX(Resources!$B$2:$B$500,MATCH(D75,Resources!$A$2:$A$500,0)),"")</f>
        <v>Lucas Okoro</v>
      </c>
      <c r="F75" s="18" t="s">
        <v>350</v>
      </c>
      <c r="G75" s="18" t="s">
        <v>513</v>
      </c>
      <c r="H75" s="19" t="n">
        <v>45873</v>
      </c>
      <c r="I75" s="19" t="n">
        <v>46121</v>
      </c>
      <c r="J75" s="24" t="n">
        <v>0.5</v>
      </c>
      <c r="K75" s="12" t="str">
        <f aca="false">IF(AND(AsOfDate&gt;=H75,AsOfDate&lt;=I75),"Yes","No")</f>
        <v>No</v>
      </c>
      <c r="L75" s="13" t="n">
        <f aca="false">NETWORKDAYS(H75,I75)</f>
        <v>179</v>
      </c>
      <c r="M75" s="16" t="n">
        <f aca="false">ROUND(L75*INDEX(Resources!$J$2:$J$500,MATCH(D75,Resources!$A$2:$A$500,0))/5*J75,1)</f>
        <v>716</v>
      </c>
      <c r="N75" s="29" t="n">
        <f aca="false">INDEX(Resources!$H$2:$H$500,MATCH(D75,Resources!$A$2:$A$500,0))</f>
        <v>104.16</v>
      </c>
      <c r="O75" s="29" t="n">
        <f aca="false">INDEX(Resources!$I$2:$I$500,MATCH(D75,Resources!$A$2:$A$500,0))</f>
        <v>210</v>
      </c>
      <c r="P75" s="14" t="n">
        <f aca="false">M75*N75</f>
        <v>74578.56</v>
      </c>
      <c r="Q75" s="14" t="n">
        <f aca="false">IF(G75="Yes",M75*O75,0)</f>
        <v>150360</v>
      </c>
      <c r="R75" s="16" t="n">
        <f aca="false">SUMIFS(Actuals!$H$2:$H$6000,Actuals!$C$2:$C$6000,B75,Actuals!$E$2:$E$6000,D75)</f>
        <v>893.9</v>
      </c>
      <c r="S75" s="15" t="n">
        <f aca="false">IF(M75=0,0,R75/M75)</f>
        <v>1.24846368715084</v>
      </c>
    </row>
    <row r="76" customFormat="false" ht="15" hidden="false" customHeight="false" outlineLevel="0" collapsed="false">
      <c r="A76" s="18" t="s">
        <v>589</v>
      </c>
      <c r="B76" s="18" t="s">
        <v>265</v>
      </c>
      <c r="C76" s="21" t="str">
        <f aca="false">IFERROR(INDEX(Projects!$B$2:$B$500,MATCH(B76,Projects!$A$2:$A$500,0)),"")</f>
        <v>Core Banking API Layer</v>
      </c>
      <c r="D76" s="18" t="s">
        <v>403</v>
      </c>
      <c r="E76" s="21" t="str">
        <f aca="false">IFERROR(INDEX(Resources!$B$2:$B$500,MATCH(D76,Resources!$A$2:$A$500,0)),"")</f>
        <v>Grace Chowdhury</v>
      </c>
      <c r="F76" s="18" t="s">
        <v>516</v>
      </c>
      <c r="G76" s="18" t="s">
        <v>513</v>
      </c>
      <c r="H76" s="19" t="n">
        <v>45873</v>
      </c>
      <c r="I76" s="19" t="n">
        <v>46342</v>
      </c>
      <c r="J76" s="24" t="n">
        <v>0.75</v>
      </c>
      <c r="K76" s="12" t="str">
        <f aca="false">IF(AND(AsOfDate&gt;=H76,AsOfDate&lt;=I76),"Yes","No")</f>
        <v>Yes</v>
      </c>
      <c r="L76" s="13" t="n">
        <f aca="false">NETWORKDAYS(H76,I76)</f>
        <v>336</v>
      </c>
      <c r="M76" s="16" t="n">
        <f aca="false">ROUND(L76*INDEX(Resources!$J$2:$J$500,MATCH(D76,Resources!$A$2:$A$500,0))/5*J76,1)</f>
        <v>2016</v>
      </c>
      <c r="N76" s="29" t="n">
        <f aca="false">INDEX(Resources!$H$2:$H$500,MATCH(D76,Resources!$A$2:$A$500,0))</f>
        <v>85.56</v>
      </c>
      <c r="O76" s="29" t="n">
        <f aca="false">INDEX(Resources!$I$2:$I$500,MATCH(D76,Resources!$A$2:$A$500,0))</f>
        <v>170</v>
      </c>
      <c r="P76" s="14" t="n">
        <f aca="false">M76*N76</f>
        <v>172488.96</v>
      </c>
      <c r="Q76" s="14" t="n">
        <f aca="false">IF(G76="Yes",M76*O76,0)</f>
        <v>342720</v>
      </c>
      <c r="R76" s="16" t="n">
        <f aca="false">SUMIFS(Actuals!$H$2:$H$6000,Actuals!$C$2:$C$6000,B76,Actuals!$E$2:$E$6000,D76)</f>
        <v>2188.4</v>
      </c>
      <c r="S76" s="15" t="n">
        <f aca="false">IF(M76=0,0,R76/M76)</f>
        <v>1.08551587301587</v>
      </c>
    </row>
    <row r="77" customFormat="false" ht="15" hidden="false" customHeight="false" outlineLevel="0" collapsed="false">
      <c r="A77" s="18" t="s">
        <v>590</v>
      </c>
      <c r="B77" s="18" t="s">
        <v>265</v>
      </c>
      <c r="C77" s="21" t="str">
        <f aca="false">IFERROR(INDEX(Projects!$B$2:$B$500,MATCH(B77,Projects!$A$2:$A$500,0)),"")</f>
        <v>Core Banking API Layer</v>
      </c>
      <c r="D77" s="18" t="s">
        <v>432</v>
      </c>
      <c r="E77" s="21" t="str">
        <f aca="false">IFERROR(INDEX(Resources!$B$2:$B$500,MATCH(D77,Resources!$A$2:$A$500,0)),"")</f>
        <v>Andre Fontaine</v>
      </c>
      <c r="F77" s="18" t="s">
        <v>411</v>
      </c>
      <c r="G77" s="18" t="s">
        <v>513</v>
      </c>
      <c r="H77" s="19" t="n">
        <v>45873</v>
      </c>
      <c r="I77" s="19" t="n">
        <v>46342</v>
      </c>
      <c r="J77" s="24" t="n">
        <v>0.5</v>
      </c>
      <c r="K77" s="12" t="str">
        <f aca="false">IF(AND(AsOfDate&gt;=H77,AsOfDate&lt;=I77),"Yes","No")</f>
        <v>Yes</v>
      </c>
      <c r="L77" s="13" t="n">
        <f aca="false">NETWORKDAYS(H77,I77)</f>
        <v>336</v>
      </c>
      <c r="M77" s="16" t="n">
        <f aca="false">ROUND(L77*INDEX(Resources!$J$2:$J$500,MATCH(D77,Resources!$A$2:$A$500,0))/5*J77,1)</f>
        <v>1344</v>
      </c>
      <c r="N77" s="29" t="n">
        <f aca="false">INDEX(Resources!$H$2:$H$500,MATCH(D77,Resources!$A$2:$A$500,0))</f>
        <v>64</v>
      </c>
      <c r="O77" s="29" t="n">
        <f aca="false">INDEX(Resources!$I$2:$I$500,MATCH(D77,Resources!$A$2:$A$500,0))</f>
        <v>130</v>
      </c>
      <c r="P77" s="14" t="n">
        <f aca="false">M77*N77</f>
        <v>86016</v>
      </c>
      <c r="Q77" s="14" t="n">
        <f aca="false">IF(G77="Yes",M77*O77,0)</f>
        <v>174720</v>
      </c>
      <c r="R77" s="16" t="n">
        <f aca="false">SUMIFS(Actuals!$H$2:$H$6000,Actuals!$C$2:$C$6000,B77,Actuals!$E$2:$E$6000,D77)</f>
        <v>1438.4</v>
      </c>
      <c r="S77" s="15" t="n">
        <f aca="false">IF(M77=0,0,R77/M77)</f>
        <v>1.0702380952381</v>
      </c>
    </row>
    <row r="78" customFormat="false" ht="15" hidden="false" customHeight="false" outlineLevel="0" collapsed="false">
      <c r="A78" s="18" t="s">
        <v>591</v>
      </c>
      <c r="B78" s="18" t="s">
        <v>265</v>
      </c>
      <c r="C78" s="21" t="str">
        <f aca="false">IFERROR(INDEX(Projects!$B$2:$B$500,MATCH(B78,Projects!$A$2:$A$500,0)),"")</f>
        <v>Core Banking API Layer</v>
      </c>
      <c r="D78" s="18" t="s">
        <v>448</v>
      </c>
      <c r="E78" s="21" t="str">
        <f aca="false">IFERROR(INDEX(Resources!$B$2:$B$500,MATCH(D78,Resources!$A$2:$A$500,0)),"")</f>
        <v>Kofi Mensah</v>
      </c>
      <c r="F78" s="18" t="s">
        <v>436</v>
      </c>
      <c r="G78" s="18" t="s">
        <v>513</v>
      </c>
      <c r="H78" s="19" t="n">
        <v>46076</v>
      </c>
      <c r="I78" s="19" t="n">
        <v>46342</v>
      </c>
      <c r="J78" s="24" t="n">
        <v>0.5</v>
      </c>
      <c r="K78" s="12" t="str">
        <f aca="false">IF(AND(AsOfDate&gt;=H78,AsOfDate&lt;=I78),"Yes","No")</f>
        <v>Yes</v>
      </c>
      <c r="L78" s="13" t="n">
        <f aca="false">NETWORKDAYS(H78,I78)</f>
        <v>191</v>
      </c>
      <c r="M78" s="16" t="n">
        <f aca="false">ROUND(L78*INDEX(Resources!$J$2:$J$500,MATCH(D78,Resources!$A$2:$A$500,0))/5*J78,1)</f>
        <v>764</v>
      </c>
      <c r="N78" s="29" t="n">
        <f aca="false">INDEX(Resources!$H$2:$H$500,MATCH(D78,Resources!$A$2:$A$500,0))</f>
        <v>64.96</v>
      </c>
      <c r="O78" s="29" t="n">
        <f aca="false">INDEX(Resources!$I$2:$I$500,MATCH(D78,Resources!$A$2:$A$500,0))</f>
        <v>135</v>
      </c>
      <c r="P78" s="14" t="n">
        <f aca="false">M78*N78</f>
        <v>49629.44</v>
      </c>
      <c r="Q78" s="14" t="n">
        <f aca="false">IF(G78="Yes",M78*O78,0)</f>
        <v>103140</v>
      </c>
      <c r="R78" s="16" t="n">
        <f aca="false">SUMIFS(Actuals!$H$2:$H$6000,Actuals!$C$2:$C$6000,B78,Actuals!$E$2:$E$6000,D78)</f>
        <v>711.2</v>
      </c>
      <c r="S78" s="15" t="n">
        <f aca="false">IF(M78=0,0,R78/M78)</f>
        <v>0.930890052356021</v>
      </c>
    </row>
    <row r="79" customFormat="false" ht="15" hidden="false" customHeight="false" outlineLevel="0" collapsed="false">
      <c r="A79" s="18" t="s">
        <v>592</v>
      </c>
      <c r="B79" s="18" t="s">
        <v>265</v>
      </c>
      <c r="C79" s="21" t="str">
        <f aca="false">IFERROR(INDEX(Projects!$B$2:$B$500,MATCH(B79,Projects!$A$2:$A$500,0)),"")</f>
        <v>Core Banking API Layer</v>
      </c>
      <c r="D79" s="18" t="s">
        <v>496</v>
      </c>
      <c r="E79" s="21" t="str">
        <f aca="false">IFERROR(INDEX(Resources!$B$2:$B$500,MATCH(D79,Resources!$A$2:$A$500,0)),"")</f>
        <v>Callum Dubois</v>
      </c>
      <c r="F79" s="18" t="s">
        <v>494</v>
      </c>
      <c r="G79" s="18" t="s">
        <v>513</v>
      </c>
      <c r="H79" s="19" t="n">
        <v>46076</v>
      </c>
      <c r="I79" s="19" t="n">
        <v>46342</v>
      </c>
      <c r="J79" s="24" t="n">
        <v>0.25</v>
      </c>
      <c r="K79" s="12" t="str">
        <f aca="false">IF(AND(AsOfDate&gt;=H79,AsOfDate&lt;=I79),"Yes","No")</f>
        <v>Yes</v>
      </c>
      <c r="L79" s="13" t="n">
        <f aca="false">NETWORKDAYS(H79,I79)</f>
        <v>191</v>
      </c>
      <c r="M79" s="16" t="n">
        <f aca="false">ROUND(L79*INDEX(Resources!$J$2:$J$500,MATCH(D79,Resources!$A$2:$A$500,0))/5*J79,1)</f>
        <v>305.6</v>
      </c>
      <c r="N79" s="29" t="n">
        <f aca="false">INDEX(Resources!$H$2:$H$500,MATCH(D79,Resources!$A$2:$A$500,0))</f>
        <v>77.76</v>
      </c>
      <c r="O79" s="29" t="n">
        <f aca="false">INDEX(Resources!$I$2:$I$500,MATCH(D79,Resources!$A$2:$A$500,0))</f>
        <v>160</v>
      </c>
      <c r="P79" s="14" t="n">
        <f aca="false">M79*N79</f>
        <v>23763.456</v>
      </c>
      <c r="Q79" s="14" t="n">
        <f aca="false">IF(G79="Yes",M79*O79,0)</f>
        <v>48896</v>
      </c>
      <c r="R79" s="16" t="n">
        <f aca="false">SUMIFS(Actuals!$H$2:$H$6000,Actuals!$C$2:$C$6000,B79,Actuals!$E$2:$E$6000,D79)</f>
        <v>281.1</v>
      </c>
      <c r="S79" s="15" t="n">
        <f aca="false">IF(M79=0,0,R79/M79)</f>
        <v>0.919829842931937</v>
      </c>
    </row>
    <row r="80" customFormat="false" ht="15" hidden="false" customHeight="false" outlineLevel="0" collapsed="false">
      <c r="A80" s="18" t="s">
        <v>593</v>
      </c>
      <c r="B80" s="18" t="s">
        <v>267</v>
      </c>
      <c r="C80" s="21" t="str">
        <f aca="false">IFERROR(INDEX(Projects!$B$2:$B$500,MATCH(B80,Projects!$A$2:$A$500,0)),"")</f>
        <v>Managed Cloud Operations</v>
      </c>
      <c r="D80" s="18" t="s">
        <v>242</v>
      </c>
      <c r="E80" s="21" t="str">
        <f aca="false">IFERROR(INDEX(Resources!$B$2:$B$500,MATCH(D80,Resources!$A$2:$A$500,0)),"")</f>
        <v>Ethan Park</v>
      </c>
      <c r="F80" s="18" t="s">
        <v>512</v>
      </c>
      <c r="G80" s="18" t="s">
        <v>513</v>
      </c>
      <c r="H80" s="19" t="n">
        <v>45839</v>
      </c>
      <c r="I80" s="19" t="n">
        <v>46391</v>
      </c>
      <c r="J80" s="24" t="n">
        <v>0.25</v>
      </c>
      <c r="K80" s="12" t="str">
        <f aca="false">IF(AND(AsOfDate&gt;=H80,AsOfDate&lt;=I80),"Yes","No")</f>
        <v>Yes</v>
      </c>
      <c r="L80" s="13" t="n">
        <f aca="false">NETWORKDAYS(H80,I80)</f>
        <v>395</v>
      </c>
      <c r="M80" s="16" t="n">
        <f aca="false">ROUND(L80*INDEX(Resources!$J$2:$J$500,MATCH(D80,Resources!$A$2:$A$500,0))/5*J80,1)</f>
        <v>790</v>
      </c>
      <c r="N80" s="29" t="n">
        <f aca="false">INDEX(Resources!$H$2:$H$500,MATCH(D80,Resources!$A$2:$A$500,0))</f>
        <v>95.04</v>
      </c>
      <c r="O80" s="29" t="n">
        <f aca="false">INDEX(Resources!$I$2:$I$500,MATCH(D80,Resources!$A$2:$A$500,0))</f>
        <v>190</v>
      </c>
      <c r="P80" s="14" t="n">
        <f aca="false">M80*N80</f>
        <v>75081.6</v>
      </c>
      <c r="Q80" s="14" t="n">
        <f aca="false">IF(G80="Yes",M80*O80,0)</f>
        <v>150100</v>
      </c>
      <c r="R80" s="16" t="n">
        <f aca="false">SUMIFS(Actuals!$H$2:$H$6000,Actuals!$C$2:$C$6000,B80,Actuals!$E$2:$E$6000,D80)</f>
        <v>620</v>
      </c>
      <c r="S80" s="15" t="n">
        <f aca="false">IF(M80=0,0,R80/M80)</f>
        <v>0.784810126582278</v>
      </c>
    </row>
    <row r="81" customFormat="false" ht="15" hidden="false" customHeight="false" outlineLevel="0" collapsed="false">
      <c r="A81" s="18" t="s">
        <v>594</v>
      </c>
      <c r="B81" s="18" t="s">
        <v>267</v>
      </c>
      <c r="C81" s="21" t="str">
        <f aca="false">IFERROR(INDEX(Projects!$B$2:$B$500,MATCH(B81,Projects!$A$2:$A$500,0)),"")</f>
        <v>Managed Cloud Operations</v>
      </c>
      <c r="D81" s="18" t="s">
        <v>477</v>
      </c>
      <c r="E81" s="21" t="str">
        <f aca="false">IFERROR(INDEX(Resources!$B$2:$B$500,MATCH(D81,Resources!$A$2:$A$500,0)),"")</f>
        <v>Caleb Walsh</v>
      </c>
      <c r="F81" s="18" t="s">
        <v>472</v>
      </c>
      <c r="G81" s="18" t="s">
        <v>513</v>
      </c>
      <c r="H81" s="19" t="n">
        <v>45839</v>
      </c>
      <c r="I81" s="19" t="n">
        <v>46391</v>
      </c>
      <c r="J81" s="24" t="n">
        <v>0.75</v>
      </c>
      <c r="K81" s="12" t="str">
        <f aca="false">IF(AND(AsOfDate&gt;=H81,AsOfDate&lt;=I81),"Yes","No")</f>
        <v>Yes</v>
      </c>
      <c r="L81" s="13" t="n">
        <f aca="false">NETWORKDAYS(H81,I81)</f>
        <v>395</v>
      </c>
      <c r="M81" s="16" t="n">
        <f aca="false">ROUND(L81*INDEX(Resources!$J$2:$J$500,MATCH(D81,Resources!$A$2:$A$500,0))/5*J81,1)</f>
        <v>2370</v>
      </c>
      <c r="N81" s="29" t="n">
        <f aca="false">INDEX(Resources!$H$2:$H$500,MATCH(D81,Resources!$A$2:$A$500,0))</f>
        <v>109.04</v>
      </c>
      <c r="O81" s="29" t="n">
        <f aca="false">INDEX(Resources!$I$2:$I$500,MATCH(D81,Resources!$A$2:$A$500,0))</f>
        <v>220</v>
      </c>
      <c r="P81" s="14" t="n">
        <f aca="false">M81*N81</f>
        <v>258424.8</v>
      </c>
      <c r="Q81" s="14" t="n">
        <f aca="false">IF(G81="Yes",M81*O81,0)</f>
        <v>521400</v>
      </c>
      <c r="R81" s="16" t="n">
        <f aca="false">SUMIFS(Actuals!$H$2:$H$6000,Actuals!$C$2:$C$6000,B81,Actuals!$E$2:$E$6000,D81)</f>
        <v>1790.5</v>
      </c>
      <c r="S81" s="15" t="n">
        <f aca="false">IF(M81=0,0,R81/M81)</f>
        <v>0.755485232067511</v>
      </c>
    </row>
    <row r="82" customFormat="false" ht="15" hidden="false" customHeight="false" outlineLevel="0" collapsed="false">
      <c r="A82" s="18" t="s">
        <v>595</v>
      </c>
      <c r="B82" s="18" t="s">
        <v>267</v>
      </c>
      <c r="C82" s="21" t="str">
        <f aca="false">IFERROR(INDEX(Projects!$B$2:$B$500,MATCH(B82,Projects!$A$2:$A$500,0)),"")</f>
        <v>Managed Cloud Operations</v>
      </c>
      <c r="D82" s="18" t="s">
        <v>489</v>
      </c>
      <c r="E82" s="21" t="str">
        <f aca="false">IFERROR(INDEX(Resources!$B$2:$B$500,MATCH(D82,Resources!$A$2:$A$500,0)),"")</f>
        <v>Jonah Lee</v>
      </c>
      <c r="F82" s="18" t="s">
        <v>485</v>
      </c>
      <c r="G82" s="18" t="s">
        <v>513</v>
      </c>
      <c r="H82" s="19" t="n">
        <v>45839</v>
      </c>
      <c r="I82" s="19" t="n">
        <v>46391</v>
      </c>
      <c r="J82" s="24" t="n">
        <v>0.5</v>
      </c>
      <c r="K82" s="12" t="str">
        <f aca="false">IF(AND(AsOfDate&gt;=H82,AsOfDate&lt;=I82),"Yes","No")</f>
        <v>Yes</v>
      </c>
      <c r="L82" s="13" t="n">
        <f aca="false">NETWORKDAYS(H82,I82)</f>
        <v>395</v>
      </c>
      <c r="M82" s="16" t="n">
        <f aca="false">ROUND(L82*INDEX(Resources!$J$2:$J$500,MATCH(D82,Resources!$A$2:$A$500,0))/5*J82,1)</f>
        <v>1580</v>
      </c>
      <c r="N82" s="29" t="n">
        <f aca="false">INDEX(Resources!$H$2:$H$500,MATCH(D82,Resources!$A$2:$A$500,0))</f>
        <v>86</v>
      </c>
      <c r="O82" s="29" t="n">
        <f aca="false">INDEX(Resources!$I$2:$I$500,MATCH(D82,Resources!$A$2:$A$500,0))</f>
        <v>175</v>
      </c>
      <c r="P82" s="14" t="n">
        <f aca="false">M82*N82</f>
        <v>135880</v>
      </c>
      <c r="Q82" s="14" t="n">
        <f aca="false">IF(G82="Yes",M82*O82,0)</f>
        <v>276500</v>
      </c>
      <c r="R82" s="16" t="n">
        <f aca="false">SUMIFS(Actuals!$H$2:$H$6000,Actuals!$C$2:$C$6000,B82,Actuals!$E$2:$E$6000,D82)</f>
        <v>1244.5</v>
      </c>
      <c r="S82" s="15" t="n">
        <f aca="false">IF(M82=0,0,R82/M82)</f>
        <v>0.787658227848101</v>
      </c>
    </row>
    <row r="83" customFormat="false" ht="15" hidden="false" customHeight="false" outlineLevel="0" collapsed="false">
      <c r="A83" s="18" t="s">
        <v>596</v>
      </c>
      <c r="B83" s="18" t="s">
        <v>267</v>
      </c>
      <c r="C83" s="21" t="str">
        <f aca="false">IFERROR(INDEX(Projects!$B$2:$B$500,MATCH(B83,Projects!$A$2:$A$500,0)),"")</f>
        <v>Managed Cloud Operations</v>
      </c>
      <c r="D83" s="18" t="s">
        <v>348</v>
      </c>
      <c r="E83" s="21" t="str">
        <f aca="false">IFERROR(INDEX(Resources!$B$2:$B$500,MATCH(D83,Resources!$A$2:$A$500,0)),"")</f>
        <v>Chloe Reyes</v>
      </c>
      <c r="F83" s="18" t="s">
        <v>350</v>
      </c>
      <c r="G83" s="18" t="s">
        <v>513</v>
      </c>
      <c r="H83" s="19" t="n">
        <v>45839</v>
      </c>
      <c r="I83" s="19" t="n">
        <v>46140</v>
      </c>
      <c r="J83" s="24" t="n">
        <v>0.25</v>
      </c>
      <c r="K83" s="12" t="str">
        <f aca="false">IF(AND(AsOfDate&gt;=H83,AsOfDate&lt;=I83),"Yes","No")</f>
        <v>No</v>
      </c>
      <c r="L83" s="13" t="n">
        <f aca="false">NETWORKDAYS(H83,I83)</f>
        <v>216</v>
      </c>
      <c r="M83" s="16" t="n">
        <f aca="false">ROUND(L83*INDEX(Resources!$J$2:$J$500,MATCH(D83,Resources!$A$2:$A$500,0))/5*J83,1)</f>
        <v>432</v>
      </c>
      <c r="N83" s="29" t="n">
        <f aca="false">INDEX(Resources!$H$2:$H$500,MATCH(D83,Resources!$A$2:$A$500,0))</f>
        <v>129.92</v>
      </c>
      <c r="O83" s="29" t="n">
        <f aca="false">INDEX(Resources!$I$2:$I$500,MATCH(D83,Resources!$A$2:$A$500,0))</f>
        <v>260</v>
      </c>
      <c r="P83" s="14" t="n">
        <f aca="false">M83*N83</f>
        <v>56125.44</v>
      </c>
      <c r="Q83" s="14" t="n">
        <f aca="false">IF(G83="Yes",M83*O83,0)</f>
        <v>112320</v>
      </c>
      <c r="R83" s="16" t="n">
        <f aca="false">SUMIFS(Actuals!$H$2:$H$6000,Actuals!$C$2:$C$6000,B83,Actuals!$E$2:$E$6000,D83)</f>
        <v>447.5</v>
      </c>
      <c r="S83" s="15" t="n">
        <f aca="false">IF(M83=0,0,R83/M83)</f>
        <v>1.03587962962963</v>
      </c>
    </row>
    <row r="84" customFormat="false" ht="15" hidden="false" customHeight="false" outlineLevel="0" collapsed="false">
      <c r="A84" s="18" t="s">
        <v>597</v>
      </c>
      <c r="B84" s="18" t="s">
        <v>267</v>
      </c>
      <c r="C84" s="21" t="str">
        <f aca="false">IFERROR(INDEX(Projects!$B$2:$B$500,MATCH(B84,Projects!$A$2:$A$500,0)),"")</f>
        <v>Managed Cloud Operations</v>
      </c>
      <c r="D84" s="18" t="s">
        <v>405</v>
      </c>
      <c r="E84" s="21" t="str">
        <f aca="false">IFERROR(INDEX(Resources!$B$2:$B$500,MATCH(D84,Resources!$A$2:$A$500,0)),"")</f>
        <v>Tariq Obi</v>
      </c>
      <c r="F84" s="18" t="s">
        <v>516</v>
      </c>
      <c r="G84" s="18" t="s">
        <v>513</v>
      </c>
      <c r="H84" s="19" t="n">
        <v>45839</v>
      </c>
      <c r="I84" s="19" t="n">
        <v>46391</v>
      </c>
      <c r="J84" s="24" t="n">
        <v>0.5</v>
      </c>
      <c r="K84" s="12" t="str">
        <f aca="false">IF(AND(AsOfDate&gt;=H84,AsOfDate&lt;=I84),"Yes","No")</f>
        <v>Yes</v>
      </c>
      <c r="L84" s="13" t="n">
        <f aca="false">NETWORKDAYS(H84,I84)</f>
        <v>395</v>
      </c>
      <c r="M84" s="16" t="n">
        <f aca="false">ROUND(L84*INDEX(Resources!$J$2:$J$500,MATCH(D84,Resources!$A$2:$A$500,0))/5*J84,1)</f>
        <v>1580</v>
      </c>
      <c r="N84" s="29" t="n">
        <f aca="false">INDEX(Resources!$H$2:$H$500,MATCH(D84,Resources!$A$2:$A$500,0))</f>
        <v>99.36</v>
      </c>
      <c r="O84" s="29" t="n">
        <f aca="false">INDEX(Resources!$I$2:$I$500,MATCH(D84,Resources!$A$2:$A$500,0))</f>
        <v>200</v>
      </c>
      <c r="P84" s="14" t="n">
        <f aca="false">M84*N84</f>
        <v>156988.8</v>
      </c>
      <c r="Q84" s="14" t="n">
        <f aca="false">IF(G84="Yes",M84*O84,0)</f>
        <v>316000</v>
      </c>
      <c r="R84" s="16" t="n">
        <f aca="false">SUMIFS(Actuals!$H$2:$H$6000,Actuals!$C$2:$C$6000,B84,Actuals!$E$2:$E$6000,D84)</f>
        <v>1248.4</v>
      </c>
      <c r="S84" s="15" t="n">
        <f aca="false">IF(M84=0,0,R84/M84)</f>
        <v>0.790126582278481</v>
      </c>
    </row>
    <row r="85" customFormat="false" ht="15" hidden="false" customHeight="false" outlineLevel="0" collapsed="false">
      <c r="A85" s="18" t="s">
        <v>598</v>
      </c>
      <c r="B85" s="18" t="s">
        <v>270</v>
      </c>
      <c r="C85" s="21" t="str">
        <f aca="false">IFERROR(INDEX(Projects!$B$2:$B$500,MATCH(B85,Projects!$A$2:$A$500,0)),"")</f>
        <v>Policy Admin Consolidation</v>
      </c>
      <c r="D85" s="18" t="s">
        <v>237</v>
      </c>
      <c r="E85" s="21" t="str">
        <f aca="false">IFERROR(INDEX(Resources!$B$2:$B$500,MATCH(D85,Resources!$A$2:$A$500,0)),"")</f>
        <v>Olivia Silva</v>
      </c>
      <c r="F85" s="18" t="s">
        <v>512</v>
      </c>
      <c r="G85" s="18" t="s">
        <v>513</v>
      </c>
      <c r="H85" s="19" t="n">
        <v>46097</v>
      </c>
      <c r="I85" s="19" t="n">
        <v>46573</v>
      </c>
      <c r="J85" s="24" t="n">
        <v>0.5</v>
      </c>
      <c r="K85" s="12" t="str">
        <f aca="false">IF(AND(AsOfDate&gt;=H85,AsOfDate&lt;=I85),"Yes","No")</f>
        <v>Yes</v>
      </c>
      <c r="L85" s="13" t="n">
        <f aca="false">NETWORKDAYS(H85,I85)</f>
        <v>341</v>
      </c>
      <c r="M85" s="16" t="n">
        <f aca="false">ROUND(L85*INDEX(Resources!$J$2:$J$500,MATCH(D85,Resources!$A$2:$A$500,0))/5*J85,1)</f>
        <v>1364</v>
      </c>
      <c r="N85" s="29" t="n">
        <f aca="false">INDEX(Resources!$H$2:$H$500,MATCH(D85,Resources!$A$2:$A$500,0))</f>
        <v>74.8</v>
      </c>
      <c r="O85" s="29" t="n">
        <f aca="false">INDEX(Resources!$I$2:$I$500,MATCH(D85,Resources!$A$2:$A$500,0))</f>
        <v>150</v>
      </c>
      <c r="P85" s="14" t="n">
        <f aca="false">M85*N85</f>
        <v>102027.2</v>
      </c>
      <c r="Q85" s="14" t="n">
        <f aca="false">IF(G85="Yes",M85*O85,0)</f>
        <v>204600</v>
      </c>
      <c r="R85" s="16" t="n">
        <f aca="false">SUMIFS(Actuals!$H$2:$H$6000,Actuals!$C$2:$C$6000,B85,Actuals!$E$2:$E$6000,D85)</f>
        <v>582.2</v>
      </c>
      <c r="S85" s="15" t="n">
        <f aca="false">IF(M85=0,0,R85/M85)</f>
        <v>0.42683284457478</v>
      </c>
    </row>
    <row r="86" customFormat="false" ht="15" hidden="false" customHeight="false" outlineLevel="0" collapsed="false">
      <c r="A86" s="18" t="s">
        <v>599</v>
      </c>
      <c r="B86" s="18" t="s">
        <v>270</v>
      </c>
      <c r="C86" s="21" t="str">
        <f aca="false">IFERROR(INDEX(Projects!$B$2:$B$500,MATCH(B86,Projects!$A$2:$A$500,0)),"")</f>
        <v>Policy Admin Consolidation</v>
      </c>
      <c r="D86" s="18" t="s">
        <v>363</v>
      </c>
      <c r="E86" s="21" t="str">
        <f aca="false">IFERROR(INDEX(Resources!$B$2:$B$500,MATCH(D86,Resources!$A$2:$A$500,0)),"")</f>
        <v>Zara Vasquez</v>
      </c>
      <c r="F86" s="18" t="s">
        <v>365</v>
      </c>
      <c r="G86" s="18" t="s">
        <v>513</v>
      </c>
      <c r="H86" s="19" t="n">
        <v>46097</v>
      </c>
      <c r="I86" s="19" t="n">
        <v>46573</v>
      </c>
      <c r="J86" s="24" t="n">
        <v>0.5</v>
      </c>
      <c r="K86" s="12" t="str">
        <f aca="false">IF(AND(AsOfDate&gt;=H86,AsOfDate&lt;=I86),"Yes","No")</f>
        <v>Yes</v>
      </c>
      <c r="L86" s="13" t="n">
        <f aca="false">NETWORKDAYS(H86,I86)</f>
        <v>341</v>
      </c>
      <c r="M86" s="16" t="n">
        <f aca="false">ROUND(L86*INDEX(Resources!$J$2:$J$500,MATCH(D86,Resources!$A$2:$A$500,0))/5*J86,1)</f>
        <v>1364</v>
      </c>
      <c r="N86" s="29" t="n">
        <f aca="false">INDEX(Resources!$H$2:$H$500,MATCH(D86,Resources!$A$2:$A$500,0))</f>
        <v>78.88</v>
      </c>
      <c r="O86" s="29" t="n">
        <f aca="false">INDEX(Resources!$I$2:$I$500,MATCH(D86,Resources!$A$2:$A$500,0))</f>
        <v>160</v>
      </c>
      <c r="P86" s="14" t="n">
        <f aca="false">M86*N86</f>
        <v>107592.32</v>
      </c>
      <c r="Q86" s="14" t="n">
        <f aca="false">IF(G86="Yes",M86*O86,0)</f>
        <v>218240</v>
      </c>
      <c r="R86" s="16" t="n">
        <f aca="false">SUMIFS(Actuals!$H$2:$H$6000,Actuals!$C$2:$C$6000,B86,Actuals!$E$2:$E$6000,D86)</f>
        <v>585.9</v>
      </c>
      <c r="S86" s="15" t="n">
        <f aca="false">IF(M86=0,0,R86/M86)</f>
        <v>0.429545454545455</v>
      </c>
    </row>
    <row r="87" customFormat="false" ht="15" hidden="false" customHeight="false" outlineLevel="0" collapsed="false">
      <c r="A87" s="18" t="s">
        <v>600</v>
      </c>
      <c r="B87" s="18" t="s">
        <v>270</v>
      </c>
      <c r="C87" s="21" t="str">
        <f aca="false">IFERROR(INDEX(Projects!$B$2:$B$500,MATCH(B87,Projects!$A$2:$A$500,0)),"")</f>
        <v>Policy Admin Consolidation</v>
      </c>
      <c r="D87" s="18" t="s">
        <v>357</v>
      </c>
      <c r="E87" s="21" t="str">
        <f aca="false">IFERROR(INDEX(Resources!$B$2:$B$500,MATCH(D87,Resources!$A$2:$A$500,0)),"")</f>
        <v>Hana Clarke</v>
      </c>
      <c r="F87" s="18" t="s">
        <v>350</v>
      </c>
      <c r="G87" s="18" t="s">
        <v>513</v>
      </c>
      <c r="H87" s="19" t="n">
        <v>46097</v>
      </c>
      <c r="I87" s="19" t="n">
        <v>46353</v>
      </c>
      <c r="J87" s="24" t="n">
        <v>0.25</v>
      </c>
      <c r="K87" s="12" t="str">
        <f aca="false">IF(AND(AsOfDate&gt;=H87,AsOfDate&lt;=I87),"Yes","No")</f>
        <v>Yes</v>
      </c>
      <c r="L87" s="13" t="n">
        <f aca="false">NETWORKDAYS(H87,I87)</f>
        <v>185</v>
      </c>
      <c r="M87" s="16" t="n">
        <f aca="false">ROUND(L87*INDEX(Resources!$J$2:$J$500,MATCH(D87,Resources!$A$2:$A$500,0))/5*J87,1)</f>
        <v>370</v>
      </c>
      <c r="N87" s="29" t="n">
        <f aca="false">INDEX(Resources!$H$2:$H$500,MATCH(D87,Resources!$A$2:$A$500,0))</f>
        <v>120.96</v>
      </c>
      <c r="O87" s="29" t="n">
        <f aca="false">INDEX(Resources!$I$2:$I$500,MATCH(D87,Resources!$A$2:$A$500,0))</f>
        <v>245</v>
      </c>
      <c r="P87" s="14" t="n">
        <f aca="false">M87*N87</f>
        <v>44755.2</v>
      </c>
      <c r="Q87" s="14" t="n">
        <f aca="false">IF(G87="Yes",M87*O87,0)</f>
        <v>90650</v>
      </c>
      <c r="R87" s="16" t="n">
        <f aca="false">SUMIFS(Actuals!$H$2:$H$6000,Actuals!$C$2:$C$6000,B87,Actuals!$E$2:$E$6000,D87)</f>
        <v>299.6</v>
      </c>
      <c r="S87" s="15" t="n">
        <f aca="false">IF(M87=0,0,R87/M87)</f>
        <v>0.80972972972973</v>
      </c>
    </row>
    <row r="88" customFormat="false" ht="15" hidden="false" customHeight="false" outlineLevel="0" collapsed="false">
      <c r="A88" s="18" t="s">
        <v>601</v>
      </c>
      <c r="B88" s="18" t="s">
        <v>270</v>
      </c>
      <c r="C88" s="21" t="str">
        <f aca="false">IFERROR(INDEX(Projects!$B$2:$B$500,MATCH(B88,Projects!$A$2:$A$500,0)),"")</f>
        <v>Policy Admin Consolidation</v>
      </c>
      <c r="D88" s="18" t="s">
        <v>393</v>
      </c>
      <c r="E88" s="21" t="str">
        <f aca="false">IFERROR(INDEX(Resources!$B$2:$B$500,MATCH(D88,Resources!$A$2:$A$500,0)),"")</f>
        <v>Isabel Gill</v>
      </c>
      <c r="F88" s="18" t="s">
        <v>516</v>
      </c>
      <c r="G88" s="18" t="s">
        <v>513</v>
      </c>
      <c r="H88" s="19" t="n">
        <v>46097</v>
      </c>
      <c r="I88" s="19" t="n">
        <v>46573</v>
      </c>
      <c r="J88" s="24" t="n">
        <v>0.75</v>
      </c>
      <c r="K88" s="12" t="str">
        <f aca="false">IF(AND(AsOfDate&gt;=H88,AsOfDate&lt;=I88),"Yes","No")</f>
        <v>Yes</v>
      </c>
      <c r="L88" s="13" t="n">
        <f aca="false">NETWORKDAYS(H88,I88)</f>
        <v>341</v>
      </c>
      <c r="M88" s="16" t="n">
        <f aca="false">ROUND(L88*INDEX(Resources!$J$2:$J$500,MATCH(D88,Resources!$A$2:$A$500,0))/5*J88,1)</f>
        <v>2046</v>
      </c>
      <c r="N88" s="29" t="n">
        <f aca="false">INDEX(Resources!$H$2:$H$500,MATCH(D88,Resources!$A$2:$A$500,0))</f>
        <v>99.36</v>
      </c>
      <c r="O88" s="29" t="n">
        <f aca="false">INDEX(Resources!$I$2:$I$500,MATCH(D88,Resources!$A$2:$A$500,0))</f>
        <v>200</v>
      </c>
      <c r="P88" s="14" t="n">
        <f aca="false">M88*N88</f>
        <v>203290.56</v>
      </c>
      <c r="Q88" s="14" t="n">
        <f aca="false">IF(G88="Yes",M88*O88,0)</f>
        <v>409200</v>
      </c>
      <c r="R88" s="16" t="n">
        <f aca="false">SUMIFS(Actuals!$H$2:$H$6000,Actuals!$C$2:$C$6000,B88,Actuals!$E$2:$E$6000,D88)</f>
        <v>922</v>
      </c>
      <c r="S88" s="15" t="n">
        <f aca="false">IF(M88=0,0,R88/M88)</f>
        <v>0.450635386119257</v>
      </c>
    </row>
    <row r="89" customFormat="false" ht="15" hidden="false" customHeight="false" outlineLevel="0" collapsed="false">
      <c r="A89" s="18" t="s">
        <v>602</v>
      </c>
      <c r="B89" s="18" t="s">
        <v>270</v>
      </c>
      <c r="C89" s="21" t="str">
        <f aca="false">IFERROR(INDEX(Projects!$B$2:$B$500,MATCH(B89,Projects!$A$2:$A$500,0)),"")</f>
        <v>Policy Admin Consolidation</v>
      </c>
      <c r="D89" s="18" t="s">
        <v>430</v>
      </c>
      <c r="E89" s="21" t="str">
        <f aca="false">IFERROR(INDEX(Resources!$B$2:$B$500,MATCH(D89,Resources!$A$2:$A$500,0)),"")</f>
        <v>Leila Nguyen</v>
      </c>
      <c r="F89" s="18" t="s">
        <v>411</v>
      </c>
      <c r="G89" s="18" t="s">
        <v>513</v>
      </c>
      <c r="H89" s="19" t="n">
        <v>46097</v>
      </c>
      <c r="I89" s="19" t="n">
        <v>46573</v>
      </c>
      <c r="J89" s="24" t="n">
        <v>0.75</v>
      </c>
      <c r="K89" s="12" t="str">
        <f aca="false">IF(AND(AsOfDate&gt;=H89,AsOfDate&lt;=I89),"Yes","No")</f>
        <v>Yes</v>
      </c>
      <c r="L89" s="13" t="n">
        <f aca="false">NETWORKDAYS(H89,I89)</f>
        <v>341</v>
      </c>
      <c r="M89" s="16" t="n">
        <f aca="false">ROUND(L89*INDEX(Resources!$J$2:$J$500,MATCH(D89,Resources!$A$2:$A$500,0))/5*J89,1)</f>
        <v>2046</v>
      </c>
      <c r="N89" s="29" t="n">
        <f aca="false">INDEX(Resources!$H$2:$H$500,MATCH(D89,Resources!$A$2:$A$500,0))</f>
        <v>64</v>
      </c>
      <c r="O89" s="29" t="n">
        <f aca="false">INDEX(Resources!$I$2:$I$500,MATCH(D89,Resources!$A$2:$A$500,0))</f>
        <v>130</v>
      </c>
      <c r="P89" s="14" t="n">
        <f aca="false">M89*N89</f>
        <v>130944</v>
      </c>
      <c r="Q89" s="14" t="n">
        <f aca="false">IF(G89="Yes",M89*O89,0)</f>
        <v>265980</v>
      </c>
      <c r="R89" s="16" t="n">
        <f aca="false">SUMIFS(Actuals!$H$2:$H$6000,Actuals!$C$2:$C$6000,B89,Actuals!$E$2:$E$6000,D89)</f>
        <v>864</v>
      </c>
      <c r="S89" s="15" t="n">
        <f aca="false">IF(M89=0,0,R89/M89)</f>
        <v>0.422287390029326</v>
      </c>
    </row>
    <row r="90" customFormat="false" ht="15" hidden="false" customHeight="false" outlineLevel="0" collapsed="false">
      <c r="A90" s="18" t="s">
        <v>603</v>
      </c>
      <c r="B90" s="18" t="s">
        <v>270</v>
      </c>
      <c r="C90" s="21" t="str">
        <f aca="false">IFERROR(INDEX(Projects!$B$2:$B$500,MATCH(B90,Projects!$A$2:$A$500,0)),"")</f>
        <v>Policy Admin Consolidation</v>
      </c>
      <c r="D90" s="18" t="s">
        <v>442</v>
      </c>
      <c r="E90" s="21" t="str">
        <f aca="false">IFERROR(INDEX(Resources!$B$2:$B$500,MATCH(D90,Resources!$A$2:$A$500,0)),"")</f>
        <v>Simran Patel</v>
      </c>
      <c r="F90" s="18" t="s">
        <v>436</v>
      </c>
      <c r="G90" s="18" t="s">
        <v>513</v>
      </c>
      <c r="H90" s="19" t="n">
        <v>46306</v>
      </c>
      <c r="I90" s="19" t="n">
        <v>46573</v>
      </c>
      <c r="J90" s="24" t="n">
        <v>0.5</v>
      </c>
      <c r="K90" s="12" t="str">
        <f aca="false">IF(AND(AsOfDate&gt;=H90,AsOfDate&lt;=I90),"Yes","No")</f>
        <v>No</v>
      </c>
      <c r="L90" s="13" t="n">
        <f aca="false">NETWORKDAYS(H90,I90)</f>
        <v>191</v>
      </c>
      <c r="M90" s="16" t="n">
        <f aca="false">ROUND(L90*INDEX(Resources!$J$2:$J$500,MATCH(D90,Resources!$A$2:$A$500,0))/5*J90,1)</f>
        <v>764</v>
      </c>
      <c r="N90" s="29" t="n">
        <f aca="false">INDEX(Resources!$H$2:$H$500,MATCH(D90,Resources!$A$2:$A$500,0))</f>
        <v>70</v>
      </c>
      <c r="O90" s="29" t="n">
        <f aca="false">INDEX(Resources!$I$2:$I$500,MATCH(D90,Resources!$A$2:$A$500,0))</f>
        <v>115</v>
      </c>
      <c r="P90" s="14" t="n">
        <f aca="false">M90*N90</f>
        <v>53480</v>
      </c>
      <c r="Q90" s="14" t="n">
        <f aca="false">IF(G90="Yes",M90*O90,0)</f>
        <v>87860</v>
      </c>
      <c r="R90" s="16" t="n">
        <f aca="false">SUMIFS(Actuals!$H$2:$H$6000,Actuals!$C$2:$C$6000,B90,Actuals!$E$2:$E$6000,D90)</f>
        <v>0</v>
      </c>
      <c r="S90" s="15" t="n">
        <f aca="false">IF(M90=0,0,R90/M90)</f>
        <v>0</v>
      </c>
    </row>
    <row r="91" customFormat="false" ht="15" hidden="false" customHeight="false" outlineLevel="0" collapsed="false">
      <c r="A91" s="18" t="s">
        <v>604</v>
      </c>
      <c r="B91" s="18" t="s">
        <v>270</v>
      </c>
      <c r="C91" s="21" t="str">
        <f aca="false">IFERROR(INDEX(Projects!$B$2:$B$500,MATCH(B91,Projects!$A$2:$A$500,0)),"")</f>
        <v>Policy Admin Consolidation</v>
      </c>
      <c r="D91" s="18" t="s">
        <v>492</v>
      </c>
      <c r="E91" s="21" t="str">
        <f aca="false">IFERROR(INDEX(Resources!$B$2:$B$500,MATCH(D91,Resources!$A$2:$A$500,0)),"")</f>
        <v>Mariam Brooks</v>
      </c>
      <c r="F91" s="18" t="s">
        <v>494</v>
      </c>
      <c r="G91" s="18" t="s">
        <v>513</v>
      </c>
      <c r="H91" s="19" t="n">
        <v>46306</v>
      </c>
      <c r="I91" s="19" t="n">
        <v>46573</v>
      </c>
      <c r="J91" s="24" t="n">
        <v>0.25</v>
      </c>
      <c r="K91" s="12" t="str">
        <f aca="false">IF(AND(AsOfDate&gt;=H91,AsOfDate&lt;=I91),"Yes","No")</f>
        <v>No</v>
      </c>
      <c r="L91" s="13" t="n">
        <f aca="false">NETWORKDAYS(H91,I91)</f>
        <v>191</v>
      </c>
      <c r="M91" s="16" t="n">
        <f aca="false">ROUND(L91*INDEX(Resources!$J$2:$J$500,MATCH(D91,Resources!$A$2:$A$500,0))/5*J91,1)</f>
        <v>382</v>
      </c>
      <c r="N91" s="29" t="n">
        <f aca="false">INDEX(Resources!$H$2:$H$500,MATCH(D91,Resources!$A$2:$A$500,0))</f>
        <v>83.52</v>
      </c>
      <c r="O91" s="29" t="n">
        <f aca="false">INDEX(Resources!$I$2:$I$500,MATCH(D91,Resources!$A$2:$A$500,0))</f>
        <v>175</v>
      </c>
      <c r="P91" s="14" t="n">
        <f aca="false">M91*N91</f>
        <v>31904.64</v>
      </c>
      <c r="Q91" s="14" t="n">
        <f aca="false">IF(G91="Yes",M91*O91,0)</f>
        <v>66850</v>
      </c>
      <c r="R91" s="16" t="n">
        <f aca="false">SUMIFS(Actuals!$H$2:$H$6000,Actuals!$C$2:$C$6000,B91,Actuals!$E$2:$E$6000,D91)</f>
        <v>0</v>
      </c>
      <c r="S91" s="15" t="n">
        <f aca="false">IF(M91=0,0,R91/M91)</f>
        <v>0</v>
      </c>
    </row>
    <row r="92" customFormat="false" ht="15" hidden="false" customHeight="false" outlineLevel="0" collapsed="false">
      <c r="A92" s="18" t="s">
        <v>605</v>
      </c>
      <c r="B92" s="18" t="s">
        <v>272</v>
      </c>
      <c r="C92" s="21" t="str">
        <f aca="false">IFERROR(INDEX(Projects!$B$2:$B$500,MATCH(B92,Projects!$A$2:$A$500,0)),"")</f>
        <v>Warehouse Robotics Integration</v>
      </c>
      <c r="D92" s="18" t="s">
        <v>201</v>
      </c>
      <c r="E92" s="21" t="str">
        <f aca="false">IFERROR(INDEX(Resources!$B$2:$B$500,MATCH(D92,Resources!$A$2:$A$500,0)),"")</f>
        <v>Aisha Tremblay</v>
      </c>
      <c r="F92" s="18" t="s">
        <v>512</v>
      </c>
      <c r="G92" s="18" t="s">
        <v>527</v>
      </c>
      <c r="H92" s="19" t="n">
        <v>46125</v>
      </c>
      <c r="I92" s="19" t="n">
        <v>46349</v>
      </c>
      <c r="J92" s="24" t="n">
        <v>0.25</v>
      </c>
      <c r="K92" s="12" t="str">
        <f aca="false">IF(AND(AsOfDate&gt;=H92,AsOfDate&lt;=I92),"Yes","No")</f>
        <v>Yes</v>
      </c>
      <c r="L92" s="13" t="n">
        <f aca="false">NETWORKDAYS(H92,I92)</f>
        <v>161</v>
      </c>
      <c r="M92" s="16" t="n">
        <f aca="false">ROUND(L92*INDEX(Resources!$J$2:$J$500,MATCH(D92,Resources!$A$2:$A$500,0))/5*J92,1)</f>
        <v>322</v>
      </c>
      <c r="N92" s="29" t="n">
        <f aca="false">INDEX(Resources!$H$2:$H$500,MATCH(D92,Resources!$A$2:$A$500,0))</f>
        <v>102.08</v>
      </c>
      <c r="O92" s="29" t="n">
        <f aca="false">INDEX(Resources!$I$2:$I$500,MATCH(D92,Resources!$A$2:$A$500,0))</f>
        <v>205</v>
      </c>
      <c r="P92" s="14" t="n">
        <f aca="false">M92*N92</f>
        <v>32869.76</v>
      </c>
      <c r="Q92" s="14" t="n">
        <f aca="false">IF(G92="Yes",M92*O92,0)</f>
        <v>0</v>
      </c>
      <c r="R92" s="16" t="n">
        <f aca="false">SUMIFS(Actuals!$H$2:$H$6000,Actuals!$C$2:$C$6000,B92,Actuals!$E$2:$E$6000,D92)</f>
        <v>203.6</v>
      </c>
      <c r="S92" s="15" t="n">
        <f aca="false">IF(M92=0,0,R92/M92)</f>
        <v>0.632298136645963</v>
      </c>
    </row>
    <row r="93" customFormat="false" ht="15" hidden="false" customHeight="false" outlineLevel="0" collapsed="false">
      <c r="A93" s="18" t="s">
        <v>606</v>
      </c>
      <c r="B93" s="18" t="s">
        <v>272</v>
      </c>
      <c r="C93" s="21" t="str">
        <f aca="false">IFERROR(INDEX(Projects!$B$2:$B$500,MATCH(B93,Projects!$A$2:$A$500,0)),"")</f>
        <v>Warehouse Robotics Integration</v>
      </c>
      <c r="D93" s="18" t="s">
        <v>373</v>
      </c>
      <c r="E93" s="21" t="str">
        <f aca="false">IFERROR(INDEX(Resources!$B$2:$B$500,MATCH(D93,Resources!$A$2:$A$500,0)),"")</f>
        <v>Ravi Gagnon</v>
      </c>
      <c r="F93" s="18" t="s">
        <v>365</v>
      </c>
      <c r="G93" s="18" t="s">
        <v>513</v>
      </c>
      <c r="H93" s="19" t="n">
        <v>46125</v>
      </c>
      <c r="I93" s="19" t="n">
        <v>46349</v>
      </c>
      <c r="J93" s="24" t="n">
        <v>0.5</v>
      </c>
      <c r="K93" s="12" t="str">
        <f aca="false">IF(AND(AsOfDate&gt;=H93,AsOfDate&lt;=I93),"Yes","No")</f>
        <v>Yes</v>
      </c>
      <c r="L93" s="13" t="n">
        <f aca="false">NETWORKDAYS(H93,I93)</f>
        <v>161</v>
      </c>
      <c r="M93" s="16" t="n">
        <f aca="false">ROUND(L93*INDEX(Resources!$J$2:$J$500,MATCH(D93,Resources!$A$2:$A$500,0))/5*J93,1)</f>
        <v>644</v>
      </c>
      <c r="N93" s="29" t="n">
        <f aca="false">INDEX(Resources!$H$2:$H$500,MATCH(D93,Resources!$A$2:$A$500,0))</f>
        <v>73.44</v>
      </c>
      <c r="O93" s="29" t="n">
        <f aca="false">INDEX(Resources!$I$2:$I$500,MATCH(D93,Resources!$A$2:$A$500,0))</f>
        <v>150</v>
      </c>
      <c r="P93" s="14" t="n">
        <f aca="false">M93*N93</f>
        <v>47295.36</v>
      </c>
      <c r="Q93" s="14" t="n">
        <f aca="false">IF(G93="Yes",M93*O93,0)</f>
        <v>96600</v>
      </c>
      <c r="R93" s="16" t="n">
        <f aca="false">SUMIFS(Actuals!$H$2:$H$6000,Actuals!$C$2:$C$6000,B93,Actuals!$E$2:$E$6000,D93)</f>
        <v>415.9</v>
      </c>
      <c r="S93" s="15" t="n">
        <f aca="false">IF(M93=0,0,R93/M93)</f>
        <v>0.645807453416149</v>
      </c>
    </row>
    <row r="94" customFormat="false" ht="15" hidden="false" customHeight="false" outlineLevel="0" collapsed="false">
      <c r="A94" s="18" t="s">
        <v>607</v>
      </c>
      <c r="B94" s="18" t="s">
        <v>272</v>
      </c>
      <c r="C94" s="21" t="str">
        <f aca="false">IFERROR(INDEX(Projects!$B$2:$B$500,MATCH(B94,Projects!$A$2:$A$500,0)),"")</f>
        <v>Warehouse Robotics Integration</v>
      </c>
      <c r="D94" s="18" t="s">
        <v>395</v>
      </c>
      <c r="E94" s="21" t="str">
        <f aca="false">IFERROR(INDEX(Resources!$B$2:$B$500,MATCH(D94,Resources!$A$2:$A$500,0)),"")</f>
        <v>Kwame Malik</v>
      </c>
      <c r="F94" s="18" t="s">
        <v>516</v>
      </c>
      <c r="G94" s="18" t="s">
        <v>513</v>
      </c>
      <c r="H94" s="19" t="n">
        <v>46125</v>
      </c>
      <c r="I94" s="19" t="n">
        <v>46349</v>
      </c>
      <c r="J94" s="24" t="n">
        <v>0.5</v>
      </c>
      <c r="K94" s="12" t="str">
        <f aca="false">IF(AND(AsOfDate&gt;=H94,AsOfDate&lt;=I94),"Yes","No")</f>
        <v>Yes</v>
      </c>
      <c r="L94" s="13" t="n">
        <f aca="false">NETWORKDAYS(H94,I94)</f>
        <v>161</v>
      </c>
      <c r="M94" s="16" t="n">
        <f aca="false">ROUND(L94*INDEX(Resources!$J$2:$J$500,MATCH(D94,Resources!$A$2:$A$500,0))/5*J94,1)</f>
        <v>644</v>
      </c>
      <c r="N94" s="29" t="n">
        <f aca="false">INDEX(Resources!$H$2:$H$500,MATCH(D94,Resources!$A$2:$A$500,0))</f>
        <v>106.95</v>
      </c>
      <c r="O94" s="29" t="n">
        <f aca="false">INDEX(Resources!$I$2:$I$500,MATCH(D94,Resources!$A$2:$A$500,0))</f>
        <v>170</v>
      </c>
      <c r="P94" s="14" t="n">
        <f aca="false">M94*N94</f>
        <v>68875.8</v>
      </c>
      <c r="Q94" s="14" t="n">
        <f aca="false">IF(G94="Yes",M94*O94,0)</f>
        <v>109480</v>
      </c>
      <c r="R94" s="16" t="n">
        <f aca="false">SUMIFS(Actuals!$H$2:$H$6000,Actuals!$C$2:$C$6000,B94,Actuals!$E$2:$E$6000,D94)</f>
        <v>400.3</v>
      </c>
      <c r="S94" s="15" t="n">
        <f aca="false">IF(M94=0,0,R94/M94)</f>
        <v>0.621583850931677</v>
      </c>
    </row>
    <row r="95" customFormat="false" ht="15" hidden="false" customHeight="false" outlineLevel="0" collapsed="false">
      <c r="A95" s="18" t="s">
        <v>608</v>
      </c>
      <c r="B95" s="18" t="s">
        <v>272</v>
      </c>
      <c r="C95" s="21" t="str">
        <f aca="false">IFERROR(INDEX(Projects!$B$2:$B$500,MATCH(B95,Projects!$A$2:$A$500,0)),"")</f>
        <v>Warehouse Robotics Integration</v>
      </c>
      <c r="D95" s="18" t="s">
        <v>426</v>
      </c>
      <c r="E95" s="21" t="str">
        <f aca="false">IFERROR(INDEX(Resources!$B$2:$B$500,MATCH(D95,Resources!$A$2:$A$500,0)),"")</f>
        <v>Clara Boateng</v>
      </c>
      <c r="F95" s="18" t="s">
        <v>411</v>
      </c>
      <c r="G95" s="18" t="s">
        <v>513</v>
      </c>
      <c r="H95" s="19" t="n">
        <v>46125</v>
      </c>
      <c r="I95" s="19" t="n">
        <v>46349</v>
      </c>
      <c r="J95" s="24" t="n">
        <v>0.5</v>
      </c>
      <c r="K95" s="12" t="str">
        <f aca="false">IF(AND(AsOfDate&gt;=H95,AsOfDate&lt;=I95),"Yes","No")</f>
        <v>Yes</v>
      </c>
      <c r="L95" s="13" t="n">
        <f aca="false">NETWORKDAYS(H95,I95)</f>
        <v>161</v>
      </c>
      <c r="M95" s="16" t="n">
        <f aca="false">ROUND(L95*INDEX(Resources!$J$2:$J$500,MATCH(D95,Resources!$A$2:$A$500,0))/5*J95,1)</f>
        <v>644</v>
      </c>
      <c r="N95" s="29" t="n">
        <f aca="false">INDEX(Resources!$H$2:$H$500,MATCH(D95,Resources!$A$2:$A$500,0))</f>
        <v>74.24</v>
      </c>
      <c r="O95" s="29" t="n">
        <f aca="false">INDEX(Resources!$I$2:$I$500,MATCH(D95,Resources!$A$2:$A$500,0))</f>
        <v>150</v>
      </c>
      <c r="P95" s="14" t="n">
        <f aca="false">M95*N95</f>
        <v>47810.56</v>
      </c>
      <c r="Q95" s="14" t="n">
        <f aca="false">IF(G95="Yes",M95*O95,0)</f>
        <v>96600</v>
      </c>
      <c r="R95" s="16" t="n">
        <f aca="false">SUMIFS(Actuals!$H$2:$H$6000,Actuals!$C$2:$C$6000,B95,Actuals!$E$2:$E$6000,D95)</f>
        <v>408.7</v>
      </c>
      <c r="S95" s="15" t="n">
        <f aca="false">IF(M95=0,0,R95/M95)</f>
        <v>0.634627329192547</v>
      </c>
    </row>
    <row r="96" customFormat="false" ht="15" hidden="false" customHeight="false" outlineLevel="0" collapsed="false">
      <c r="A96" s="18" t="s">
        <v>609</v>
      </c>
      <c r="B96" s="18" t="s">
        <v>272</v>
      </c>
      <c r="C96" s="21" t="str">
        <f aca="false">IFERROR(INDEX(Projects!$B$2:$B$500,MATCH(B96,Projects!$A$2:$A$500,0)),"")</f>
        <v>Warehouse Robotics Integration</v>
      </c>
      <c r="D96" s="18" t="s">
        <v>439</v>
      </c>
      <c r="E96" s="21" t="str">
        <f aca="false">IFERROR(INDEX(Resources!$B$2:$B$500,MATCH(D96,Resources!$A$2:$A$500,0)),"")</f>
        <v>Victor Chen</v>
      </c>
      <c r="F96" s="18" t="s">
        <v>436</v>
      </c>
      <c r="G96" s="18" t="s">
        <v>513</v>
      </c>
      <c r="H96" s="19" t="n">
        <v>46224</v>
      </c>
      <c r="I96" s="19" t="n">
        <v>46349</v>
      </c>
      <c r="J96" s="24" t="n">
        <v>0.25</v>
      </c>
      <c r="K96" s="12" t="str">
        <f aca="false">IF(AND(AsOfDate&gt;=H96,AsOfDate&lt;=I96),"Yes","No")</f>
        <v>Yes</v>
      </c>
      <c r="L96" s="13" t="n">
        <f aca="false">NETWORKDAYS(H96,I96)</f>
        <v>90</v>
      </c>
      <c r="M96" s="16" t="n">
        <f aca="false">ROUND(L96*INDEX(Resources!$J$2:$J$500,MATCH(D96,Resources!$A$2:$A$500,0))/5*J96,1)</f>
        <v>180</v>
      </c>
      <c r="N96" s="29" t="n">
        <f aca="false">INDEX(Resources!$H$2:$H$500,MATCH(D96,Resources!$A$2:$A$500,0))</f>
        <v>81.2</v>
      </c>
      <c r="O96" s="29" t="n">
        <f aca="false">INDEX(Resources!$I$2:$I$500,MATCH(D96,Resources!$A$2:$A$500,0))</f>
        <v>135</v>
      </c>
      <c r="P96" s="14" t="n">
        <f aca="false">M96*N96</f>
        <v>14616</v>
      </c>
      <c r="Q96" s="14" t="n">
        <f aca="false">IF(G96="Yes",M96*O96,0)</f>
        <v>24300</v>
      </c>
      <c r="R96" s="16" t="n">
        <f aca="false">SUMIFS(Actuals!$H$2:$H$6000,Actuals!$C$2:$C$6000,B96,Actuals!$E$2:$E$6000,D96)</f>
        <v>63.7</v>
      </c>
      <c r="S96" s="15" t="n">
        <f aca="false">IF(M96=0,0,R96/M96)</f>
        <v>0.353888888888889</v>
      </c>
    </row>
    <row r="97" customFormat="false" ht="15" hidden="false" customHeight="false" outlineLevel="0" collapsed="false">
      <c r="A97" s="18" t="s">
        <v>610</v>
      </c>
      <c r="B97" s="18" t="s">
        <v>272</v>
      </c>
      <c r="C97" s="21" t="str">
        <f aca="false">IFERROR(INDEX(Projects!$B$2:$B$500,MATCH(B97,Projects!$A$2:$A$500,0)),"")</f>
        <v>Warehouse Robotics Integration</v>
      </c>
      <c r="D97" s="18" t="s">
        <v>492</v>
      </c>
      <c r="E97" s="21" t="str">
        <f aca="false">IFERROR(INDEX(Resources!$B$2:$B$500,MATCH(D97,Resources!$A$2:$A$500,0)),"")</f>
        <v>Mariam Brooks</v>
      </c>
      <c r="F97" s="18" t="s">
        <v>494</v>
      </c>
      <c r="G97" s="18" t="s">
        <v>513</v>
      </c>
      <c r="H97" s="19" t="n">
        <v>46224</v>
      </c>
      <c r="I97" s="19" t="n">
        <v>46349</v>
      </c>
      <c r="J97" s="24" t="n">
        <v>0.25</v>
      </c>
      <c r="K97" s="12" t="str">
        <f aca="false">IF(AND(AsOfDate&gt;=H97,AsOfDate&lt;=I97),"Yes","No")</f>
        <v>Yes</v>
      </c>
      <c r="L97" s="13" t="n">
        <f aca="false">NETWORKDAYS(H97,I97)</f>
        <v>90</v>
      </c>
      <c r="M97" s="16" t="n">
        <f aca="false">ROUND(L97*INDEX(Resources!$J$2:$J$500,MATCH(D97,Resources!$A$2:$A$500,0))/5*J97,1)</f>
        <v>180</v>
      </c>
      <c r="N97" s="29" t="n">
        <f aca="false">INDEX(Resources!$H$2:$H$500,MATCH(D97,Resources!$A$2:$A$500,0))</f>
        <v>83.52</v>
      </c>
      <c r="O97" s="29" t="n">
        <f aca="false">INDEX(Resources!$I$2:$I$500,MATCH(D97,Resources!$A$2:$A$500,0))</f>
        <v>175</v>
      </c>
      <c r="P97" s="14" t="n">
        <f aca="false">M97*N97</f>
        <v>15033.6</v>
      </c>
      <c r="Q97" s="14" t="n">
        <f aca="false">IF(G97="Yes",M97*O97,0)</f>
        <v>31500</v>
      </c>
      <c r="R97" s="16" t="n">
        <f aca="false">SUMIFS(Actuals!$H$2:$H$6000,Actuals!$C$2:$C$6000,B97,Actuals!$E$2:$E$6000,D97)</f>
        <v>60.8</v>
      </c>
      <c r="S97" s="15" t="n">
        <f aca="false">IF(M97=0,0,R97/M97)</f>
        <v>0.337777777777778</v>
      </c>
    </row>
    <row r="98" customFormat="false" ht="15" hidden="false" customHeight="false" outlineLevel="0" collapsed="false">
      <c r="A98" s="18" t="s">
        <v>611</v>
      </c>
      <c r="B98" s="18" t="s">
        <v>275</v>
      </c>
      <c r="C98" s="21" t="str">
        <f aca="false">IFERROR(INDEX(Projects!$B$2:$B$500,MATCH(B98,Projects!$A$2:$A$500,0)),"")</f>
        <v>Loyalty Program Relaunch</v>
      </c>
      <c r="D98" s="18" t="s">
        <v>218</v>
      </c>
      <c r="E98" s="21" t="str">
        <f aca="false">IFERROR(INDEX(Resources!$B$2:$B$500,MATCH(D98,Resources!$A$2:$A$500,0)),"")</f>
        <v>Mei Fraser</v>
      </c>
      <c r="F98" s="18" t="s">
        <v>512</v>
      </c>
      <c r="G98" s="18" t="s">
        <v>513</v>
      </c>
      <c r="H98" s="19" t="n">
        <v>46041</v>
      </c>
      <c r="I98" s="19" t="n">
        <v>46350</v>
      </c>
      <c r="J98" s="24" t="n">
        <v>0.5</v>
      </c>
      <c r="K98" s="12" t="str">
        <f aca="false">IF(AND(AsOfDate&gt;=H98,AsOfDate&lt;=I98),"Yes","No")</f>
        <v>Yes</v>
      </c>
      <c r="L98" s="13" t="n">
        <f aca="false">NETWORKDAYS(H98,I98)</f>
        <v>222</v>
      </c>
      <c r="M98" s="16" t="n">
        <f aca="false">ROUND(L98*INDEX(Resources!$J$2:$J$500,MATCH(D98,Resources!$A$2:$A$500,0))/5*J98,1)</f>
        <v>888</v>
      </c>
      <c r="N98" s="29" t="n">
        <f aca="false">INDEX(Resources!$H$2:$H$500,MATCH(D98,Resources!$A$2:$A$500,0))</f>
        <v>74.8</v>
      </c>
      <c r="O98" s="29" t="n">
        <f aca="false">INDEX(Resources!$I$2:$I$500,MATCH(D98,Resources!$A$2:$A$500,0))</f>
        <v>150</v>
      </c>
      <c r="P98" s="14" t="n">
        <f aca="false">M98*N98</f>
        <v>66422.4</v>
      </c>
      <c r="Q98" s="14" t="n">
        <f aca="false">IF(G98="Yes",M98*O98,0)</f>
        <v>133200</v>
      </c>
      <c r="R98" s="16" t="n">
        <f aca="false">SUMIFS(Actuals!$H$2:$H$6000,Actuals!$C$2:$C$6000,B98,Actuals!$E$2:$E$6000,D98)</f>
        <v>904.9</v>
      </c>
      <c r="S98" s="15" t="n">
        <f aca="false">IF(M98=0,0,R98/M98)</f>
        <v>1.01903153153153</v>
      </c>
    </row>
    <row r="99" customFormat="false" ht="15" hidden="false" customHeight="false" outlineLevel="0" collapsed="false">
      <c r="A99" s="18" t="s">
        <v>612</v>
      </c>
      <c r="B99" s="18" t="s">
        <v>275</v>
      </c>
      <c r="C99" s="21" t="str">
        <f aca="false">IFERROR(INDEX(Projects!$B$2:$B$500,MATCH(B99,Projects!$A$2:$A$500,0)),"")</f>
        <v>Loyalty Program Relaunch</v>
      </c>
      <c r="D99" s="18" t="s">
        <v>387</v>
      </c>
      <c r="E99" s="21" t="str">
        <f aca="false">IFERROR(INDEX(Resources!$B$2:$B$500,MATCH(D99,Resources!$A$2:$A$500,0)),"")</f>
        <v>Samuel Mehta</v>
      </c>
      <c r="F99" s="18" t="s">
        <v>381</v>
      </c>
      <c r="G99" s="18" t="s">
        <v>513</v>
      </c>
      <c r="H99" s="19" t="n">
        <v>46041</v>
      </c>
      <c r="I99" s="19" t="n">
        <v>46180</v>
      </c>
      <c r="J99" s="24" t="n">
        <v>0.5</v>
      </c>
      <c r="K99" s="12" t="str">
        <f aca="false">IF(AND(AsOfDate&gt;=H99,AsOfDate&lt;=I99),"Yes","No")</f>
        <v>No</v>
      </c>
      <c r="L99" s="13" t="n">
        <f aca="false">NETWORKDAYS(H99,I99)</f>
        <v>100</v>
      </c>
      <c r="M99" s="16" t="n">
        <f aca="false">ROUND(L99*INDEX(Resources!$J$2:$J$500,MATCH(D99,Resources!$A$2:$A$500,0))/5*J99,1)</f>
        <v>400</v>
      </c>
      <c r="N99" s="29" t="n">
        <f aca="false">INDEX(Resources!$H$2:$H$500,MATCH(D99,Resources!$A$2:$A$500,0))</f>
        <v>62.9</v>
      </c>
      <c r="O99" s="29" t="n">
        <f aca="false">INDEX(Resources!$I$2:$I$500,MATCH(D99,Resources!$A$2:$A$500,0))</f>
        <v>130</v>
      </c>
      <c r="P99" s="14" t="n">
        <f aca="false">M99*N99</f>
        <v>25160</v>
      </c>
      <c r="Q99" s="14" t="n">
        <f aca="false">IF(G99="Yes",M99*O99,0)</f>
        <v>52000</v>
      </c>
      <c r="R99" s="16" t="n">
        <f aca="false">SUMIFS(Actuals!$H$2:$H$6000,Actuals!$C$2:$C$6000,B99,Actuals!$E$2:$E$6000,D99)</f>
        <v>583.3</v>
      </c>
      <c r="S99" s="15" t="n">
        <f aca="false">IF(M99=0,0,R99/M99)</f>
        <v>1.45825</v>
      </c>
    </row>
    <row r="100" customFormat="false" ht="15" hidden="false" customHeight="false" outlineLevel="0" collapsed="false">
      <c r="A100" s="18" t="s">
        <v>613</v>
      </c>
      <c r="B100" s="18" t="s">
        <v>275</v>
      </c>
      <c r="C100" s="21" t="str">
        <f aca="false">IFERROR(INDEX(Projects!$B$2:$B$500,MATCH(B100,Projects!$A$2:$A$500,0)),"")</f>
        <v>Loyalty Program Relaunch</v>
      </c>
      <c r="D100" s="18" t="s">
        <v>400</v>
      </c>
      <c r="E100" s="21" t="str">
        <f aca="false">IFERROR(INDEX(Resources!$B$2:$B$500,MATCH(D100,Resources!$A$2:$A$500,0)),"")</f>
        <v>Omar Bose</v>
      </c>
      <c r="F100" s="18" t="s">
        <v>516</v>
      </c>
      <c r="G100" s="18" t="s">
        <v>513</v>
      </c>
      <c r="H100" s="19" t="n">
        <v>46041</v>
      </c>
      <c r="I100" s="19" t="n">
        <v>46350</v>
      </c>
      <c r="J100" s="24" t="n">
        <v>0.5</v>
      </c>
      <c r="K100" s="12" t="str">
        <f aca="false">IF(AND(AsOfDate&gt;=H100,AsOfDate&lt;=I100),"Yes","No")</f>
        <v>Yes</v>
      </c>
      <c r="L100" s="13" t="n">
        <f aca="false">NETWORKDAYS(H100,I100)</f>
        <v>222</v>
      </c>
      <c r="M100" s="16" t="n">
        <f aca="false">ROUND(L100*INDEX(Resources!$J$2:$J$500,MATCH(D100,Resources!$A$2:$A$500,0))/5*J100,1)</f>
        <v>888</v>
      </c>
      <c r="N100" s="29" t="n">
        <f aca="false">INDEX(Resources!$H$2:$H$500,MATCH(D100,Resources!$A$2:$A$500,0))</f>
        <v>99.36</v>
      </c>
      <c r="O100" s="29" t="n">
        <f aca="false">INDEX(Resources!$I$2:$I$500,MATCH(D100,Resources!$A$2:$A$500,0))</f>
        <v>200</v>
      </c>
      <c r="P100" s="14" t="n">
        <f aca="false">M100*N100</f>
        <v>88231.68</v>
      </c>
      <c r="Q100" s="14" t="n">
        <f aca="false">IF(G100="Yes",M100*O100,0)</f>
        <v>177600</v>
      </c>
      <c r="R100" s="16" t="n">
        <f aca="false">SUMIFS(Actuals!$H$2:$H$6000,Actuals!$C$2:$C$6000,B100,Actuals!$E$2:$E$6000,D100)</f>
        <v>917.5</v>
      </c>
      <c r="S100" s="15" t="n">
        <f aca="false">IF(M100=0,0,R100/M100)</f>
        <v>1.03322072072072</v>
      </c>
    </row>
    <row r="101" customFormat="false" ht="15" hidden="false" customHeight="false" outlineLevel="0" collapsed="false">
      <c r="A101" s="18" t="s">
        <v>614</v>
      </c>
      <c r="B101" s="18" t="s">
        <v>275</v>
      </c>
      <c r="C101" s="21" t="str">
        <f aca="false">IFERROR(INDEX(Projects!$B$2:$B$500,MATCH(B101,Projects!$A$2:$A$500,0)),"")</f>
        <v>Loyalty Program Relaunch</v>
      </c>
      <c r="D101" s="18" t="s">
        <v>422</v>
      </c>
      <c r="E101" s="21" t="str">
        <f aca="false">IFERROR(INDEX(Resources!$B$2:$B$500,MATCH(D101,Resources!$A$2:$A$500,0)),"")</f>
        <v>Rosa Qureshi</v>
      </c>
      <c r="F101" s="18" t="s">
        <v>411</v>
      </c>
      <c r="G101" s="18" t="s">
        <v>513</v>
      </c>
      <c r="H101" s="19" t="n">
        <v>46041</v>
      </c>
      <c r="I101" s="19" t="n">
        <v>46350</v>
      </c>
      <c r="J101" s="24" t="n">
        <v>0.5</v>
      </c>
      <c r="K101" s="12" t="str">
        <f aca="false">IF(AND(AsOfDate&gt;=H101,AsOfDate&lt;=I101),"Yes","No")</f>
        <v>Yes</v>
      </c>
      <c r="L101" s="13" t="n">
        <f aca="false">NETWORKDAYS(H101,I101)</f>
        <v>222</v>
      </c>
      <c r="M101" s="16" t="n">
        <f aca="false">ROUND(L101*INDEX(Resources!$J$2:$J$500,MATCH(D101,Resources!$A$2:$A$500,0))/5*J101,1)</f>
        <v>888</v>
      </c>
      <c r="N101" s="29" t="n">
        <f aca="false">INDEX(Resources!$H$2:$H$500,MATCH(D101,Resources!$A$2:$A$500,0))</f>
        <v>59.52</v>
      </c>
      <c r="O101" s="29" t="n">
        <f aca="false">INDEX(Resources!$I$2:$I$500,MATCH(D101,Resources!$A$2:$A$500,0))</f>
        <v>120</v>
      </c>
      <c r="P101" s="14" t="n">
        <f aca="false">M101*N101</f>
        <v>52853.76</v>
      </c>
      <c r="Q101" s="14" t="n">
        <f aca="false">IF(G101="Yes",M101*O101,0)</f>
        <v>106560</v>
      </c>
      <c r="R101" s="16" t="n">
        <f aca="false">SUMIFS(Actuals!$H$2:$H$6000,Actuals!$C$2:$C$6000,B101,Actuals!$E$2:$E$6000,D101)</f>
        <v>905</v>
      </c>
      <c r="S101" s="15" t="n">
        <f aca="false">IF(M101=0,0,R101/M101)</f>
        <v>1.01914414414414</v>
      </c>
    </row>
    <row r="102" customFormat="false" ht="15" hidden="false" customHeight="false" outlineLevel="0" collapsed="false">
      <c r="A102" s="18" t="s">
        <v>615</v>
      </c>
      <c r="B102" s="18" t="s">
        <v>275</v>
      </c>
      <c r="C102" s="21" t="str">
        <f aca="false">IFERROR(INDEX(Projects!$B$2:$B$500,MATCH(B102,Projects!$A$2:$A$500,0)),"")</f>
        <v>Loyalty Program Relaunch</v>
      </c>
      <c r="D102" s="18" t="s">
        <v>439</v>
      </c>
      <c r="E102" s="21" t="str">
        <f aca="false">IFERROR(INDEX(Resources!$B$2:$B$500,MATCH(D102,Resources!$A$2:$A$500,0)),"")</f>
        <v>Victor Chen</v>
      </c>
      <c r="F102" s="18" t="s">
        <v>436</v>
      </c>
      <c r="G102" s="18" t="s">
        <v>513</v>
      </c>
      <c r="H102" s="19" t="n">
        <v>46155</v>
      </c>
      <c r="I102" s="19" t="n">
        <v>46350</v>
      </c>
      <c r="J102" s="24" t="n">
        <v>0.5</v>
      </c>
      <c r="K102" s="12" t="str">
        <f aca="false">IF(AND(AsOfDate&gt;=H102,AsOfDate&lt;=I102),"Yes","No")</f>
        <v>Yes</v>
      </c>
      <c r="L102" s="13" t="n">
        <f aca="false">NETWORKDAYS(H102,I102)</f>
        <v>140</v>
      </c>
      <c r="M102" s="16" t="n">
        <f aca="false">ROUND(L102*INDEX(Resources!$J$2:$J$500,MATCH(D102,Resources!$A$2:$A$500,0))/5*J102,1)</f>
        <v>560</v>
      </c>
      <c r="N102" s="29" t="n">
        <f aca="false">INDEX(Resources!$H$2:$H$500,MATCH(D102,Resources!$A$2:$A$500,0))</f>
        <v>81.2</v>
      </c>
      <c r="O102" s="29" t="n">
        <f aca="false">INDEX(Resources!$I$2:$I$500,MATCH(D102,Resources!$A$2:$A$500,0))</f>
        <v>135</v>
      </c>
      <c r="P102" s="14" t="n">
        <f aca="false">M102*N102</f>
        <v>45472</v>
      </c>
      <c r="Q102" s="14" t="n">
        <f aca="false">IF(G102="Yes",M102*O102,0)</f>
        <v>75600</v>
      </c>
      <c r="R102" s="16" t="n">
        <f aca="false">SUMIFS(Actuals!$H$2:$H$6000,Actuals!$C$2:$C$6000,B102,Actuals!$E$2:$E$6000,D102)</f>
        <v>467.4</v>
      </c>
      <c r="S102" s="15" t="n">
        <f aca="false">IF(M102=0,0,R102/M102)</f>
        <v>0.834642857142857</v>
      </c>
    </row>
    <row r="103" customFormat="false" ht="15" hidden="false" customHeight="false" outlineLevel="0" collapsed="false">
      <c r="A103" s="18" t="s">
        <v>616</v>
      </c>
      <c r="B103" s="18" t="s">
        <v>275</v>
      </c>
      <c r="C103" s="21" t="str">
        <f aca="false">IFERROR(INDEX(Projects!$B$2:$B$500,MATCH(B103,Projects!$A$2:$A$500,0)),"")</f>
        <v>Loyalty Program Relaunch</v>
      </c>
      <c r="D103" s="18" t="s">
        <v>371</v>
      </c>
      <c r="E103" s="21" t="str">
        <f aca="false">IFERROR(INDEX(Resources!$B$2:$B$500,MATCH(D103,Resources!$A$2:$A$500,0)),"")</f>
        <v>Amara Martin</v>
      </c>
      <c r="F103" s="18" t="s">
        <v>365</v>
      </c>
      <c r="G103" s="18" t="s">
        <v>513</v>
      </c>
      <c r="H103" s="19" t="n">
        <v>46041</v>
      </c>
      <c r="I103" s="19" t="n">
        <v>46180</v>
      </c>
      <c r="J103" s="24" t="n">
        <v>0.5</v>
      </c>
      <c r="K103" s="12" t="str">
        <f aca="false">IF(AND(AsOfDate&gt;=H103,AsOfDate&lt;=I103),"Yes","No")</f>
        <v>No</v>
      </c>
      <c r="L103" s="13" t="n">
        <f aca="false">NETWORKDAYS(H103,I103)</f>
        <v>100</v>
      </c>
      <c r="M103" s="16" t="n">
        <f aca="false">ROUND(L103*INDEX(Resources!$J$2:$J$500,MATCH(D103,Resources!$A$2:$A$500,0))/5*J103,1)</f>
        <v>400</v>
      </c>
      <c r="N103" s="29" t="n">
        <f aca="false">INDEX(Resources!$H$2:$H$500,MATCH(D103,Resources!$A$2:$A$500,0))</f>
        <v>63.24</v>
      </c>
      <c r="O103" s="29" t="n">
        <f aca="false">INDEX(Resources!$I$2:$I$500,MATCH(D103,Resources!$A$2:$A$500,0))</f>
        <v>130</v>
      </c>
      <c r="P103" s="14" t="n">
        <f aca="false">M103*N103</f>
        <v>25296</v>
      </c>
      <c r="Q103" s="14" t="n">
        <f aca="false">IF(G103="Yes",M103*O103,0)</f>
        <v>52000</v>
      </c>
      <c r="R103" s="16" t="n">
        <f aca="false">SUMIFS(Actuals!$H$2:$H$6000,Actuals!$C$2:$C$6000,B103,Actuals!$E$2:$E$6000,D103)</f>
        <v>573.7</v>
      </c>
      <c r="S103" s="15" t="n">
        <f aca="false">IF(M103=0,0,R103/M103)</f>
        <v>1.43425</v>
      </c>
    </row>
    <row r="104" customFormat="false" ht="15" hidden="false" customHeight="false" outlineLevel="0" collapsed="false">
      <c r="A104" s="18" t="s">
        <v>617</v>
      </c>
      <c r="B104" s="18" t="s">
        <v>277</v>
      </c>
      <c r="C104" s="21" t="str">
        <f aca="false">IFERROR(INDEX(Projects!$B$2:$B$500,MATCH(B104,Projects!$A$2:$A$500,0)),"")</f>
        <v>Cybersecurity Posture Assessment</v>
      </c>
      <c r="D104" s="18" t="s">
        <v>226</v>
      </c>
      <c r="E104" s="21" t="str">
        <f aca="false">IFERROR(INDEX(Resources!$B$2:$B$500,MATCH(D104,Resources!$A$2:$A$500,0)),"")</f>
        <v>Noah Rahimi</v>
      </c>
      <c r="F104" s="18" t="s">
        <v>512</v>
      </c>
      <c r="G104" s="18" t="s">
        <v>513</v>
      </c>
      <c r="H104" s="19" t="n">
        <v>45810</v>
      </c>
      <c r="I104" s="19" t="n">
        <v>46010</v>
      </c>
      <c r="J104" s="24" t="n">
        <v>0.5</v>
      </c>
      <c r="K104" s="12" t="str">
        <f aca="false">IF(AND(AsOfDate&gt;=H104,AsOfDate&lt;=I104),"Yes","No")</f>
        <v>No</v>
      </c>
      <c r="L104" s="13" t="n">
        <f aca="false">NETWORKDAYS(H104,I104)</f>
        <v>145</v>
      </c>
      <c r="M104" s="16" t="n">
        <f aca="false">ROUND(L104*INDEX(Resources!$J$2:$J$500,MATCH(D104,Resources!$A$2:$A$500,0))/5*J104,1)</f>
        <v>580</v>
      </c>
      <c r="N104" s="29" t="n">
        <f aca="false">INDEX(Resources!$H$2:$H$500,MATCH(D104,Resources!$A$2:$A$500,0))</f>
        <v>88</v>
      </c>
      <c r="O104" s="29" t="n">
        <f aca="false">INDEX(Resources!$I$2:$I$500,MATCH(D104,Resources!$A$2:$A$500,0))</f>
        <v>175</v>
      </c>
      <c r="P104" s="14" t="n">
        <f aca="false">M104*N104</f>
        <v>51040</v>
      </c>
      <c r="Q104" s="14" t="n">
        <f aca="false">IF(G104="Yes",M104*O104,0)</f>
        <v>101500</v>
      </c>
      <c r="R104" s="16" t="n">
        <f aca="false">SUMIFS(Actuals!$H$2:$H$6000,Actuals!$C$2:$C$6000,B104,Actuals!$E$2:$E$6000,D104)</f>
        <v>549.4</v>
      </c>
      <c r="S104" s="15" t="n">
        <f aca="false">IF(M104=0,0,R104/M104)</f>
        <v>0.947241379310345</v>
      </c>
    </row>
    <row r="105" customFormat="false" ht="15" hidden="false" customHeight="false" outlineLevel="0" collapsed="false">
      <c r="A105" s="18" t="s">
        <v>618</v>
      </c>
      <c r="B105" s="18" t="s">
        <v>277</v>
      </c>
      <c r="C105" s="21" t="str">
        <f aca="false">IFERROR(INDEX(Projects!$B$2:$B$500,MATCH(B105,Projects!$A$2:$A$500,0)),"")</f>
        <v>Cybersecurity Posture Assessment</v>
      </c>
      <c r="D105" s="18" t="s">
        <v>470</v>
      </c>
      <c r="E105" s="21" t="str">
        <f aca="false">IFERROR(INDEX(Resources!$B$2:$B$500,MATCH(D105,Resources!$A$2:$A$500,0)),"")</f>
        <v>Rohan Keller</v>
      </c>
      <c r="F105" s="18" t="s">
        <v>472</v>
      </c>
      <c r="G105" s="18" t="s">
        <v>513</v>
      </c>
      <c r="H105" s="19" t="n">
        <v>45810</v>
      </c>
      <c r="I105" s="19" t="n">
        <v>46010</v>
      </c>
      <c r="J105" s="24" t="n">
        <v>1</v>
      </c>
      <c r="K105" s="12" t="str">
        <f aca="false">IF(AND(AsOfDate&gt;=H105,AsOfDate&lt;=I105),"Yes","No")</f>
        <v>No</v>
      </c>
      <c r="L105" s="13" t="n">
        <f aca="false">NETWORKDAYS(H105,I105)</f>
        <v>145</v>
      </c>
      <c r="M105" s="16" t="n">
        <f aca="false">ROUND(L105*INDEX(Resources!$J$2:$J$500,MATCH(D105,Resources!$A$2:$A$500,0))/5*J105,1)</f>
        <v>1160</v>
      </c>
      <c r="N105" s="29" t="n">
        <f aca="false">INDEX(Resources!$H$2:$H$500,MATCH(D105,Resources!$A$2:$A$500,0))</f>
        <v>109.04</v>
      </c>
      <c r="O105" s="29" t="n">
        <f aca="false">INDEX(Resources!$I$2:$I$500,MATCH(D105,Resources!$A$2:$A$500,0))</f>
        <v>220</v>
      </c>
      <c r="P105" s="14" t="n">
        <f aca="false">M105*N105</f>
        <v>126486.4</v>
      </c>
      <c r="Q105" s="14" t="n">
        <f aca="false">IF(G105="Yes",M105*O105,0)</f>
        <v>255200</v>
      </c>
      <c r="R105" s="16" t="n">
        <f aca="false">SUMIFS(Actuals!$H$2:$H$6000,Actuals!$C$2:$C$6000,B105,Actuals!$E$2:$E$6000,D105)</f>
        <v>1126.3</v>
      </c>
      <c r="S105" s="15" t="n">
        <f aca="false">IF(M105=0,0,R105/M105)</f>
        <v>0.970948275862069</v>
      </c>
    </row>
    <row r="106" customFormat="false" ht="15" hidden="false" customHeight="false" outlineLevel="0" collapsed="false">
      <c r="A106" s="18" t="s">
        <v>619</v>
      </c>
      <c r="B106" s="18" t="s">
        <v>277</v>
      </c>
      <c r="C106" s="21" t="str">
        <f aca="false">IFERROR(INDEX(Projects!$B$2:$B$500,MATCH(B106,Projects!$A$2:$A$500,0)),"")</f>
        <v>Cybersecurity Posture Assessment</v>
      </c>
      <c r="D106" s="18" t="s">
        <v>489</v>
      </c>
      <c r="E106" s="21" t="str">
        <f aca="false">IFERROR(INDEX(Resources!$B$2:$B$500,MATCH(D106,Resources!$A$2:$A$500,0)),"")</f>
        <v>Jonah Lee</v>
      </c>
      <c r="F106" s="18" t="s">
        <v>485</v>
      </c>
      <c r="G106" s="18" t="s">
        <v>513</v>
      </c>
      <c r="H106" s="19" t="n">
        <v>45810</v>
      </c>
      <c r="I106" s="19" t="n">
        <v>46010</v>
      </c>
      <c r="J106" s="24" t="n">
        <v>0.5</v>
      </c>
      <c r="K106" s="12" t="str">
        <f aca="false">IF(AND(AsOfDate&gt;=H106,AsOfDate&lt;=I106),"Yes","No")</f>
        <v>No</v>
      </c>
      <c r="L106" s="13" t="n">
        <f aca="false">NETWORKDAYS(H106,I106)</f>
        <v>145</v>
      </c>
      <c r="M106" s="16" t="n">
        <f aca="false">ROUND(L106*INDEX(Resources!$J$2:$J$500,MATCH(D106,Resources!$A$2:$A$500,0))/5*J106,1)</f>
        <v>580</v>
      </c>
      <c r="N106" s="29" t="n">
        <f aca="false">INDEX(Resources!$H$2:$H$500,MATCH(D106,Resources!$A$2:$A$500,0))</f>
        <v>86</v>
      </c>
      <c r="O106" s="29" t="n">
        <f aca="false">INDEX(Resources!$I$2:$I$500,MATCH(D106,Resources!$A$2:$A$500,0))</f>
        <v>175</v>
      </c>
      <c r="P106" s="14" t="n">
        <f aca="false">M106*N106</f>
        <v>49880</v>
      </c>
      <c r="Q106" s="14" t="n">
        <f aca="false">IF(G106="Yes",M106*O106,0)</f>
        <v>101500</v>
      </c>
      <c r="R106" s="16" t="n">
        <f aca="false">SUMIFS(Actuals!$H$2:$H$6000,Actuals!$C$2:$C$6000,B106,Actuals!$E$2:$E$6000,D106)</f>
        <v>567.9</v>
      </c>
      <c r="S106" s="15" t="n">
        <f aca="false">IF(M106=0,0,R106/M106)</f>
        <v>0.979137931034483</v>
      </c>
    </row>
    <row r="107" customFormat="false" ht="15" hidden="false" customHeight="false" outlineLevel="0" collapsed="false">
      <c r="A107" s="18" t="s">
        <v>620</v>
      </c>
      <c r="B107" s="18" t="s">
        <v>277</v>
      </c>
      <c r="C107" s="21" t="str">
        <f aca="false">IFERROR(INDEX(Projects!$B$2:$B$500,MATCH(B107,Projects!$A$2:$A$500,0)),"")</f>
        <v>Cybersecurity Posture Assessment</v>
      </c>
      <c r="D107" s="18" t="s">
        <v>354</v>
      </c>
      <c r="E107" s="21" t="str">
        <f aca="false">IFERROR(INDEX(Resources!$B$2:$B$500,MATCH(D107,Resources!$A$2:$A$500,0)),"")</f>
        <v>Mateo Bianchi</v>
      </c>
      <c r="F107" s="18" t="s">
        <v>350</v>
      </c>
      <c r="G107" s="18" t="s">
        <v>513</v>
      </c>
      <c r="H107" s="19" t="n">
        <v>45810</v>
      </c>
      <c r="I107" s="19" t="n">
        <v>45920</v>
      </c>
      <c r="J107" s="24" t="n">
        <v>0.25</v>
      </c>
      <c r="K107" s="12" t="str">
        <f aca="false">IF(AND(AsOfDate&gt;=H107,AsOfDate&lt;=I107),"Yes","No")</f>
        <v>No</v>
      </c>
      <c r="L107" s="13" t="n">
        <f aca="false">NETWORKDAYS(H107,I107)</f>
        <v>80</v>
      </c>
      <c r="M107" s="16" t="n">
        <f aca="false">ROUND(L107*INDEX(Resources!$J$2:$J$500,MATCH(D107,Resources!$A$2:$A$500,0))/5*J107,1)</f>
        <v>160</v>
      </c>
      <c r="N107" s="29" t="n">
        <f aca="false">INDEX(Resources!$H$2:$H$500,MATCH(D107,Resources!$A$2:$A$500,0))</f>
        <v>129.92</v>
      </c>
      <c r="O107" s="29" t="n">
        <f aca="false">INDEX(Resources!$I$2:$I$500,MATCH(D107,Resources!$A$2:$A$500,0))</f>
        <v>260</v>
      </c>
      <c r="P107" s="14" t="n">
        <f aca="false">M107*N107</f>
        <v>20787.2</v>
      </c>
      <c r="Q107" s="14" t="n">
        <f aca="false">IF(G107="Yes",M107*O107,0)</f>
        <v>41600</v>
      </c>
      <c r="R107" s="16" t="n">
        <f aca="false">SUMIFS(Actuals!$H$2:$H$6000,Actuals!$C$2:$C$6000,B107,Actuals!$E$2:$E$6000,D107)</f>
        <v>157.1</v>
      </c>
      <c r="S107" s="15" t="n">
        <f aca="false">IF(M107=0,0,R107/M107)</f>
        <v>0.981875</v>
      </c>
    </row>
    <row r="108" customFormat="false" ht="15" hidden="false" customHeight="false" outlineLevel="0" collapsed="false">
      <c r="A108" s="18" t="s">
        <v>621</v>
      </c>
      <c r="B108" s="18" t="s">
        <v>277</v>
      </c>
      <c r="C108" s="21" t="str">
        <f aca="false">IFERROR(INDEX(Projects!$B$2:$B$500,MATCH(B108,Projects!$A$2:$A$500,0)),"")</f>
        <v>Cybersecurity Posture Assessment</v>
      </c>
      <c r="D108" s="18" t="s">
        <v>400</v>
      </c>
      <c r="E108" s="21" t="str">
        <f aca="false">IFERROR(INDEX(Resources!$B$2:$B$500,MATCH(D108,Resources!$A$2:$A$500,0)),"")</f>
        <v>Omar Bose</v>
      </c>
      <c r="F108" s="18" t="s">
        <v>516</v>
      </c>
      <c r="G108" s="18" t="s">
        <v>513</v>
      </c>
      <c r="H108" s="19" t="n">
        <v>45810</v>
      </c>
      <c r="I108" s="19" t="n">
        <v>46010</v>
      </c>
      <c r="J108" s="24" t="n">
        <v>0.5</v>
      </c>
      <c r="K108" s="12" t="str">
        <f aca="false">IF(AND(AsOfDate&gt;=H108,AsOfDate&lt;=I108),"Yes","No")</f>
        <v>No</v>
      </c>
      <c r="L108" s="13" t="n">
        <f aca="false">NETWORKDAYS(H108,I108)</f>
        <v>145</v>
      </c>
      <c r="M108" s="16" t="n">
        <f aca="false">ROUND(L108*INDEX(Resources!$J$2:$J$500,MATCH(D108,Resources!$A$2:$A$500,0))/5*J108,1)</f>
        <v>580</v>
      </c>
      <c r="N108" s="29" t="n">
        <f aca="false">INDEX(Resources!$H$2:$H$500,MATCH(D108,Resources!$A$2:$A$500,0))</f>
        <v>99.36</v>
      </c>
      <c r="O108" s="29" t="n">
        <f aca="false">INDEX(Resources!$I$2:$I$500,MATCH(D108,Resources!$A$2:$A$500,0))</f>
        <v>200</v>
      </c>
      <c r="P108" s="14" t="n">
        <f aca="false">M108*N108</f>
        <v>57628.8</v>
      </c>
      <c r="Q108" s="14" t="n">
        <f aca="false">IF(G108="Yes",M108*O108,0)</f>
        <v>116000</v>
      </c>
      <c r="R108" s="16" t="n">
        <f aca="false">SUMIFS(Actuals!$H$2:$H$6000,Actuals!$C$2:$C$6000,B108,Actuals!$E$2:$E$6000,D108)</f>
        <v>570.7</v>
      </c>
      <c r="S108" s="15" t="n">
        <f aca="false">IF(M108=0,0,R108/M108)</f>
        <v>0.983965517241379</v>
      </c>
    </row>
    <row r="109" customFormat="false" ht="15" hidden="false" customHeight="false" outlineLevel="0" collapsed="false">
      <c r="A109" s="18" t="s">
        <v>622</v>
      </c>
      <c r="B109" s="18" t="s">
        <v>281</v>
      </c>
      <c r="C109" s="21" t="str">
        <f aca="false">IFERROR(INDEX(Projects!$B$2:$B$500,MATCH(B109,Projects!$A$2:$A$500,0)),"")</f>
        <v>HR Self-Service Portal</v>
      </c>
      <c r="D109" s="18" t="s">
        <v>247</v>
      </c>
      <c r="E109" s="21" t="str">
        <f aca="false">IFERROR(INDEX(Resources!$B$2:$B$500,MATCH(D109,Resources!$A$2:$A$500,0)),"")</f>
        <v>Arjun Baptiste</v>
      </c>
      <c r="F109" s="18" t="s">
        <v>512</v>
      </c>
      <c r="G109" s="18" t="s">
        <v>513</v>
      </c>
      <c r="H109" s="19" t="n">
        <v>45782</v>
      </c>
      <c r="I109" s="19" t="n">
        <v>46122</v>
      </c>
      <c r="J109" s="24" t="n">
        <v>0.5</v>
      </c>
      <c r="K109" s="12" t="str">
        <f aca="false">IF(AND(AsOfDate&gt;=H109,AsOfDate&lt;=I109),"Yes","No")</f>
        <v>No</v>
      </c>
      <c r="L109" s="13" t="n">
        <f aca="false">NETWORKDAYS(H109,I109)</f>
        <v>245</v>
      </c>
      <c r="M109" s="16" t="n">
        <f aca="false">ROUND(L109*INDEX(Resources!$J$2:$J$500,MATCH(D109,Resources!$A$2:$A$500,0))/5*J109,1)</f>
        <v>980</v>
      </c>
      <c r="N109" s="29" t="n">
        <f aca="false">INDEX(Resources!$H$2:$H$500,MATCH(D109,Resources!$A$2:$A$500,0))</f>
        <v>88</v>
      </c>
      <c r="O109" s="29" t="n">
        <f aca="false">INDEX(Resources!$I$2:$I$500,MATCH(D109,Resources!$A$2:$A$500,0))</f>
        <v>175</v>
      </c>
      <c r="P109" s="14" t="n">
        <f aca="false">M109*N109</f>
        <v>86240</v>
      </c>
      <c r="Q109" s="14" t="n">
        <f aca="false">IF(G109="Yes",M109*O109,0)</f>
        <v>171500</v>
      </c>
      <c r="R109" s="16" t="n">
        <f aca="false">SUMIFS(Actuals!$H$2:$H$6000,Actuals!$C$2:$C$6000,B109,Actuals!$E$2:$E$6000,D109)</f>
        <v>1065.4</v>
      </c>
      <c r="S109" s="15" t="n">
        <f aca="false">IF(M109=0,0,R109/M109)</f>
        <v>1.08714285714286</v>
      </c>
    </row>
    <row r="110" customFormat="false" ht="15" hidden="false" customHeight="false" outlineLevel="0" collapsed="false">
      <c r="A110" s="18" t="s">
        <v>623</v>
      </c>
      <c r="B110" s="18" t="s">
        <v>281</v>
      </c>
      <c r="C110" s="21" t="str">
        <f aca="false">IFERROR(INDEX(Projects!$B$2:$B$500,MATCH(B110,Projects!$A$2:$A$500,0)),"")</f>
        <v>HR Self-Service Portal</v>
      </c>
      <c r="D110" s="18" t="s">
        <v>371</v>
      </c>
      <c r="E110" s="21" t="str">
        <f aca="false">IFERROR(INDEX(Resources!$B$2:$B$500,MATCH(D110,Resources!$A$2:$A$500,0)),"")</f>
        <v>Amara Martin</v>
      </c>
      <c r="F110" s="18" t="s">
        <v>365</v>
      </c>
      <c r="G110" s="18" t="s">
        <v>513</v>
      </c>
      <c r="H110" s="19" t="n">
        <v>45782</v>
      </c>
      <c r="I110" s="19" t="n">
        <v>46122</v>
      </c>
      <c r="J110" s="24" t="n">
        <v>0.75</v>
      </c>
      <c r="K110" s="12" t="str">
        <f aca="false">IF(AND(AsOfDate&gt;=H110,AsOfDate&lt;=I110),"Yes","No")</f>
        <v>No</v>
      </c>
      <c r="L110" s="13" t="n">
        <f aca="false">NETWORKDAYS(H110,I110)</f>
        <v>245</v>
      </c>
      <c r="M110" s="16" t="n">
        <f aca="false">ROUND(L110*INDEX(Resources!$J$2:$J$500,MATCH(D110,Resources!$A$2:$A$500,0))/5*J110,1)</f>
        <v>1470</v>
      </c>
      <c r="N110" s="29" t="n">
        <f aca="false">INDEX(Resources!$H$2:$H$500,MATCH(D110,Resources!$A$2:$A$500,0))</f>
        <v>63.24</v>
      </c>
      <c r="O110" s="29" t="n">
        <f aca="false">INDEX(Resources!$I$2:$I$500,MATCH(D110,Resources!$A$2:$A$500,0))</f>
        <v>130</v>
      </c>
      <c r="P110" s="14" t="n">
        <f aca="false">M110*N110</f>
        <v>92962.8</v>
      </c>
      <c r="Q110" s="14" t="n">
        <f aca="false">IF(G110="Yes",M110*O110,0)</f>
        <v>191100</v>
      </c>
      <c r="R110" s="16" t="n">
        <f aca="false">SUMIFS(Actuals!$H$2:$H$6000,Actuals!$C$2:$C$6000,B110,Actuals!$E$2:$E$6000,D110)</f>
        <v>1592.3</v>
      </c>
      <c r="S110" s="15" t="n">
        <f aca="false">IF(M110=0,0,R110/M110)</f>
        <v>1.08319727891156</v>
      </c>
    </row>
    <row r="111" customFormat="false" ht="15" hidden="false" customHeight="false" outlineLevel="0" collapsed="false">
      <c r="A111" s="18" t="s">
        <v>624</v>
      </c>
      <c r="B111" s="18" t="s">
        <v>281</v>
      </c>
      <c r="C111" s="21" t="str">
        <f aca="false">IFERROR(INDEX(Projects!$B$2:$B$500,MATCH(B111,Projects!$A$2:$A$500,0)),"")</f>
        <v>HR Self-Service Portal</v>
      </c>
      <c r="D111" s="18" t="s">
        <v>357</v>
      </c>
      <c r="E111" s="21" t="str">
        <f aca="false">IFERROR(INDEX(Resources!$B$2:$B$500,MATCH(D111,Resources!$A$2:$A$500,0)),"")</f>
        <v>Hana Clarke</v>
      </c>
      <c r="F111" s="18" t="s">
        <v>350</v>
      </c>
      <c r="G111" s="18" t="s">
        <v>513</v>
      </c>
      <c r="H111" s="19" t="n">
        <v>45782</v>
      </c>
      <c r="I111" s="19" t="n">
        <v>45945</v>
      </c>
      <c r="J111" s="24" t="n">
        <v>0.25</v>
      </c>
      <c r="K111" s="12" t="str">
        <f aca="false">IF(AND(AsOfDate&gt;=H111,AsOfDate&lt;=I111),"Yes","No")</f>
        <v>No</v>
      </c>
      <c r="L111" s="13" t="n">
        <f aca="false">NETWORKDAYS(H111,I111)</f>
        <v>118</v>
      </c>
      <c r="M111" s="16" t="n">
        <f aca="false">ROUND(L111*INDEX(Resources!$J$2:$J$500,MATCH(D111,Resources!$A$2:$A$500,0))/5*J111,1)</f>
        <v>236</v>
      </c>
      <c r="N111" s="29" t="n">
        <f aca="false">INDEX(Resources!$H$2:$H$500,MATCH(D111,Resources!$A$2:$A$500,0))</f>
        <v>120.96</v>
      </c>
      <c r="O111" s="29" t="n">
        <f aca="false">INDEX(Resources!$I$2:$I$500,MATCH(D111,Resources!$A$2:$A$500,0))</f>
        <v>245</v>
      </c>
      <c r="P111" s="14" t="n">
        <f aca="false">M111*N111</f>
        <v>28546.56</v>
      </c>
      <c r="Q111" s="14" t="n">
        <f aca="false">IF(G111="Yes",M111*O111,0)</f>
        <v>57820</v>
      </c>
      <c r="R111" s="16" t="n">
        <f aca="false">SUMIFS(Actuals!$H$2:$H$6000,Actuals!$C$2:$C$6000,B111,Actuals!$E$2:$E$6000,D111)</f>
        <v>256.2</v>
      </c>
      <c r="S111" s="15" t="n">
        <f aca="false">IF(M111=0,0,R111/M111)</f>
        <v>1.08559322033898</v>
      </c>
    </row>
    <row r="112" customFormat="false" ht="15" hidden="false" customHeight="false" outlineLevel="0" collapsed="false">
      <c r="A112" s="18" t="s">
        <v>625</v>
      </c>
      <c r="B112" s="18" t="s">
        <v>281</v>
      </c>
      <c r="C112" s="21" t="str">
        <f aca="false">IFERROR(INDEX(Projects!$B$2:$B$500,MATCH(B112,Projects!$A$2:$A$500,0)),"")</f>
        <v>HR Self-Service Portal</v>
      </c>
      <c r="D112" s="18" t="s">
        <v>395</v>
      </c>
      <c r="E112" s="21" t="str">
        <f aca="false">IFERROR(INDEX(Resources!$B$2:$B$500,MATCH(D112,Resources!$A$2:$A$500,0)),"")</f>
        <v>Kwame Malik</v>
      </c>
      <c r="F112" s="18" t="s">
        <v>516</v>
      </c>
      <c r="G112" s="18" t="s">
        <v>513</v>
      </c>
      <c r="H112" s="19" t="n">
        <v>45782</v>
      </c>
      <c r="I112" s="19" t="n">
        <v>46122</v>
      </c>
      <c r="J112" s="24" t="n">
        <v>0.75</v>
      </c>
      <c r="K112" s="12" t="str">
        <f aca="false">IF(AND(AsOfDate&gt;=H112,AsOfDate&lt;=I112),"Yes","No")</f>
        <v>No</v>
      </c>
      <c r="L112" s="13" t="n">
        <f aca="false">NETWORKDAYS(H112,I112)</f>
        <v>245</v>
      </c>
      <c r="M112" s="16" t="n">
        <f aca="false">ROUND(L112*INDEX(Resources!$J$2:$J$500,MATCH(D112,Resources!$A$2:$A$500,0))/5*J112,1)</f>
        <v>1470</v>
      </c>
      <c r="N112" s="29" t="n">
        <f aca="false">INDEX(Resources!$H$2:$H$500,MATCH(D112,Resources!$A$2:$A$500,0))</f>
        <v>106.95</v>
      </c>
      <c r="O112" s="29" t="n">
        <f aca="false">INDEX(Resources!$I$2:$I$500,MATCH(D112,Resources!$A$2:$A$500,0))</f>
        <v>170</v>
      </c>
      <c r="P112" s="14" t="n">
        <f aca="false">M112*N112</f>
        <v>157216.5</v>
      </c>
      <c r="Q112" s="14" t="n">
        <f aca="false">IF(G112="Yes",M112*O112,0)</f>
        <v>249900</v>
      </c>
      <c r="R112" s="16" t="n">
        <f aca="false">SUMIFS(Actuals!$H$2:$H$6000,Actuals!$C$2:$C$6000,B112,Actuals!$E$2:$E$6000,D112)</f>
        <v>1588.2</v>
      </c>
      <c r="S112" s="15" t="n">
        <f aca="false">IF(M112=0,0,R112/M112)</f>
        <v>1.08040816326531</v>
      </c>
    </row>
    <row r="113" customFormat="false" ht="15" hidden="false" customHeight="false" outlineLevel="0" collapsed="false">
      <c r="A113" s="18" t="s">
        <v>626</v>
      </c>
      <c r="B113" s="18" t="s">
        <v>281</v>
      </c>
      <c r="C113" s="21" t="str">
        <f aca="false">IFERROR(INDEX(Projects!$B$2:$B$500,MATCH(B113,Projects!$A$2:$A$500,0)),"")</f>
        <v>HR Self-Service Portal</v>
      </c>
      <c r="D113" s="18" t="s">
        <v>417</v>
      </c>
      <c r="E113" s="21" t="str">
        <f aca="false">IFERROR(INDEX(Resources!$B$2:$B$500,MATCH(D113,Resources!$A$2:$A$500,0)),"")</f>
        <v>Anika Farouk</v>
      </c>
      <c r="F113" s="18" t="s">
        <v>411</v>
      </c>
      <c r="G113" s="18" t="s">
        <v>513</v>
      </c>
      <c r="H113" s="19" t="n">
        <v>45782</v>
      </c>
      <c r="I113" s="19" t="n">
        <v>46122</v>
      </c>
      <c r="J113" s="24" t="n">
        <v>1</v>
      </c>
      <c r="K113" s="12" t="str">
        <f aca="false">IF(AND(AsOfDate&gt;=H113,AsOfDate&lt;=I113),"Yes","No")</f>
        <v>No</v>
      </c>
      <c r="L113" s="13" t="n">
        <f aca="false">NETWORKDAYS(H113,I113)</f>
        <v>245</v>
      </c>
      <c r="M113" s="16" t="n">
        <f aca="false">ROUND(L113*INDEX(Resources!$J$2:$J$500,MATCH(D113,Resources!$A$2:$A$500,0))/5*J113,1)</f>
        <v>1568</v>
      </c>
      <c r="N113" s="29" t="n">
        <f aca="false">INDEX(Resources!$H$2:$H$500,MATCH(D113,Resources!$A$2:$A$500,0))</f>
        <v>54.4</v>
      </c>
      <c r="O113" s="29" t="n">
        <f aca="false">INDEX(Resources!$I$2:$I$500,MATCH(D113,Resources!$A$2:$A$500,0))</f>
        <v>110</v>
      </c>
      <c r="P113" s="14" t="n">
        <f aca="false">M113*N113</f>
        <v>85299.2</v>
      </c>
      <c r="Q113" s="14" t="n">
        <f aca="false">IF(G113="Yes",M113*O113,0)</f>
        <v>172480</v>
      </c>
      <c r="R113" s="16" t="n">
        <f aca="false">SUMIFS(Actuals!$H$2:$H$6000,Actuals!$C$2:$C$6000,B113,Actuals!$E$2:$E$6000,D113)</f>
        <v>1747.6</v>
      </c>
      <c r="S113" s="15" t="n">
        <f aca="false">IF(M113=0,0,R113/M113)</f>
        <v>1.11454081632653</v>
      </c>
    </row>
    <row r="114" customFormat="false" ht="15" hidden="false" customHeight="false" outlineLevel="0" collapsed="false">
      <c r="A114" s="18" t="s">
        <v>627</v>
      </c>
      <c r="B114" s="18" t="s">
        <v>281</v>
      </c>
      <c r="C114" s="21" t="str">
        <f aca="false">IFERROR(INDEX(Projects!$B$2:$B$500,MATCH(B114,Projects!$A$2:$A$500,0)),"")</f>
        <v>HR Self-Service Portal</v>
      </c>
      <c r="D114" s="18" t="s">
        <v>434</v>
      </c>
      <c r="E114" s="21" t="str">
        <f aca="false">IFERROR(INDEX(Resources!$B$2:$B$500,MATCH(D114,Resources!$A$2:$A$500,0)),"")</f>
        <v>Nina Yilmaz</v>
      </c>
      <c r="F114" s="18" t="s">
        <v>436</v>
      </c>
      <c r="G114" s="18" t="s">
        <v>513</v>
      </c>
      <c r="H114" s="19" t="n">
        <v>45916</v>
      </c>
      <c r="I114" s="19" t="n">
        <v>46122</v>
      </c>
      <c r="J114" s="24" t="n">
        <v>0.5</v>
      </c>
      <c r="K114" s="12" t="str">
        <f aca="false">IF(AND(AsOfDate&gt;=H114,AsOfDate&lt;=I114),"Yes","No")</f>
        <v>No</v>
      </c>
      <c r="L114" s="13" t="n">
        <f aca="false">NETWORKDAYS(H114,I114)</f>
        <v>149</v>
      </c>
      <c r="M114" s="16" t="n">
        <f aca="false">ROUND(L114*INDEX(Resources!$J$2:$J$500,MATCH(D114,Resources!$A$2:$A$500,0))/5*J114,1)</f>
        <v>596</v>
      </c>
      <c r="N114" s="29" t="n">
        <f aca="false">INDEX(Resources!$H$2:$H$500,MATCH(D114,Resources!$A$2:$A$500,0))</f>
        <v>64.96</v>
      </c>
      <c r="O114" s="29" t="n">
        <f aca="false">INDEX(Resources!$I$2:$I$500,MATCH(D114,Resources!$A$2:$A$500,0))</f>
        <v>135</v>
      </c>
      <c r="P114" s="14" t="n">
        <f aca="false">M114*N114</f>
        <v>38716.16</v>
      </c>
      <c r="Q114" s="14" t="n">
        <f aca="false">IF(G114="Yes",M114*O114,0)</f>
        <v>80460</v>
      </c>
      <c r="R114" s="16" t="n">
        <f aca="false">SUMIFS(Actuals!$H$2:$H$6000,Actuals!$C$2:$C$6000,B114,Actuals!$E$2:$E$6000,D114)</f>
        <v>644.2</v>
      </c>
      <c r="S114" s="15" t="n">
        <f aca="false">IF(M114=0,0,R114/M114)</f>
        <v>1.08087248322148</v>
      </c>
    </row>
    <row r="115" customFormat="false" ht="15" hidden="false" customHeight="false" outlineLevel="0" collapsed="false">
      <c r="A115" s="18" t="s">
        <v>628</v>
      </c>
      <c r="B115" s="18" t="s">
        <v>281</v>
      </c>
      <c r="C115" s="21" t="str">
        <f aca="false">IFERROR(INDEX(Projects!$B$2:$B$500,MATCH(B115,Projects!$A$2:$A$500,0)),"")</f>
        <v>HR Self-Service Portal</v>
      </c>
      <c r="D115" s="18" t="s">
        <v>492</v>
      </c>
      <c r="E115" s="21" t="str">
        <f aca="false">IFERROR(INDEX(Resources!$B$2:$B$500,MATCH(D115,Resources!$A$2:$A$500,0)),"")</f>
        <v>Mariam Brooks</v>
      </c>
      <c r="F115" s="18" t="s">
        <v>494</v>
      </c>
      <c r="G115" s="18" t="s">
        <v>513</v>
      </c>
      <c r="H115" s="19" t="n">
        <v>45916</v>
      </c>
      <c r="I115" s="19" t="n">
        <v>46122</v>
      </c>
      <c r="J115" s="24" t="n">
        <v>0.25</v>
      </c>
      <c r="K115" s="12" t="str">
        <f aca="false">IF(AND(AsOfDate&gt;=H115,AsOfDate&lt;=I115),"Yes","No")</f>
        <v>No</v>
      </c>
      <c r="L115" s="13" t="n">
        <f aca="false">NETWORKDAYS(H115,I115)</f>
        <v>149</v>
      </c>
      <c r="M115" s="16" t="n">
        <f aca="false">ROUND(L115*INDEX(Resources!$J$2:$J$500,MATCH(D115,Resources!$A$2:$A$500,0))/5*J115,1)</f>
        <v>298</v>
      </c>
      <c r="N115" s="29" t="n">
        <f aca="false">INDEX(Resources!$H$2:$H$500,MATCH(D115,Resources!$A$2:$A$500,0))</f>
        <v>83.52</v>
      </c>
      <c r="O115" s="29" t="n">
        <f aca="false">INDEX(Resources!$I$2:$I$500,MATCH(D115,Resources!$A$2:$A$500,0))</f>
        <v>175</v>
      </c>
      <c r="P115" s="14" t="n">
        <f aca="false">M115*N115</f>
        <v>24888.96</v>
      </c>
      <c r="Q115" s="14" t="n">
        <f aca="false">IF(G115="Yes",M115*O115,0)</f>
        <v>52150</v>
      </c>
      <c r="R115" s="16" t="n">
        <f aca="false">SUMIFS(Actuals!$H$2:$H$6000,Actuals!$C$2:$C$6000,B115,Actuals!$E$2:$E$6000,D115)</f>
        <v>313.4</v>
      </c>
      <c r="S115" s="15" t="n">
        <f aca="false">IF(M115=0,0,R115/M115)</f>
        <v>1.05167785234899</v>
      </c>
    </row>
    <row r="116" customFormat="false" ht="15" hidden="false" customHeight="false" outlineLevel="0" collapsed="false">
      <c r="A116" s="18" t="s">
        <v>629</v>
      </c>
      <c r="B116" s="18" t="s">
        <v>283</v>
      </c>
      <c r="C116" s="21" t="str">
        <f aca="false">IFERROR(INDEX(Projects!$B$2:$B$500,MATCH(B116,Projects!$A$2:$A$500,0)),"")</f>
        <v>Demand Forecasting Model</v>
      </c>
      <c r="D116" s="18" t="s">
        <v>226</v>
      </c>
      <c r="E116" s="21" t="str">
        <f aca="false">IFERROR(INDEX(Resources!$B$2:$B$500,MATCH(D116,Resources!$A$2:$A$500,0)),"")</f>
        <v>Noah Rahimi</v>
      </c>
      <c r="F116" s="18" t="s">
        <v>512</v>
      </c>
      <c r="G116" s="18" t="s">
        <v>527</v>
      </c>
      <c r="H116" s="19" t="n">
        <v>45943</v>
      </c>
      <c r="I116" s="19" t="n">
        <v>46174</v>
      </c>
      <c r="J116" s="24" t="n">
        <v>0.5</v>
      </c>
      <c r="K116" s="12" t="str">
        <f aca="false">IF(AND(AsOfDate&gt;=H116,AsOfDate&lt;=I116),"Yes","No")</f>
        <v>No</v>
      </c>
      <c r="L116" s="13" t="n">
        <f aca="false">NETWORKDAYS(H116,I116)</f>
        <v>166</v>
      </c>
      <c r="M116" s="16" t="n">
        <f aca="false">ROUND(L116*INDEX(Resources!$J$2:$J$500,MATCH(D116,Resources!$A$2:$A$500,0))/5*J116,1)</f>
        <v>664</v>
      </c>
      <c r="N116" s="29" t="n">
        <f aca="false">INDEX(Resources!$H$2:$H$500,MATCH(D116,Resources!$A$2:$A$500,0))</f>
        <v>88</v>
      </c>
      <c r="O116" s="29" t="n">
        <f aca="false">INDEX(Resources!$I$2:$I$500,MATCH(D116,Resources!$A$2:$A$500,0))</f>
        <v>175</v>
      </c>
      <c r="P116" s="14" t="n">
        <f aca="false">M116*N116</f>
        <v>58432</v>
      </c>
      <c r="Q116" s="14" t="n">
        <f aca="false">IF(G116="Yes",M116*O116,0)</f>
        <v>0</v>
      </c>
      <c r="R116" s="16" t="n">
        <f aca="false">SUMIFS(Actuals!$H$2:$H$6000,Actuals!$C$2:$C$6000,B116,Actuals!$E$2:$E$6000,D116)</f>
        <v>625.3</v>
      </c>
      <c r="S116" s="15" t="n">
        <f aca="false">IF(M116=0,0,R116/M116)</f>
        <v>0.94171686746988</v>
      </c>
    </row>
    <row r="117" customFormat="false" ht="15" hidden="false" customHeight="false" outlineLevel="0" collapsed="false">
      <c r="A117" s="18" t="s">
        <v>630</v>
      </c>
      <c r="B117" s="18" t="s">
        <v>283</v>
      </c>
      <c r="C117" s="21" t="str">
        <f aca="false">IFERROR(INDEX(Projects!$B$2:$B$500,MATCH(B117,Projects!$A$2:$A$500,0)),"")</f>
        <v>Demand Forecasting Model</v>
      </c>
      <c r="D117" s="18" t="s">
        <v>459</v>
      </c>
      <c r="E117" s="21" t="str">
        <f aca="false">IFERROR(INDEX(Resources!$B$2:$B$500,MATCH(D117,Resources!$A$2:$A$500,0)),"")</f>
        <v>Marco Laurent</v>
      </c>
      <c r="F117" s="18" t="s">
        <v>452</v>
      </c>
      <c r="G117" s="18" t="s">
        <v>513</v>
      </c>
      <c r="H117" s="19" t="n">
        <v>45943</v>
      </c>
      <c r="I117" s="19" t="n">
        <v>46174</v>
      </c>
      <c r="J117" s="24" t="n">
        <v>1</v>
      </c>
      <c r="K117" s="12" t="str">
        <f aca="false">IF(AND(AsOfDate&gt;=H117,AsOfDate&lt;=I117),"Yes","No")</f>
        <v>No</v>
      </c>
      <c r="L117" s="13" t="n">
        <f aca="false">NETWORKDAYS(H117,I117)</f>
        <v>166</v>
      </c>
      <c r="M117" s="16" t="n">
        <f aca="false">ROUND(L117*INDEX(Resources!$J$2:$J$500,MATCH(D117,Resources!$A$2:$A$500,0))/5*J117,1)</f>
        <v>1328</v>
      </c>
      <c r="N117" s="29" t="n">
        <f aca="false">INDEX(Resources!$H$2:$H$500,MATCH(D117,Resources!$A$2:$A$500,0))</f>
        <v>97.2</v>
      </c>
      <c r="O117" s="29" t="n">
        <f aca="false">INDEX(Resources!$I$2:$I$500,MATCH(D117,Resources!$A$2:$A$500,0))</f>
        <v>195</v>
      </c>
      <c r="P117" s="14" t="n">
        <f aca="false">M117*N117</f>
        <v>129081.6</v>
      </c>
      <c r="Q117" s="14" t="n">
        <f aca="false">IF(G117="Yes",M117*O117,0)</f>
        <v>258960</v>
      </c>
      <c r="R117" s="16" t="n">
        <f aca="false">SUMIFS(Actuals!$H$2:$H$6000,Actuals!$C$2:$C$6000,B117,Actuals!$E$2:$E$6000,D117)</f>
        <v>1282.3</v>
      </c>
      <c r="S117" s="15" t="n">
        <f aca="false">IF(M117=0,0,R117/M117)</f>
        <v>0.96558734939759</v>
      </c>
    </row>
    <row r="118" customFormat="false" ht="15" hidden="false" customHeight="false" outlineLevel="0" collapsed="false">
      <c r="A118" s="18" t="s">
        <v>631</v>
      </c>
      <c r="B118" s="18" t="s">
        <v>283</v>
      </c>
      <c r="C118" s="21" t="str">
        <f aca="false">IFERROR(INDEX(Projects!$B$2:$B$500,MATCH(B118,Projects!$A$2:$A$500,0)),"")</f>
        <v>Demand Forecasting Model</v>
      </c>
      <c r="D118" s="18" t="s">
        <v>466</v>
      </c>
      <c r="E118" s="21" t="str">
        <f aca="false">IFERROR(INDEX(Resources!$B$2:$B$500,MATCH(D118,Resources!$A$2:$A$500,0)),"")</f>
        <v>Declan Iyer</v>
      </c>
      <c r="F118" s="18" t="s">
        <v>464</v>
      </c>
      <c r="G118" s="18" t="s">
        <v>513</v>
      </c>
      <c r="H118" s="19" t="n">
        <v>45988</v>
      </c>
      <c r="I118" s="19" t="n">
        <v>46136</v>
      </c>
      <c r="J118" s="24" t="n">
        <v>0.75</v>
      </c>
      <c r="K118" s="12" t="str">
        <f aca="false">IF(AND(AsOfDate&gt;=H118,AsOfDate&lt;=I118),"Yes","No")</f>
        <v>No</v>
      </c>
      <c r="L118" s="13" t="n">
        <f aca="false">NETWORKDAYS(H118,I118)</f>
        <v>107</v>
      </c>
      <c r="M118" s="16" t="n">
        <f aca="false">ROUND(L118*INDEX(Resources!$J$2:$J$500,MATCH(D118,Resources!$A$2:$A$500,0))/5*J118,1)</f>
        <v>642</v>
      </c>
      <c r="N118" s="29" t="n">
        <f aca="false">INDEX(Resources!$H$2:$H$500,MATCH(D118,Resources!$A$2:$A$500,0))</f>
        <v>98</v>
      </c>
      <c r="O118" s="29" t="n">
        <f aca="false">INDEX(Resources!$I$2:$I$500,MATCH(D118,Resources!$A$2:$A$500,0))</f>
        <v>200</v>
      </c>
      <c r="P118" s="14" t="n">
        <f aca="false">M118*N118</f>
        <v>62916</v>
      </c>
      <c r="Q118" s="14" t="n">
        <f aca="false">IF(G118="Yes",M118*O118,0)</f>
        <v>128400</v>
      </c>
      <c r="R118" s="16" t="n">
        <f aca="false">SUMIFS(Actuals!$H$2:$H$6000,Actuals!$C$2:$C$6000,B118,Actuals!$E$2:$E$6000,D118)</f>
        <v>607.7</v>
      </c>
      <c r="S118" s="15" t="n">
        <f aca="false">IF(M118=0,0,R118/M118)</f>
        <v>0.946573208722742</v>
      </c>
    </row>
    <row r="119" customFormat="false" ht="15" hidden="false" customHeight="false" outlineLevel="0" collapsed="false">
      <c r="A119" s="18" t="s">
        <v>632</v>
      </c>
      <c r="B119" s="18" t="s">
        <v>283</v>
      </c>
      <c r="C119" s="21" t="str">
        <f aca="false">IFERROR(INDEX(Projects!$B$2:$B$500,MATCH(B119,Projects!$A$2:$A$500,0)),"")</f>
        <v>Demand Forecasting Model</v>
      </c>
      <c r="D119" s="18" t="s">
        <v>354</v>
      </c>
      <c r="E119" s="21" t="str">
        <f aca="false">IFERROR(INDEX(Resources!$B$2:$B$500,MATCH(D119,Resources!$A$2:$A$500,0)),"")</f>
        <v>Mateo Bianchi</v>
      </c>
      <c r="F119" s="18" t="s">
        <v>350</v>
      </c>
      <c r="G119" s="18" t="s">
        <v>513</v>
      </c>
      <c r="H119" s="19" t="n">
        <v>45943</v>
      </c>
      <c r="I119" s="19" t="n">
        <v>46068</v>
      </c>
      <c r="J119" s="24" t="n">
        <v>0.25</v>
      </c>
      <c r="K119" s="12" t="str">
        <f aca="false">IF(AND(AsOfDate&gt;=H119,AsOfDate&lt;=I119),"Yes","No")</f>
        <v>No</v>
      </c>
      <c r="L119" s="13" t="n">
        <f aca="false">NETWORKDAYS(H119,I119)</f>
        <v>90</v>
      </c>
      <c r="M119" s="16" t="n">
        <f aca="false">ROUND(L119*INDEX(Resources!$J$2:$J$500,MATCH(D119,Resources!$A$2:$A$500,0))/5*J119,1)</f>
        <v>180</v>
      </c>
      <c r="N119" s="29" t="n">
        <f aca="false">INDEX(Resources!$H$2:$H$500,MATCH(D119,Resources!$A$2:$A$500,0))</f>
        <v>129.92</v>
      </c>
      <c r="O119" s="29" t="n">
        <f aca="false">INDEX(Resources!$I$2:$I$500,MATCH(D119,Resources!$A$2:$A$500,0))</f>
        <v>260</v>
      </c>
      <c r="P119" s="14" t="n">
        <f aca="false">M119*N119</f>
        <v>23385.6</v>
      </c>
      <c r="Q119" s="14" t="n">
        <f aca="false">IF(G119="Yes",M119*O119,0)</f>
        <v>46800</v>
      </c>
      <c r="R119" s="16" t="n">
        <f aca="false">SUMIFS(Actuals!$H$2:$H$6000,Actuals!$C$2:$C$6000,B119,Actuals!$E$2:$E$6000,D119)</f>
        <v>178.6</v>
      </c>
      <c r="S119" s="15" t="n">
        <f aca="false">IF(M119=0,0,R119/M119)</f>
        <v>0.992222222222222</v>
      </c>
    </row>
    <row r="120" customFormat="false" ht="15" hidden="false" customHeight="false" outlineLevel="0" collapsed="false">
      <c r="A120" s="18" t="s">
        <v>633</v>
      </c>
      <c r="B120" s="18" t="s">
        <v>283</v>
      </c>
      <c r="C120" s="21" t="str">
        <f aca="false">IFERROR(INDEX(Projects!$B$2:$B$500,MATCH(B120,Projects!$A$2:$A$500,0)),"")</f>
        <v>Demand Forecasting Model</v>
      </c>
      <c r="D120" s="18" t="s">
        <v>424</v>
      </c>
      <c r="E120" s="21" t="str">
        <f aca="false">IFERROR(INDEX(Resources!$B$2:$B$500,MATCH(D120,Resources!$A$2:$A$500,0)),"")</f>
        <v>Imran Ivanova</v>
      </c>
      <c r="F120" s="18" t="s">
        <v>411</v>
      </c>
      <c r="G120" s="18" t="s">
        <v>513</v>
      </c>
      <c r="H120" s="19" t="n">
        <v>45943</v>
      </c>
      <c r="I120" s="19" t="n">
        <v>46174</v>
      </c>
      <c r="J120" s="24" t="n">
        <v>0.5</v>
      </c>
      <c r="K120" s="12" t="str">
        <f aca="false">IF(AND(AsOfDate&gt;=H120,AsOfDate&lt;=I120),"Yes","No")</f>
        <v>No</v>
      </c>
      <c r="L120" s="13" t="n">
        <f aca="false">NETWORKDAYS(H120,I120)</f>
        <v>166</v>
      </c>
      <c r="M120" s="16" t="n">
        <f aca="false">ROUND(L120*INDEX(Resources!$J$2:$J$500,MATCH(D120,Resources!$A$2:$A$500,0))/5*J120,1)</f>
        <v>664</v>
      </c>
      <c r="N120" s="29" t="n">
        <f aca="false">INDEX(Resources!$H$2:$H$500,MATCH(D120,Resources!$A$2:$A$500,0))</f>
        <v>68</v>
      </c>
      <c r="O120" s="29" t="n">
        <f aca="false">INDEX(Resources!$I$2:$I$500,MATCH(D120,Resources!$A$2:$A$500,0))</f>
        <v>110</v>
      </c>
      <c r="P120" s="14" t="n">
        <f aca="false">M120*N120</f>
        <v>45152</v>
      </c>
      <c r="Q120" s="14" t="n">
        <f aca="false">IF(G120="Yes",M120*O120,0)</f>
        <v>73040</v>
      </c>
      <c r="R120" s="16" t="n">
        <f aca="false">SUMIFS(Actuals!$H$2:$H$6000,Actuals!$C$2:$C$6000,B120,Actuals!$E$2:$E$6000,D120)</f>
        <v>667.2</v>
      </c>
      <c r="S120" s="15" t="n">
        <f aca="false">IF(M120=0,0,R120/M120)</f>
        <v>1.00481927710843</v>
      </c>
    </row>
    <row r="121" customFormat="false" ht="15" hidden="false" customHeight="false" outlineLevel="0" collapsed="false">
      <c r="A121" s="18" t="s">
        <v>634</v>
      </c>
      <c r="B121" s="18" t="s">
        <v>283</v>
      </c>
      <c r="C121" s="21" t="str">
        <f aca="false">IFERROR(INDEX(Projects!$B$2:$B$500,MATCH(B121,Projects!$A$2:$A$500,0)),"")</f>
        <v>Demand Forecasting Model</v>
      </c>
      <c r="D121" s="18" t="s">
        <v>439</v>
      </c>
      <c r="E121" s="21" t="str">
        <f aca="false">IFERROR(INDEX(Resources!$B$2:$B$500,MATCH(D121,Resources!$A$2:$A$500,0)),"")</f>
        <v>Victor Chen</v>
      </c>
      <c r="F121" s="18" t="s">
        <v>436</v>
      </c>
      <c r="G121" s="18" t="s">
        <v>513</v>
      </c>
      <c r="H121" s="19" t="n">
        <v>46045</v>
      </c>
      <c r="I121" s="19" t="n">
        <v>46174</v>
      </c>
      <c r="J121" s="24" t="n">
        <v>0.25</v>
      </c>
      <c r="K121" s="12" t="str">
        <f aca="false">IF(AND(AsOfDate&gt;=H121,AsOfDate&lt;=I121),"Yes","No")</f>
        <v>No</v>
      </c>
      <c r="L121" s="13" t="n">
        <f aca="false">NETWORKDAYS(H121,I121)</f>
        <v>92</v>
      </c>
      <c r="M121" s="16" t="n">
        <f aca="false">ROUND(L121*INDEX(Resources!$J$2:$J$500,MATCH(D121,Resources!$A$2:$A$500,0))/5*J121,1)</f>
        <v>184</v>
      </c>
      <c r="N121" s="29" t="n">
        <f aca="false">INDEX(Resources!$H$2:$H$500,MATCH(D121,Resources!$A$2:$A$500,0))</f>
        <v>81.2</v>
      </c>
      <c r="O121" s="29" t="n">
        <f aca="false">INDEX(Resources!$I$2:$I$500,MATCH(D121,Resources!$A$2:$A$500,0))</f>
        <v>135</v>
      </c>
      <c r="P121" s="14" t="n">
        <f aca="false">M121*N121</f>
        <v>14940.8</v>
      </c>
      <c r="Q121" s="14" t="n">
        <f aca="false">IF(G121="Yes",M121*O121,0)</f>
        <v>24840</v>
      </c>
      <c r="R121" s="16" t="n">
        <f aca="false">SUMIFS(Actuals!$H$2:$H$6000,Actuals!$C$2:$C$6000,B121,Actuals!$E$2:$E$6000,D121)</f>
        <v>185.3</v>
      </c>
      <c r="S121" s="15" t="n">
        <f aca="false">IF(M121=0,0,R121/M121)</f>
        <v>1.0070652173913</v>
      </c>
    </row>
    <row r="122" customFormat="false" ht="15" hidden="false" customHeight="false" outlineLevel="0" collapsed="false">
      <c r="A122" s="18" t="s">
        <v>635</v>
      </c>
      <c r="B122" s="18" t="s">
        <v>285</v>
      </c>
      <c r="C122" s="21" t="str">
        <f aca="false">IFERROR(INDEX(Projects!$B$2:$B$500,MATCH(B122,Projects!$A$2:$A$500,0)),"")</f>
        <v>Field Service Mobile App</v>
      </c>
      <c r="D122" s="18" t="s">
        <v>247</v>
      </c>
      <c r="E122" s="21" t="str">
        <f aca="false">IFERROR(INDEX(Resources!$B$2:$B$500,MATCH(D122,Resources!$A$2:$A$500,0)),"")</f>
        <v>Arjun Baptiste</v>
      </c>
      <c r="F122" s="18" t="s">
        <v>512</v>
      </c>
      <c r="G122" s="18" t="s">
        <v>513</v>
      </c>
      <c r="H122" s="19" t="n">
        <v>46062</v>
      </c>
      <c r="I122" s="19" t="n">
        <v>46213</v>
      </c>
      <c r="J122" s="24" t="n">
        <v>0.25</v>
      </c>
      <c r="K122" s="12" t="str">
        <f aca="false">IF(AND(AsOfDate&gt;=H122,AsOfDate&lt;=I122),"Yes","No")</f>
        <v>No</v>
      </c>
      <c r="L122" s="13" t="n">
        <f aca="false">NETWORKDAYS(H122,I122)</f>
        <v>110</v>
      </c>
      <c r="M122" s="16" t="n">
        <f aca="false">ROUND(L122*INDEX(Resources!$J$2:$J$500,MATCH(D122,Resources!$A$2:$A$500,0))/5*J122,1)</f>
        <v>220</v>
      </c>
      <c r="N122" s="29" t="n">
        <f aca="false">INDEX(Resources!$H$2:$H$500,MATCH(D122,Resources!$A$2:$A$500,0))</f>
        <v>88</v>
      </c>
      <c r="O122" s="29" t="n">
        <f aca="false">INDEX(Resources!$I$2:$I$500,MATCH(D122,Resources!$A$2:$A$500,0))</f>
        <v>175</v>
      </c>
      <c r="P122" s="14" t="n">
        <f aca="false">M122*N122</f>
        <v>19360</v>
      </c>
      <c r="Q122" s="14" t="n">
        <f aca="false">IF(G122="Yes",M122*O122,0)</f>
        <v>38500</v>
      </c>
      <c r="R122" s="16" t="n">
        <f aca="false">SUMIFS(Actuals!$H$2:$H$6000,Actuals!$C$2:$C$6000,B122,Actuals!$E$2:$E$6000,D122)</f>
        <v>242.1</v>
      </c>
      <c r="S122" s="15" t="n">
        <f aca="false">IF(M122=0,0,R122/M122)</f>
        <v>1.10045454545455</v>
      </c>
    </row>
    <row r="123" customFormat="false" ht="15" hidden="false" customHeight="false" outlineLevel="0" collapsed="false">
      <c r="A123" s="18" t="s">
        <v>636</v>
      </c>
      <c r="B123" s="18" t="s">
        <v>285</v>
      </c>
      <c r="C123" s="21" t="str">
        <f aca="false">IFERROR(INDEX(Projects!$B$2:$B$500,MATCH(B123,Projects!$A$2:$A$500,0)),"")</f>
        <v>Field Service Mobile App</v>
      </c>
      <c r="D123" s="18" t="s">
        <v>368</v>
      </c>
      <c r="E123" s="21" t="str">
        <f aca="false">IFERROR(INDEX(Resources!$B$2:$B$500,MATCH(D123,Resources!$A$2:$A$500,0)),"")</f>
        <v>Owen Bennett</v>
      </c>
      <c r="F123" s="18" t="s">
        <v>365</v>
      </c>
      <c r="G123" s="18" t="s">
        <v>513</v>
      </c>
      <c r="H123" s="19" t="n">
        <v>46062</v>
      </c>
      <c r="I123" s="19" t="n">
        <v>46213</v>
      </c>
      <c r="J123" s="24" t="n">
        <v>0.5</v>
      </c>
      <c r="K123" s="12" t="str">
        <f aca="false">IF(AND(AsOfDate&gt;=H123,AsOfDate&lt;=I123),"Yes","No")</f>
        <v>No</v>
      </c>
      <c r="L123" s="13" t="n">
        <f aca="false">NETWORKDAYS(H123,I123)</f>
        <v>110</v>
      </c>
      <c r="M123" s="16" t="n">
        <f aca="false">ROUND(L123*INDEX(Resources!$J$2:$J$500,MATCH(D123,Resources!$A$2:$A$500,0))/5*J123,1)</f>
        <v>440</v>
      </c>
      <c r="N123" s="29" t="n">
        <f aca="false">INDEX(Resources!$H$2:$H$500,MATCH(D123,Resources!$A$2:$A$500,0))</f>
        <v>73.44</v>
      </c>
      <c r="O123" s="29" t="n">
        <f aca="false">INDEX(Resources!$I$2:$I$500,MATCH(D123,Resources!$A$2:$A$500,0))</f>
        <v>150</v>
      </c>
      <c r="P123" s="14" t="n">
        <f aca="false">M123*N123</f>
        <v>32313.6</v>
      </c>
      <c r="Q123" s="14" t="n">
        <f aca="false">IF(G123="Yes",M123*O123,0)</f>
        <v>66000</v>
      </c>
      <c r="R123" s="16" t="n">
        <f aca="false">SUMIFS(Actuals!$H$2:$H$6000,Actuals!$C$2:$C$6000,B123,Actuals!$E$2:$E$6000,D123)</f>
        <v>448.5</v>
      </c>
      <c r="S123" s="15" t="n">
        <f aca="false">IF(M123=0,0,R123/M123)</f>
        <v>1.01931818181818</v>
      </c>
    </row>
    <row r="124" customFormat="false" ht="15" hidden="false" customHeight="false" outlineLevel="0" collapsed="false">
      <c r="A124" s="18" t="s">
        <v>637</v>
      </c>
      <c r="B124" s="18" t="s">
        <v>285</v>
      </c>
      <c r="C124" s="21" t="str">
        <f aca="false">IFERROR(INDEX(Projects!$B$2:$B$500,MATCH(B124,Projects!$A$2:$A$500,0)),"")</f>
        <v>Field Service Mobile App</v>
      </c>
      <c r="D124" s="18" t="s">
        <v>398</v>
      </c>
      <c r="E124" s="21" t="str">
        <f aca="false">IFERROR(INDEX(Resources!$B$2:$B$500,MATCH(D124,Resources!$A$2:$A$500,0)),"")</f>
        <v>Leah Haddad</v>
      </c>
      <c r="F124" s="18" t="s">
        <v>516</v>
      </c>
      <c r="G124" s="18" t="s">
        <v>513</v>
      </c>
      <c r="H124" s="19" t="n">
        <v>46062</v>
      </c>
      <c r="I124" s="19" t="n">
        <v>46213</v>
      </c>
      <c r="J124" s="24" t="n">
        <v>0.75</v>
      </c>
      <c r="K124" s="12" t="str">
        <f aca="false">IF(AND(AsOfDate&gt;=H124,AsOfDate&lt;=I124),"Yes","No")</f>
        <v>No</v>
      </c>
      <c r="L124" s="13" t="n">
        <f aca="false">NETWORKDAYS(H124,I124)</f>
        <v>110</v>
      </c>
      <c r="M124" s="16" t="n">
        <f aca="false">ROUND(L124*INDEX(Resources!$J$2:$J$500,MATCH(D124,Resources!$A$2:$A$500,0))/5*J124,1)</f>
        <v>660</v>
      </c>
      <c r="N124" s="29" t="n">
        <f aca="false">INDEX(Resources!$H$2:$H$500,MATCH(D124,Resources!$A$2:$A$500,0))</f>
        <v>85.56</v>
      </c>
      <c r="O124" s="29" t="n">
        <f aca="false">INDEX(Resources!$I$2:$I$500,MATCH(D124,Resources!$A$2:$A$500,0))</f>
        <v>170</v>
      </c>
      <c r="P124" s="14" t="n">
        <f aca="false">M124*N124</f>
        <v>56469.6</v>
      </c>
      <c r="Q124" s="14" t="n">
        <f aca="false">IF(G124="Yes",M124*O124,0)</f>
        <v>112200</v>
      </c>
      <c r="R124" s="16" t="n">
        <f aca="false">SUMIFS(Actuals!$H$2:$H$6000,Actuals!$C$2:$C$6000,B124,Actuals!$E$2:$E$6000,D124)</f>
        <v>717.7</v>
      </c>
      <c r="S124" s="15" t="n">
        <f aca="false">IF(M124=0,0,R124/M124)</f>
        <v>1.08742424242424</v>
      </c>
    </row>
    <row r="125" customFormat="false" ht="15" hidden="false" customHeight="false" outlineLevel="0" collapsed="false">
      <c r="A125" s="18" t="s">
        <v>638</v>
      </c>
      <c r="B125" s="18" t="s">
        <v>285</v>
      </c>
      <c r="C125" s="21" t="str">
        <f aca="false">IFERROR(INDEX(Projects!$B$2:$B$500,MATCH(B125,Projects!$A$2:$A$500,0)),"")</f>
        <v>Field Service Mobile App</v>
      </c>
      <c r="D125" s="18" t="s">
        <v>414</v>
      </c>
      <c r="E125" s="21" t="str">
        <f aca="false">IFERROR(INDEX(Resources!$B$2:$B$500,MATCH(D125,Resources!$A$2:$A$500,0)),"")</f>
        <v>Elijah Adeyemi</v>
      </c>
      <c r="F125" s="18" t="s">
        <v>411</v>
      </c>
      <c r="G125" s="18" t="s">
        <v>513</v>
      </c>
      <c r="H125" s="19" t="n">
        <v>46062</v>
      </c>
      <c r="I125" s="19" t="n">
        <v>46213</v>
      </c>
      <c r="J125" s="24" t="n">
        <v>0.5</v>
      </c>
      <c r="K125" s="12" t="str">
        <f aca="false">IF(AND(AsOfDate&gt;=H125,AsOfDate&lt;=I125),"Yes","No")</f>
        <v>No</v>
      </c>
      <c r="L125" s="13" t="n">
        <f aca="false">NETWORKDAYS(H125,I125)</f>
        <v>110</v>
      </c>
      <c r="M125" s="16" t="n">
        <f aca="false">ROUND(L125*INDEX(Resources!$J$2:$J$500,MATCH(D125,Resources!$A$2:$A$500,0))/5*J125,1)</f>
        <v>440</v>
      </c>
      <c r="N125" s="29" t="n">
        <f aca="false">INDEX(Resources!$H$2:$H$500,MATCH(D125,Resources!$A$2:$A$500,0))</f>
        <v>59.52</v>
      </c>
      <c r="O125" s="29" t="n">
        <f aca="false">INDEX(Resources!$I$2:$I$500,MATCH(D125,Resources!$A$2:$A$500,0))</f>
        <v>120</v>
      </c>
      <c r="P125" s="14" t="n">
        <f aca="false">M125*N125</f>
        <v>26188.8</v>
      </c>
      <c r="Q125" s="14" t="n">
        <f aca="false">IF(G125="Yes",M125*O125,0)</f>
        <v>52800</v>
      </c>
      <c r="R125" s="16" t="n">
        <f aca="false">SUMIFS(Actuals!$H$2:$H$6000,Actuals!$C$2:$C$6000,B125,Actuals!$E$2:$E$6000,D125)</f>
        <v>464.2</v>
      </c>
      <c r="S125" s="15" t="n">
        <f aca="false">IF(M125=0,0,R125/M125)</f>
        <v>1.055</v>
      </c>
    </row>
    <row r="126" customFormat="false" ht="15" hidden="false" customHeight="false" outlineLevel="0" collapsed="false">
      <c r="A126" s="18" t="s">
        <v>639</v>
      </c>
      <c r="B126" s="18" t="s">
        <v>285</v>
      </c>
      <c r="C126" s="21" t="str">
        <f aca="false">IFERROR(INDEX(Projects!$B$2:$B$500,MATCH(B126,Projects!$A$2:$A$500,0)),"")</f>
        <v>Field Service Mobile App</v>
      </c>
      <c r="D126" s="18" t="s">
        <v>444</v>
      </c>
      <c r="E126" s="21" t="str">
        <f aca="false">IFERROR(INDEX(Resources!$B$2:$B$500,MATCH(D126,Resources!$A$2:$A$500,0)),"")</f>
        <v>Hugo Ahmed</v>
      </c>
      <c r="F126" s="18" t="s">
        <v>436</v>
      </c>
      <c r="G126" s="18" t="s">
        <v>513</v>
      </c>
      <c r="H126" s="19" t="n">
        <v>46196</v>
      </c>
      <c r="I126" s="19" t="n">
        <v>46213</v>
      </c>
      <c r="J126" s="24" t="n">
        <v>0.5</v>
      </c>
      <c r="K126" s="12" t="str">
        <f aca="false">IF(AND(AsOfDate&gt;=H126,AsOfDate&lt;=I126),"Yes","No")</f>
        <v>No</v>
      </c>
      <c r="L126" s="13" t="n">
        <f aca="false">NETWORKDAYS(H126,I126)</f>
        <v>14</v>
      </c>
      <c r="M126" s="16" t="n">
        <f aca="false">ROUND(L126*INDEX(Resources!$J$2:$J$500,MATCH(D126,Resources!$A$2:$A$500,0))/5*J126,1)</f>
        <v>56</v>
      </c>
      <c r="N126" s="29" t="n">
        <f aca="false">INDEX(Resources!$H$2:$H$500,MATCH(D126,Resources!$A$2:$A$500,0))</f>
        <v>52.08</v>
      </c>
      <c r="O126" s="29" t="n">
        <f aca="false">INDEX(Resources!$I$2:$I$500,MATCH(D126,Resources!$A$2:$A$500,0))</f>
        <v>105</v>
      </c>
      <c r="P126" s="14" t="n">
        <f aca="false">M126*N126</f>
        <v>2916.48</v>
      </c>
      <c r="Q126" s="14" t="n">
        <f aca="false">IF(G126="Yes",M126*O126,0)</f>
        <v>5880</v>
      </c>
      <c r="R126" s="16" t="n">
        <f aca="false">SUMIFS(Actuals!$H$2:$H$6000,Actuals!$C$2:$C$6000,B126,Actuals!$E$2:$E$6000,D126)</f>
        <v>61</v>
      </c>
      <c r="S126" s="15" t="n">
        <f aca="false">IF(M126=0,0,R126/M126)</f>
        <v>1.08928571428571</v>
      </c>
    </row>
    <row r="127" customFormat="false" ht="15" hidden="false" customHeight="false" outlineLevel="0" collapsed="false">
      <c r="A127" s="18" t="s">
        <v>640</v>
      </c>
      <c r="B127" s="18" t="s">
        <v>285</v>
      </c>
      <c r="C127" s="21" t="str">
        <f aca="false">IFERROR(INDEX(Projects!$B$2:$B$500,MATCH(B127,Projects!$A$2:$A$500,0)),"")</f>
        <v>Field Service Mobile App</v>
      </c>
      <c r="D127" s="18" t="s">
        <v>492</v>
      </c>
      <c r="E127" s="21" t="str">
        <f aca="false">IFERROR(INDEX(Resources!$B$2:$B$500,MATCH(D127,Resources!$A$2:$A$500,0)),"")</f>
        <v>Mariam Brooks</v>
      </c>
      <c r="F127" s="18" t="s">
        <v>494</v>
      </c>
      <c r="G127" s="18" t="s">
        <v>513</v>
      </c>
      <c r="H127" s="19" t="n">
        <v>46196</v>
      </c>
      <c r="I127" s="19" t="n">
        <v>46213</v>
      </c>
      <c r="J127" s="24" t="n">
        <v>0.25</v>
      </c>
      <c r="K127" s="12" t="str">
        <f aca="false">IF(AND(AsOfDate&gt;=H127,AsOfDate&lt;=I127),"Yes","No")</f>
        <v>No</v>
      </c>
      <c r="L127" s="13" t="n">
        <f aca="false">NETWORKDAYS(H127,I127)</f>
        <v>14</v>
      </c>
      <c r="M127" s="16" t="n">
        <f aca="false">ROUND(L127*INDEX(Resources!$J$2:$J$500,MATCH(D127,Resources!$A$2:$A$500,0))/5*J127,1)</f>
        <v>28</v>
      </c>
      <c r="N127" s="29" t="n">
        <f aca="false">INDEX(Resources!$H$2:$H$500,MATCH(D127,Resources!$A$2:$A$500,0))</f>
        <v>83.52</v>
      </c>
      <c r="O127" s="29" t="n">
        <f aca="false">INDEX(Resources!$I$2:$I$500,MATCH(D127,Resources!$A$2:$A$500,0))</f>
        <v>175</v>
      </c>
      <c r="P127" s="14" t="n">
        <f aca="false">M127*N127</f>
        <v>2338.56</v>
      </c>
      <c r="Q127" s="14" t="n">
        <f aca="false">IF(G127="Yes",M127*O127,0)</f>
        <v>4900</v>
      </c>
      <c r="R127" s="16" t="n">
        <f aca="false">SUMIFS(Actuals!$H$2:$H$6000,Actuals!$C$2:$C$6000,B127,Actuals!$E$2:$E$6000,D127)</f>
        <v>28.5</v>
      </c>
      <c r="S127" s="15" t="n">
        <f aca="false">IF(M127=0,0,R127/M127)</f>
        <v>1.01785714285714</v>
      </c>
    </row>
    <row r="128" customFormat="false" ht="15" hidden="false" customHeight="false" outlineLevel="0" collapsed="false">
      <c r="A128" s="18" t="s">
        <v>641</v>
      </c>
      <c r="B128" s="18" t="s">
        <v>288</v>
      </c>
      <c r="C128" s="21" t="str">
        <f aca="false">IFERROR(INDEX(Projects!$B$2:$B$500,MATCH(B128,Projects!$A$2:$A$500,0)),"")</f>
        <v>Regulatory Reporting Automation</v>
      </c>
      <c r="D128" s="18" t="s">
        <v>201</v>
      </c>
      <c r="E128" s="21" t="str">
        <f aca="false">IFERROR(INDEX(Resources!$B$2:$B$500,MATCH(D128,Resources!$A$2:$A$500,0)),"")</f>
        <v>Aisha Tremblay</v>
      </c>
      <c r="F128" s="18" t="s">
        <v>512</v>
      </c>
      <c r="G128" s="18" t="s">
        <v>513</v>
      </c>
      <c r="H128" s="19" t="n">
        <v>46300</v>
      </c>
      <c r="I128" s="19" t="n">
        <v>46535</v>
      </c>
      <c r="J128" s="24" t="n">
        <v>0.5</v>
      </c>
      <c r="K128" s="12" t="str">
        <f aca="false">IF(AND(AsOfDate&gt;=H128,AsOfDate&lt;=I128),"Yes","No")</f>
        <v>No</v>
      </c>
      <c r="L128" s="13" t="n">
        <f aca="false">NETWORKDAYS(H128,I128)</f>
        <v>170</v>
      </c>
      <c r="M128" s="16" t="n">
        <f aca="false">ROUND(L128*INDEX(Resources!$J$2:$J$500,MATCH(D128,Resources!$A$2:$A$500,0))/5*J128,1)</f>
        <v>680</v>
      </c>
      <c r="N128" s="29" t="n">
        <f aca="false">INDEX(Resources!$H$2:$H$500,MATCH(D128,Resources!$A$2:$A$500,0))</f>
        <v>102.08</v>
      </c>
      <c r="O128" s="29" t="n">
        <f aca="false">INDEX(Resources!$I$2:$I$500,MATCH(D128,Resources!$A$2:$A$500,0))</f>
        <v>205</v>
      </c>
      <c r="P128" s="14" t="n">
        <f aca="false">M128*N128</f>
        <v>69414.4</v>
      </c>
      <c r="Q128" s="14" t="n">
        <f aca="false">IF(G128="Yes",M128*O128,0)</f>
        <v>139400</v>
      </c>
      <c r="R128" s="16" t="n">
        <f aca="false">SUMIFS(Actuals!$H$2:$H$6000,Actuals!$C$2:$C$6000,B128,Actuals!$E$2:$E$6000,D128)</f>
        <v>0</v>
      </c>
      <c r="S128" s="15" t="n">
        <f aca="false">IF(M128=0,0,R128/M128)</f>
        <v>0</v>
      </c>
    </row>
    <row r="129" customFormat="false" ht="15" hidden="false" customHeight="false" outlineLevel="0" collapsed="false">
      <c r="A129" s="18" t="s">
        <v>642</v>
      </c>
      <c r="B129" s="18" t="s">
        <v>288</v>
      </c>
      <c r="C129" s="21" t="str">
        <f aca="false">IFERROR(INDEX(Projects!$B$2:$B$500,MATCH(B129,Projects!$A$2:$A$500,0)),"")</f>
        <v>Regulatory Reporting Automation</v>
      </c>
      <c r="D129" s="18" t="s">
        <v>375</v>
      </c>
      <c r="E129" s="21" t="str">
        <f aca="false">IFERROR(INDEX(Resources!$B$2:$B$500,MATCH(D129,Resources!$A$2:$A$500,0)),"")</f>
        <v>Emma Leblanc</v>
      </c>
      <c r="F129" s="18" t="s">
        <v>365</v>
      </c>
      <c r="G129" s="18" t="s">
        <v>513</v>
      </c>
      <c r="H129" s="19" t="n">
        <v>46300</v>
      </c>
      <c r="I129" s="19" t="n">
        <v>46535</v>
      </c>
      <c r="J129" s="24" t="n">
        <v>0.5</v>
      </c>
      <c r="K129" s="12" t="str">
        <f aca="false">IF(AND(AsOfDate&gt;=H129,AsOfDate&lt;=I129),"Yes","No")</f>
        <v>No</v>
      </c>
      <c r="L129" s="13" t="n">
        <f aca="false">NETWORKDAYS(H129,I129)</f>
        <v>170</v>
      </c>
      <c r="M129" s="16" t="n">
        <f aca="false">ROUND(L129*INDEX(Resources!$J$2:$J$500,MATCH(D129,Resources!$A$2:$A$500,0))/5*J129,1)</f>
        <v>680</v>
      </c>
      <c r="N129" s="29" t="n">
        <f aca="false">INDEX(Resources!$H$2:$H$500,MATCH(D129,Resources!$A$2:$A$500,0))</f>
        <v>72.25</v>
      </c>
      <c r="O129" s="29" t="n">
        <f aca="false">INDEX(Resources!$I$2:$I$500,MATCH(D129,Resources!$A$2:$A$500,0))</f>
        <v>120</v>
      </c>
      <c r="P129" s="14" t="n">
        <f aca="false">M129*N129</f>
        <v>49130</v>
      </c>
      <c r="Q129" s="14" t="n">
        <f aca="false">IF(G129="Yes",M129*O129,0)</f>
        <v>81600</v>
      </c>
      <c r="R129" s="16" t="n">
        <f aca="false">SUMIFS(Actuals!$H$2:$H$6000,Actuals!$C$2:$C$6000,B129,Actuals!$E$2:$E$6000,D129)</f>
        <v>0</v>
      </c>
      <c r="S129" s="15" t="n">
        <f aca="false">IF(M129=0,0,R129/M129)</f>
        <v>0</v>
      </c>
    </row>
    <row r="130" customFormat="false" ht="15" hidden="false" customHeight="false" outlineLevel="0" collapsed="false">
      <c r="A130" s="18" t="s">
        <v>643</v>
      </c>
      <c r="B130" s="18" t="s">
        <v>288</v>
      </c>
      <c r="C130" s="21" t="str">
        <f aca="false">IFERROR(INDEX(Projects!$B$2:$B$500,MATCH(B130,Projects!$A$2:$A$500,0)),"")</f>
        <v>Regulatory Reporting Automation</v>
      </c>
      <c r="D130" s="18" t="s">
        <v>398</v>
      </c>
      <c r="E130" s="21" t="str">
        <f aca="false">IFERROR(INDEX(Resources!$B$2:$B$500,MATCH(D130,Resources!$A$2:$A$500,0)),"")</f>
        <v>Leah Haddad</v>
      </c>
      <c r="F130" s="18" t="s">
        <v>516</v>
      </c>
      <c r="G130" s="18" t="s">
        <v>513</v>
      </c>
      <c r="H130" s="19" t="n">
        <v>46300</v>
      </c>
      <c r="I130" s="19" t="n">
        <v>46535</v>
      </c>
      <c r="J130" s="24" t="n">
        <v>0.5</v>
      </c>
      <c r="K130" s="12" t="str">
        <f aca="false">IF(AND(AsOfDate&gt;=H130,AsOfDate&lt;=I130),"Yes","No")</f>
        <v>No</v>
      </c>
      <c r="L130" s="13" t="n">
        <f aca="false">NETWORKDAYS(H130,I130)</f>
        <v>170</v>
      </c>
      <c r="M130" s="16" t="n">
        <f aca="false">ROUND(L130*INDEX(Resources!$J$2:$J$500,MATCH(D130,Resources!$A$2:$A$500,0))/5*J130,1)</f>
        <v>680</v>
      </c>
      <c r="N130" s="29" t="n">
        <f aca="false">INDEX(Resources!$H$2:$H$500,MATCH(D130,Resources!$A$2:$A$500,0))</f>
        <v>85.56</v>
      </c>
      <c r="O130" s="29" t="n">
        <f aca="false">INDEX(Resources!$I$2:$I$500,MATCH(D130,Resources!$A$2:$A$500,0))</f>
        <v>170</v>
      </c>
      <c r="P130" s="14" t="n">
        <f aca="false">M130*N130</f>
        <v>58180.8</v>
      </c>
      <c r="Q130" s="14" t="n">
        <f aca="false">IF(G130="Yes",M130*O130,0)</f>
        <v>115600</v>
      </c>
      <c r="R130" s="16" t="n">
        <f aca="false">SUMIFS(Actuals!$H$2:$H$6000,Actuals!$C$2:$C$6000,B130,Actuals!$E$2:$E$6000,D130)</f>
        <v>0</v>
      </c>
      <c r="S130" s="15" t="n">
        <f aca="false">IF(M130=0,0,R130/M130)</f>
        <v>0</v>
      </c>
    </row>
    <row r="131" customFormat="false" ht="15" hidden="false" customHeight="false" outlineLevel="0" collapsed="false">
      <c r="A131" s="18" t="s">
        <v>644</v>
      </c>
      <c r="B131" s="18" t="s">
        <v>288</v>
      </c>
      <c r="C131" s="21" t="str">
        <f aca="false">IFERROR(INDEX(Projects!$B$2:$B$500,MATCH(B131,Projects!$A$2:$A$500,0)),"")</f>
        <v>Regulatory Reporting Automation</v>
      </c>
      <c r="D131" s="18" t="s">
        <v>420</v>
      </c>
      <c r="E131" s="21" t="str">
        <f aca="false">IFERROR(INDEX(Resources!$B$2:$B$500,MATCH(D131,Resources!$A$2:$A$500,0)),"")</f>
        <v>Felix Singh</v>
      </c>
      <c r="F131" s="18" t="s">
        <v>411</v>
      </c>
      <c r="G131" s="18" t="s">
        <v>513</v>
      </c>
      <c r="H131" s="19" t="n">
        <v>46300</v>
      </c>
      <c r="I131" s="19" t="n">
        <v>46535</v>
      </c>
      <c r="J131" s="24" t="n">
        <v>0.75</v>
      </c>
      <c r="K131" s="12" t="str">
        <f aca="false">IF(AND(AsOfDate&gt;=H131,AsOfDate&lt;=I131),"Yes","No")</f>
        <v>No</v>
      </c>
      <c r="L131" s="13" t="n">
        <f aca="false">NETWORKDAYS(H131,I131)</f>
        <v>170</v>
      </c>
      <c r="M131" s="16" t="n">
        <f aca="false">ROUND(L131*INDEX(Resources!$J$2:$J$500,MATCH(D131,Resources!$A$2:$A$500,0))/5*J131,1)</f>
        <v>1020</v>
      </c>
      <c r="N131" s="29" t="n">
        <f aca="false">INDEX(Resources!$H$2:$H$500,MATCH(D131,Resources!$A$2:$A$500,0))</f>
        <v>59.52</v>
      </c>
      <c r="O131" s="29" t="n">
        <f aca="false">INDEX(Resources!$I$2:$I$500,MATCH(D131,Resources!$A$2:$A$500,0))</f>
        <v>120</v>
      </c>
      <c r="P131" s="14" t="n">
        <f aca="false">M131*N131</f>
        <v>60710.4</v>
      </c>
      <c r="Q131" s="14" t="n">
        <f aca="false">IF(G131="Yes",M131*O131,0)</f>
        <v>122400</v>
      </c>
      <c r="R131" s="16" t="n">
        <f aca="false">SUMIFS(Actuals!$H$2:$H$6000,Actuals!$C$2:$C$6000,B131,Actuals!$E$2:$E$6000,D131)</f>
        <v>0</v>
      </c>
      <c r="S131" s="15" t="n">
        <f aca="false">IF(M131=0,0,R131/M131)</f>
        <v>0</v>
      </c>
    </row>
    <row r="132" customFormat="false" ht="15" hidden="false" customHeight="false" outlineLevel="0" collapsed="false">
      <c r="A132" s="18" t="s">
        <v>645</v>
      </c>
      <c r="B132" s="18" t="s">
        <v>288</v>
      </c>
      <c r="C132" s="21" t="str">
        <f aca="false">IFERROR(INDEX(Projects!$B$2:$B$500,MATCH(B132,Projects!$A$2:$A$500,0)),"")</f>
        <v>Regulatory Reporting Automation</v>
      </c>
      <c r="D132" s="18" t="s">
        <v>434</v>
      </c>
      <c r="E132" s="21" t="str">
        <f aca="false">IFERROR(INDEX(Resources!$B$2:$B$500,MATCH(D132,Resources!$A$2:$A$500,0)),"")</f>
        <v>Nina Yilmaz</v>
      </c>
      <c r="F132" s="18" t="s">
        <v>436</v>
      </c>
      <c r="G132" s="18" t="s">
        <v>513</v>
      </c>
      <c r="H132" s="19" t="n">
        <v>46405</v>
      </c>
      <c r="I132" s="19" t="n">
        <v>46535</v>
      </c>
      <c r="J132" s="24" t="n">
        <v>0.25</v>
      </c>
      <c r="K132" s="12" t="str">
        <f aca="false">IF(AND(AsOfDate&gt;=H132,AsOfDate&lt;=I132),"Yes","No")</f>
        <v>No</v>
      </c>
      <c r="L132" s="13" t="n">
        <f aca="false">NETWORKDAYS(H132,I132)</f>
        <v>95</v>
      </c>
      <c r="M132" s="16" t="n">
        <f aca="false">ROUND(L132*INDEX(Resources!$J$2:$J$500,MATCH(D132,Resources!$A$2:$A$500,0))/5*J132,1)</f>
        <v>190</v>
      </c>
      <c r="N132" s="29" t="n">
        <f aca="false">INDEX(Resources!$H$2:$H$500,MATCH(D132,Resources!$A$2:$A$500,0))</f>
        <v>64.96</v>
      </c>
      <c r="O132" s="29" t="n">
        <f aca="false">INDEX(Resources!$I$2:$I$500,MATCH(D132,Resources!$A$2:$A$500,0))</f>
        <v>135</v>
      </c>
      <c r="P132" s="14" t="n">
        <f aca="false">M132*N132</f>
        <v>12342.4</v>
      </c>
      <c r="Q132" s="14" t="n">
        <f aca="false">IF(G132="Yes",M132*O132,0)</f>
        <v>25650</v>
      </c>
      <c r="R132" s="16" t="n">
        <f aca="false">SUMIFS(Actuals!$H$2:$H$6000,Actuals!$C$2:$C$6000,B132,Actuals!$E$2:$E$6000,D132)</f>
        <v>0</v>
      </c>
      <c r="S132" s="15" t="n">
        <f aca="false">IF(M132=0,0,R132/M132)</f>
        <v>0</v>
      </c>
    </row>
    <row r="133" customFormat="false" ht="15" hidden="false" customHeight="false" outlineLevel="0" collapsed="false">
      <c r="A133" s="18" t="s">
        <v>646</v>
      </c>
      <c r="B133" s="18" t="s">
        <v>288</v>
      </c>
      <c r="C133" s="21" t="str">
        <f aca="false">IFERROR(INDEX(Projects!$B$2:$B$500,MATCH(B133,Projects!$A$2:$A$500,0)),"")</f>
        <v>Regulatory Reporting Automation</v>
      </c>
      <c r="D133" s="18" t="s">
        <v>496</v>
      </c>
      <c r="E133" s="21" t="str">
        <f aca="false">IFERROR(INDEX(Resources!$B$2:$B$500,MATCH(D133,Resources!$A$2:$A$500,0)),"")</f>
        <v>Callum Dubois</v>
      </c>
      <c r="F133" s="18" t="s">
        <v>494</v>
      </c>
      <c r="G133" s="18" t="s">
        <v>513</v>
      </c>
      <c r="H133" s="19" t="n">
        <v>46405</v>
      </c>
      <c r="I133" s="19" t="n">
        <v>46535</v>
      </c>
      <c r="J133" s="24" t="n">
        <v>0.25</v>
      </c>
      <c r="K133" s="12" t="str">
        <f aca="false">IF(AND(AsOfDate&gt;=H133,AsOfDate&lt;=I133),"Yes","No")</f>
        <v>No</v>
      </c>
      <c r="L133" s="13" t="n">
        <f aca="false">NETWORKDAYS(H133,I133)</f>
        <v>95</v>
      </c>
      <c r="M133" s="16" t="n">
        <f aca="false">ROUND(L133*INDEX(Resources!$J$2:$J$500,MATCH(D133,Resources!$A$2:$A$500,0))/5*J133,1)</f>
        <v>152</v>
      </c>
      <c r="N133" s="29" t="n">
        <f aca="false">INDEX(Resources!$H$2:$H$500,MATCH(D133,Resources!$A$2:$A$500,0))</f>
        <v>77.76</v>
      </c>
      <c r="O133" s="29" t="n">
        <f aca="false">INDEX(Resources!$I$2:$I$500,MATCH(D133,Resources!$A$2:$A$500,0))</f>
        <v>160</v>
      </c>
      <c r="P133" s="14" t="n">
        <f aca="false">M133*N133</f>
        <v>11819.52</v>
      </c>
      <c r="Q133" s="14" t="n">
        <f aca="false">IF(G133="Yes",M133*O133,0)</f>
        <v>24320</v>
      </c>
      <c r="R133" s="16" t="n">
        <f aca="false">SUMIFS(Actuals!$H$2:$H$6000,Actuals!$C$2:$C$6000,B133,Actuals!$E$2:$E$6000,D133)</f>
        <v>0</v>
      </c>
      <c r="S133" s="15" t="n">
        <f aca="false">IF(M133=0,0,R133/M133)</f>
        <v>0</v>
      </c>
    </row>
    <row r="134" customFormat="false" ht="15" hidden="false" customHeight="false" outlineLevel="0" collapsed="false">
      <c r="A134" s="18" t="s">
        <v>647</v>
      </c>
      <c r="B134" s="18" t="s">
        <v>292</v>
      </c>
      <c r="C134" s="21" t="str">
        <f aca="false">IFERROR(INDEX(Projects!$B$2:$B$500,MATCH(B134,Projects!$A$2:$A$500,0)),"")</f>
        <v>GenAI Knowledge Assistant</v>
      </c>
      <c r="D134" s="18" t="s">
        <v>211</v>
      </c>
      <c r="E134" s="21" t="str">
        <f aca="false">IFERROR(INDEX(Resources!$B$2:$B$500,MATCH(D134,Resources!$A$2:$A$500,0)),"")</f>
        <v>Liam Roy</v>
      </c>
      <c r="F134" s="18" t="s">
        <v>512</v>
      </c>
      <c r="G134" s="18" t="s">
        <v>527</v>
      </c>
      <c r="H134" s="19" t="n">
        <v>46328</v>
      </c>
      <c r="I134" s="19" t="n">
        <v>46563</v>
      </c>
      <c r="J134" s="24" t="n">
        <v>0.25</v>
      </c>
      <c r="K134" s="12" t="str">
        <f aca="false">IF(AND(AsOfDate&gt;=H134,AsOfDate&lt;=I134),"Yes","No")</f>
        <v>No</v>
      </c>
      <c r="L134" s="13" t="n">
        <f aca="false">NETWORKDAYS(H134,I134)</f>
        <v>170</v>
      </c>
      <c r="M134" s="16" t="n">
        <f aca="false">ROUND(L134*INDEX(Resources!$J$2:$J$500,MATCH(D134,Resources!$A$2:$A$500,0))/5*J134,1)</f>
        <v>340</v>
      </c>
      <c r="N134" s="29" t="n">
        <f aca="false">INDEX(Resources!$H$2:$H$500,MATCH(D134,Resources!$A$2:$A$500,0))</f>
        <v>102.08</v>
      </c>
      <c r="O134" s="29" t="n">
        <f aca="false">INDEX(Resources!$I$2:$I$500,MATCH(D134,Resources!$A$2:$A$500,0))</f>
        <v>205</v>
      </c>
      <c r="P134" s="14" t="n">
        <f aca="false">M134*N134</f>
        <v>34707.2</v>
      </c>
      <c r="Q134" s="14" t="n">
        <f aca="false">IF(G134="Yes",M134*O134,0)</f>
        <v>0</v>
      </c>
      <c r="R134" s="16" t="n">
        <f aca="false">SUMIFS(Actuals!$H$2:$H$6000,Actuals!$C$2:$C$6000,B134,Actuals!$E$2:$E$6000,D134)</f>
        <v>0</v>
      </c>
      <c r="S134" s="15" t="n">
        <f aca="false">IF(M134=0,0,R134/M134)</f>
        <v>0</v>
      </c>
    </row>
    <row r="135" customFormat="false" ht="15" hidden="false" customHeight="false" outlineLevel="0" collapsed="false">
      <c r="A135" s="18" t="s">
        <v>648</v>
      </c>
      <c r="B135" s="18" t="s">
        <v>292</v>
      </c>
      <c r="C135" s="21" t="str">
        <f aca="false">IFERROR(INDEX(Projects!$B$2:$B$500,MATCH(B135,Projects!$A$2:$A$500,0)),"")</f>
        <v>GenAI Knowledge Assistant</v>
      </c>
      <c r="D135" s="18" t="s">
        <v>459</v>
      </c>
      <c r="E135" s="21" t="str">
        <f aca="false">IFERROR(INDEX(Resources!$B$2:$B$500,MATCH(D135,Resources!$A$2:$A$500,0)),"")</f>
        <v>Marco Laurent</v>
      </c>
      <c r="F135" s="18" t="s">
        <v>452</v>
      </c>
      <c r="G135" s="18" t="s">
        <v>513</v>
      </c>
      <c r="H135" s="19" t="n">
        <v>46328</v>
      </c>
      <c r="I135" s="19" t="n">
        <v>46563</v>
      </c>
      <c r="J135" s="24" t="n">
        <v>0.75</v>
      </c>
      <c r="K135" s="12" t="str">
        <f aca="false">IF(AND(AsOfDate&gt;=H135,AsOfDate&lt;=I135),"Yes","No")</f>
        <v>No</v>
      </c>
      <c r="L135" s="13" t="n">
        <f aca="false">NETWORKDAYS(H135,I135)</f>
        <v>170</v>
      </c>
      <c r="M135" s="16" t="n">
        <f aca="false">ROUND(L135*INDEX(Resources!$J$2:$J$500,MATCH(D135,Resources!$A$2:$A$500,0))/5*J135,1)</f>
        <v>1020</v>
      </c>
      <c r="N135" s="29" t="n">
        <f aca="false">INDEX(Resources!$H$2:$H$500,MATCH(D135,Resources!$A$2:$A$500,0))</f>
        <v>97.2</v>
      </c>
      <c r="O135" s="29" t="n">
        <f aca="false">INDEX(Resources!$I$2:$I$500,MATCH(D135,Resources!$A$2:$A$500,0))</f>
        <v>195</v>
      </c>
      <c r="P135" s="14" t="n">
        <f aca="false">M135*N135</f>
        <v>99144</v>
      </c>
      <c r="Q135" s="14" t="n">
        <f aca="false">IF(G135="Yes",M135*O135,0)</f>
        <v>198900</v>
      </c>
      <c r="R135" s="16" t="n">
        <f aca="false">SUMIFS(Actuals!$H$2:$H$6000,Actuals!$C$2:$C$6000,B135,Actuals!$E$2:$E$6000,D135)</f>
        <v>0</v>
      </c>
      <c r="S135" s="15" t="n">
        <f aca="false">IF(M135=0,0,R135/M135)</f>
        <v>0</v>
      </c>
    </row>
    <row r="136" customFormat="false" ht="15" hidden="false" customHeight="false" outlineLevel="0" collapsed="false">
      <c r="A136" s="18" t="s">
        <v>649</v>
      </c>
      <c r="B136" s="18" t="s">
        <v>292</v>
      </c>
      <c r="C136" s="21" t="str">
        <f aca="false">IFERROR(INDEX(Projects!$B$2:$B$500,MATCH(B136,Projects!$A$2:$A$500,0)),"")</f>
        <v>GenAI Knowledge Assistant</v>
      </c>
      <c r="D136" s="18" t="s">
        <v>468</v>
      </c>
      <c r="E136" s="21" t="str">
        <f aca="false">IFERROR(INDEX(Resources!$B$2:$B$500,MATCH(D136,Resources!$A$2:$A$500,0)),"")</f>
        <v>Lina Lindgren</v>
      </c>
      <c r="F136" s="18" t="s">
        <v>464</v>
      </c>
      <c r="G136" s="18" t="s">
        <v>513</v>
      </c>
      <c r="H136" s="19" t="n">
        <v>46375</v>
      </c>
      <c r="I136" s="19" t="n">
        <v>46527</v>
      </c>
      <c r="J136" s="24" t="n">
        <v>0.5</v>
      </c>
      <c r="K136" s="12" t="str">
        <f aca="false">IF(AND(AsOfDate&gt;=H136,AsOfDate&lt;=I136),"Yes","No")</f>
        <v>No</v>
      </c>
      <c r="L136" s="13" t="n">
        <f aca="false">NETWORKDAYS(H136,I136)</f>
        <v>109</v>
      </c>
      <c r="M136" s="16" t="n">
        <f aca="false">ROUND(L136*INDEX(Resources!$J$2:$J$500,MATCH(D136,Resources!$A$2:$A$500,0))/5*J136,1)</f>
        <v>436</v>
      </c>
      <c r="N136" s="29" t="n">
        <f aca="false">INDEX(Resources!$H$2:$H$500,MATCH(D136,Resources!$A$2:$A$500,0))</f>
        <v>113.68</v>
      </c>
      <c r="O136" s="29" t="n">
        <f aca="false">INDEX(Resources!$I$2:$I$500,MATCH(D136,Resources!$A$2:$A$500,0))</f>
        <v>230</v>
      </c>
      <c r="P136" s="14" t="n">
        <f aca="false">M136*N136</f>
        <v>49564.48</v>
      </c>
      <c r="Q136" s="14" t="n">
        <f aca="false">IF(G136="Yes",M136*O136,0)</f>
        <v>100280</v>
      </c>
      <c r="R136" s="16" t="n">
        <f aca="false">SUMIFS(Actuals!$H$2:$H$6000,Actuals!$C$2:$C$6000,B136,Actuals!$E$2:$E$6000,D136)</f>
        <v>0</v>
      </c>
      <c r="S136" s="15" t="n">
        <f aca="false">IF(M136=0,0,R136/M136)</f>
        <v>0</v>
      </c>
    </row>
    <row r="137" customFormat="false" ht="15" hidden="false" customHeight="false" outlineLevel="0" collapsed="false">
      <c r="A137" s="18" t="s">
        <v>650</v>
      </c>
      <c r="B137" s="18" t="s">
        <v>292</v>
      </c>
      <c r="C137" s="21" t="str">
        <f aca="false">IFERROR(INDEX(Projects!$B$2:$B$500,MATCH(B137,Projects!$A$2:$A$500,0)),"")</f>
        <v>GenAI Knowledge Assistant</v>
      </c>
      <c r="D137" s="18" t="s">
        <v>348</v>
      </c>
      <c r="E137" s="21" t="str">
        <f aca="false">IFERROR(INDEX(Resources!$B$2:$B$500,MATCH(D137,Resources!$A$2:$A$500,0)),"")</f>
        <v>Chloe Reyes</v>
      </c>
      <c r="F137" s="18" t="s">
        <v>350</v>
      </c>
      <c r="G137" s="18" t="s">
        <v>513</v>
      </c>
      <c r="H137" s="19" t="n">
        <v>46328</v>
      </c>
      <c r="I137" s="19" t="n">
        <v>46457</v>
      </c>
      <c r="J137" s="24" t="n">
        <v>0.25</v>
      </c>
      <c r="K137" s="12" t="str">
        <f aca="false">IF(AND(AsOfDate&gt;=H137,AsOfDate&lt;=I137),"Yes","No")</f>
        <v>No</v>
      </c>
      <c r="L137" s="13" t="n">
        <f aca="false">NETWORKDAYS(H137,I137)</f>
        <v>94</v>
      </c>
      <c r="M137" s="16" t="n">
        <f aca="false">ROUND(L137*INDEX(Resources!$J$2:$J$500,MATCH(D137,Resources!$A$2:$A$500,0))/5*J137,1)</f>
        <v>188</v>
      </c>
      <c r="N137" s="29" t="n">
        <f aca="false">INDEX(Resources!$H$2:$H$500,MATCH(D137,Resources!$A$2:$A$500,0))</f>
        <v>129.92</v>
      </c>
      <c r="O137" s="29" t="n">
        <f aca="false">INDEX(Resources!$I$2:$I$500,MATCH(D137,Resources!$A$2:$A$500,0))</f>
        <v>260</v>
      </c>
      <c r="P137" s="14" t="n">
        <f aca="false">M137*N137</f>
        <v>24424.96</v>
      </c>
      <c r="Q137" s="14" t="n">
        <f aca="false">IF(G137="Yes",M137*O137,0)</f>
        <v>48880</v>
      </c>
      <c r="R137" s="16" t="n">
        <f aca="false">SUMIFS(Actuals!$H$2:$H$6000,Actuals!$C$2:$C$6000,B137,Actuals!$E$2:$E$6000,D137)</f>
        <v>0</v>
      </c>
      <c r="S137" s="15" t="n">
        <f aca="false">IF(M137=0,0,R137/M137)</f>
        <v>0</v>
      </c>
    </row>
    <row r="138" customFormat="false" ht="15" hidden="false" customHeight="false" outlineLevel="0" collapsed="false">
      <c r="A138" s="18" t="s">
        <v>651</v>
      </c>
      <c r="B138" s="18" t="s">
        <v>292</v>
      </c>
      <c r="C138" s="21" t="str">
        <f aca="false">IFERROR(INDEX(Projects!$B$2:$B$500,MATCH(B138,Projects!$A$2:$A$500,0)),"")</f>
        <v>GenAI Knowledge Assistant</v>
      </c>
      <c r="D138" s="18" t="s">
        <v>409</v>
      </c>
      <c r="E138" s="21" t="str">
        <f aca="false">IFERROR(INDEX(Resources!$B$2:$B$500,MATCH(D138,Resources!$A$2:$A$500,0)),"")</f>
        <v>Jin Alvarez</v>
      </c>
      <c r="F138" s="18" t="s">
        <v>411</v>
      </c>
      <c r="G138" s="18" t="s">
        <v>513</v>
      </c>
      <c r="H138" s="19" t="n">
        <v>46328</v>
      </c>
      <c r="I138" s="19" t="n">
        <v>46563</v>
      </c>
      <c r="J138" s="24" t="n">
        <v>0.5</v>
      </c>
      <c r="K138" s="12" t="str">
        <f aca="false">IF(AND(AsOfDate&gt;=H138,AsOfDate&lt;=I138),"Yes","No")</f>
        <v>No</v>
      </c>
      <c r="L138" s="13" t="n">
        <f aca="false">NETWORKDAYS(H138,I138)</f>
        <v>170</v>
      </c>
      <c r="M138" s="16" t="n">
        <f aca="false">ROUND(L138*INDEX(Resources!$J$2:$J$500,MATCH(D138,Resources!$A$2:$A$500,0))/5*J138,1)</f>
        <v>680</v>
      </c>
      <c r="N138" s="29" t="n">
        <f aca="false">INDEX(Resources!$H$2:$H$500,MATCH(D138,Resources!$A$2:$A$500,0))</f>
        <v>74.24</v>
      </c>
      <c r="O138" s="29" t="n">
        <f aca="false">INDEX(Resources!$I$2:$I$500,MATCH(D138,Resources!$A$2:$A$500,0))</f>
        <v>150</v>
      </c>
      <c r="P138" s="14" t="n">
        <f aca="false">M138*N138</f>
        <v>50483.2</v>
      </c>
      <c r="Q138" s="14" t="n">
        <f aca="false">IF(G138="Yes",M138*O138,0)</f>
        <v>102000</v>
      </c>
      <c r="R138" s="16" t="n">
        <f aca="false">SUMIFS(Actuals!$H$2:$H$6000,Actuals!$C$2:$C$6000,B138,Actuals!$E$2:$E$6000,D138)</f>
        <v>0</v>
      </c>
      <c r="S138" s="15" t="n">
        <f aca="false">IF(M138=0,0,R138/M138)</f>
        <v>0</v>
      </c>
    </row>
    <row r="139" customFormat="false" ht="15" hidden="false" customHeight="false" outlineLevel="0" collapsed="false">
      <c r="A139" s="18" t="s">
        <v>652</v>
      </c>
      <c r="B139" s="18" t="s">
        <v>292</v>
      </c>
      <c r="C139" s="21" t="str">
        <f aca="false">IFERROR(INDEX(Projects!$B$2:$B$500,MATCH(B139,Projects!$A$2:$A$500,0)),"")</f>
        <v>GenAI Knowledge Assistant</v>
      </c>
      <c r="D139" s="18" t="s">
        <v>448</v>
      </c>
      <c r="E139" s="21" t="str">
        <f aca="false">IFERROR(INDEX(Resources!$B$2:$B$500,MATCH(D139,Resources!$A$2:$A$500,0)),"")</f>
        <v>Kofi Mensah</v>
      </c>
      <c r="F139" s="18" t="s">
        <v>436</v>
      </c>
      <c r="G139" s="18" t="s">
        <v>513</v>
      </c>
      <c r="H139" s="19" t="n">
        <v>46433</v>
      </c>
      <c r="I139" s="19" t="n">
        <v>46563</v>
      </c>
      <c r="J139" s="24" t="n">
        <v>0.25</v>
      </c>
      <c r="K139" s="12" t="str">
        <f aca="false">IF(AND(AsOfDate&gt;=H139,AsOfDate&lt;=I139),"Yes","No")</f>
        <v>No</v>
      </c>
      <c r="L139" s="13" t="n">
        <f aca="false">NETWORKDAYS(H139,I139)</f>
        <v>95</v>
      </c>
      <c r="M139" s="16" t="n">
        <f aca="false">ROUND(L139*INDEX(Resources!$J$2:$J$500,MATCH(D139,Resources!$A$2:$A$500,0))/5*J139,1)</f>
        <v>190</v>
      </c>
      <c r="N139" s="29" t="n">
        <f aca="false">INDEX(Resources!$H$2:$H$500,MATCH(D139,Resources!$A$2:$A$500,0))</f>
        <v>64.96</v>
      </c>
      <c r="O139" s="29" t="n">
        <f aca="false">INDEX(Resources!$I$2:$I$500,MATCH(D139,Resources!$A$2:$A$500,0))</f>
        <v>135</v>
      </c>
      <c r="P139" s="14" t="n">
        <f aca="false">M139*N139</f>
        <v>12342.4</v>
      </c>
      <c r="Q139" s="14" t="n">
        <f aca="false">IF(G139="Yes",M139*O139,0)</f>
        <v>25650</v>
      </c>
      <c r="R139" s="16" t="n">
        <f aca="false">SUMIFS(Actuals!$H$2:$H$6000,Actuals!$C$2:$C$6000,B139,Actuals!$E$2:$E$6000,D139)</f>
        <v>0</v>
      </c>
      <c r="S139" s="15" t="n">
        <f aca="false">IF(M139=0,0,R139/M139)</f>
        <v>0</v>
      </c>
    </row>
    <row r="140" customFormat="false" ht="15" hidden="false" customHeight="false" outlineLevel="0" collapsed="false">
      <c r="A140" s="18" t="s">
        <v>653</v>
      </c>
      <c r="B140" s="18" t="s">
        <v>294</v>
      </c>
      <c r="C140" s="21" t="str">
        <f aca="false">IFERROR(INDEX(Projects!$B$2:$B$500,MATCH(B140,Projects!$A$2:$A$500,0)),"")</f>
        <v>Municipal Asset Management</v>
      </c>
      <c r="D140" s="18" t="s">
        <v>218</v>
      </c>
      <c r="E140" s="21" t="str">
        <f aca="false">IFERROR(INDEX(Resources!$B$2:$B$500,MATCH(D140,Resources!$A$2:$A$500,0)),"")</f>
        <v>Mei Fraser</v>
      </c>
      <c r="F140" s="18" t="s">
        <v>512</v>
      </c>
      <c r="G140" s="18" t="s">
        <v>513</v>
      </c>
      <c r="H140" s="19" t="n">
        <v>46398</v>
      </c>
      <c r="I140" s="19" t="n">
        <v>46689</v>
      </c>
      <c r="J140" s="24" t="n">
        <v>0.5</v>
      </c>
      <c r="K140" s="12" t="str">
        <f aca="false">IF(AND(AsOfDate&gt;=H140,AsOfDate&lt;=I140),"Yes","No")</f>
        <v>No</v>
      </c>
      <c r="L140" s="13" t="n">
        <f aca="false">NETWORKDAYS(H140,I140)</f>
        <v>210</v>
      </c>
      <c r="M140" s="16" t="n">
        <f aca="false">ROUND(L140*INDEX(Resources!$J$2:$J$500,MATCH(D140,Resources!$A$2:$A$500,0))/5*J140,1)</f>
        <v>840</v>
      </c>
      <c r="N140" s="29" t="n">
        <f aca="false">INDEX(Resources!$H$2:$H$500,MATCH(D140,Resources!$A$2:$A$500,0))</f>
        <v>74.8</v>
      </c>
      <c r="O140" s="29" t="n">
        <f aca="false">INDEX(Resources!$I$2:$I$500,MATCH(D140,Resources!$A$2:$A$500,0))</f>
        <v>150</v>
      </c>
      <c r="P140" s="14" t="n">
        <f aca="false">M140*N140</f>
        <v>62832</v>
      </c>
      <c r="Q140" s="14" t="n">
        <f aca="false">IF(G140="Yes",M140*O140,0)</f>
        <v>126000</v>
      </c>
      <c r="R140" s="16" t="n">
        <f aca="false">SUMIFS(Actuals!$H$2:$H$6000,Actuals!$C$2:$C$6000,B140,Actuals!$E$2:$E$6000,D140)</f>
        <v>0</v>
      </c>
      <c r="S140" s="15" t="n">
        <f aca="false">IF(M140=0,0,R140/M140)</f>
        <v>0</v>
      </c>
    </row>
    <row r="141" customFormat="false" ht="15" hidden="false" customHeight="false" outlineLevel="0" collapsed="false">
      <c r="A141" s="18" t="s">
        <v>654</v>
      </c>
      <c r="B141" s="18" t="s">
        <v>294</v>
      </c>
      <c r="C141" s="21" t="str">
        <f aca="false">IFERROR(INDEX(Projects!$B$2:$B$500,MATCH(B141,Projects!$A$2:$A$500,0)),"")</f>
        <v>Municipal Asset Management</v>
      </c>
      <c r="D141" s="18" t="s">
        <v>373</v>
      </c>
      <c r="E141" s="21" t="str">
        <f aca="false">IFERROR(INDEX(Resources!$B$2:$B$500,MATCH(D141,Resources!$A$2:$A$500,0)),"")</f>
        <v>Ravi Gagnon</v>
      </c>
      <c r="F141" s="18" t="s">
        <v>365</v>
      </c>
      <c r="G141" s="18" t="s">
        <v>513</v>
      </c>
      <c r="H141" s="19" t="n">
        <v>46398</v>
      </c>
      <c r="I141" s="19" t="n">
        <v>46689</v>
      </c>
      <c r="J141" s="24" t="n">
        <v>0.5</v>
      </c>
      <c r="K141" s="12" t="str">
        <f aca="false">IF(AND(AsOfDate&gt;=H141,AsOfDate&lt;=I141),"Yes","No")</f>
        <v>No</v>
      </c>
      <c r="L141" s="13" t="n">
        <f aca="false">NETWORKDAYS(H141,I141)</f>
        <v>210</v>
      </c>
      <c r="M141" s="16" t="n">
        <f aca="false">ROUND(L141*INDEX(Resources!$J$2:$J$500,MATCH(D141,Resources!$A$2:$A$500,0))/5*J141,1)</f>
        <v>840</v>
      </c>
      <c r="N141" s="29" t="n">
        <f aca="false">INDEX(Resources!$H$2:$H$500,MATCH(D141,Resources!$A$2:$A$500,0))</f>
        <v>73.44</v>
      </c>
      <c r="O141" s="29" t="n">
        <f aca="false">INDEX(Resources!$I$2:$I$500,MATCH(D141,Resources!$A$2:$A$500,0))</f>
        <v>150</v>
      </c>
      <c r="P141" s="14" t="n">
        <f aca="false">M141*N141</f>
        <v>61689.6</v>
      </c>
      <c r="Q141" s="14" t="n">
        <f aca="false">IF(G141="Yes",M141*O141,0)</f>
        <v>126000</v>
      </c>
      <c r="R141" s="16" t="n">
        <f aca="false">SUMIFS(Actuals!$H$2:$H$6000,Actuals!$C$2:$C$6000,B141,Actuals!$E$2:$E$6000,D141)</f>
        <v>0</v>
      </c>
      <c r="S141" s="15" t="n">
        <f aca="false">IF(M141=0,0,R141/M141)</f>
        <v>0</v>
      </c>
    </row>
    <row r="142" customFormat="false" ht="15" hidden="false" customHeight="false" outlineLevel="0" collapsed="false">
      <c r="A142" s="18" t="s">
        <v>655</v>
      </c>
      <c r="B142" s="18" t="s">
        <v>294</v>
      </c>
      <c r="C142" s="21" t="str">
        <f aca="false">IFERROR(INDEX(Projects!$B$2:$B$500,MATCH(B142,Projects!$A$2:$A$500,0)),"")</f>
        <v>Municipal Asset Management</v>
      </c>
      <c r="D142" s="18" t="s">
        <v>354</v>
      </c>
      <c r="E142" s="21" t="str">
        <f aca="false">IFERROR(INDEX(Resources!$B$2:$B$500,MATCH(D142,Resources!$A$2:$A$500,0)),"")</f>
        <v>Mateo Bianchi</v>
      </c>
      <c r="F142" s="18" t="s">
        <v>350</v>
      </c>
      <c r="G142" s="18" t="s">
        <v>513</v>
      </c>
      <c r="H142" s="19" t="n">
        <v>46398</v>
      </c>
      <c r="I142" s="19" t="n">
        <v>46558</v>
      </c>
      <c r="J142" s="24" t="n">
        <v>0.5</v>
      </c>
      <c r="K142" s="12" t="str">
        <f aca="false">IF(AND(AsOfDate&gt;=H142,AsOfDate&lt;=I142),"Yes","No")</f>
        <v>No</v>
      </c>
      <c r="L142" s="13" t="n">
        <f aca="false">NETWORKDAYS(H142,I142)</f>
        <v>115</v>
      </c>
      <c r="M142" s="16" t="n">
        <f aca="false">ROUND(L142*INDEX(Resources!$J$2:$J$500,MATCH(D142,Resources!$A$2:$A$500,0))/5*J142,1)</f>
        <v>460</v>
      </c>
      <c r="N142" s="29" t="n">
        <f aca="false">INDEX(Resources!$H$2:$H$500,MATCH(D142,Resources!$A$2:$A$500,0))</f>
        <v>129.92</v>
      </c>
      <c r="O142" s="29" t="n">
        <f aca="false">INDEX(Resources!$I$2:$I$500,MATCH(D142,Resources!$A$2:$A$500,0))</f>
        <v>260</v>
      </c>
      <c r="P142" s="14" t="n">
        <f aca="false">M142*N142</f>
        <v>59763.2</v>
      </c>
      <c r="Q142" s="14" t="n">
        <f aca="false">IF(G142="Yes",M142*O142,0)</f>
        <v>119600</v>
      </c>
      <c r="R142" s="16" t="n">
        <f aca="false">SUMIFS(Actuals!$H$2:$H$6000,Actuals!$C$2:$C$6000,B142,Actuals!$E$2:$E$6000,D142)</f>
        <v>0</v>
      </c>
      <c r="S142" s="15" t="n">
        <f aca="false">IF(M142=0,0,R142/M142)</f>
        <v>0</v>
      </c>
    </row>
    <row r="143" customFormat="false" ht="15" hidden="false" customHeight="false" outlineLevel="0" collapsed="false">
      <c r="A143" s="18" t="s">
        <v>656</v>
      </c>
      <c r="B143" s="18" t="s">
        <v>294</v>
      </c>
      <c r="C143" s="21" t="str">
        <f aca="false">IFERROR(INDEX(Projects!$B$2:$B$500,MATCH(B143,Projects!$A$2:$A$500,0)),"")</f>
        <v>Municipal Asset Management</v>
      </c>
      <c r="D143" s="18" t="s">
        <v>389</v>
      </c>
      <c r="E143" s="21" t="str">
        <f aca="false">IFERROR(INDEX(Resources!$B$2:$B$500,MATCH(D143,Resources!$A$2:$A$500,0)),"")</f>
        <v>Yuki Wright</v>
      </c>
      <c r="F143" s="18" t="s">
        <v>516</v>
      </c>
      <c r="G143" s="18" t="s">
        <v>513</v>
      </c>
      <c r="H143" s="19" t="n">
        <v>46398</v>
      </c>
      <c r="I143" s="19" t="n">
        <v>46689</v>
      </c>
      <c r="J143" s="24" t="n">
        <v>1</v>
      </c>
      <c r="K143" s="12" t="str">
        <f aca="false">IF(AND(AsOfDate&gt;=H143,AsOfDate&lt;=I143),"Yes","No")</f>
        <v>No</v>
      </c>
      <c r="L143" s="13" t="n">
        <f aca="false">NETWORKDAYS(H143,I143)</f>
        <v>210</v>
      </c>
      <c r="M143" s="16" t="n">
        <f aca="false">ROUND(L143*INDEX(Resources!$J$2:$J$500,MATCH(D143,Resources!$A$2:$A$500,0))/5*J143,1)</f>
        <v>1680</v>
      </c>
      <c r="N143" s="29" t="n">
        <f aca="false">INDEX(Resources!$H$2:$H$500,MATCH(D143,Resources!$A$2:$A$500,0))</f>
        <v>106.72</v>
      </c>
      <c r="O143" s="29" t="n">
        <f aca="false">INDEX(Resources!$I$2:$I$500,MATCH(D143,Resources!$A$2:$A$500,0))</f>
        <v>215</v>
      </c>
      <c r="P143" s="14" t="n">
        <f aca="false">M143*N143</f>
        <v>179289.6</v>
      </c>
      <c r="Q143" s="14" t="n">
        <f aca="false">IF(G143="Yes",M143*O143,0)</f>
        <v>361200</v>
      </c>
      <c r="R143" s="16" t="n">
        <f aca="false">SUMIFS(Actuals!$H$2:$H$6000,Actuals!$C$2:$C$6000,B143,Actuals!$E$2:$E$6000,D143)</f>
        <v>0</v>
      </c>
      <c r="S143" s="15" t="n">
        <f aca="false">IF(M143=0,0,R143/M143)</f>
        <v>0</v>
      </c>
    </row>
    <row r="144" customFormat="false" ht="15" hidden="false" customHeight="false" outlineLevel="0" collapsed="false">
      <c r="A144" s="18" t="s">
        <v>657</v>
      </c>
      <c r="B144" s="18" t="s">
        <v>294</v>
      </c>
      <c r="C144" s="21" t="str">
        <f aca="false">IFERROR(INDEX(Projects!$B$2:$B$500,MATCH(B144,Projects!$A$2:$A$500,0)),"")</f>
        <v>Municipal Asset Management</v>
      </c>
      <c r="D144" s="18" t="s">
        <v>412</v>
      </c>
      <c r="E144" s="21" t="str">
        <f aca="false">IFERROR(INDEX(Resources!$B$2:$B$500,MATCH(D144,Resources!$A$2:$A$500,0)),"")</f>
        <v>Maya Osei</v>
      </c>
      <c r="F144" s="18" t="s">
        <v>411</v>
      </c>
      <c r="G144" s="18" t="s">
        <v>513</v>
      </c>
      <c r="H144" s="19" t="n">
        <v>46398</v>
      </c>
      <c r="I144" s="19" t="n">
        <v>46689</v>
      </c>
      <c r="J144" s="24" t="n">
        <v>1</v>
      </c>
      <c r="K144" s="12" t="str">
        <f aca="false">IF(AND(AsOfDate&gt;=H144,AsOfDate&lt;=I144),"Yes","No")</f>
        <v>No</v>
      </c>
      <c r="L144" s="13" t="n">
        <f aca="false">NETWORKDAYS(H144,I144)</f>
        <v>210</v>
      </c>
      <c r="M144" s="16" t="n">
        <f aca="false">ROUND(L144*INDEX(Resources!$J$2:$J$500,MATCH(D144,Resources!$A$2:$A$500,0))/5*J144,1)</f>
        <v>1680</v>
      </c>
      <c r="N144" s="29" t="n">
        <f aca="false">INDEX(Resources!$H$2:$H$500,MATCH(D144,Resources!$A$2:$A$500,0))</f>
        <v>59.52</v>
      </c>
      <c r="O144" s="29" t="n">
        <f aca="false">INDEX(Resources!$I$2:$I$500,MATCH(D144,Resources!$A$2:$A$500,0))</f>
        <v>120</v>
      </c>
      <c r="P144" s="14" t="n">
        <f aca="false">M144*N144</f>
        <v>99993.6</v>
      </c>
      <c r="Q144" s="14" t="n">
        <f aca="false">IF(G144="Yes",M144*O144,0)</f>
        <v>201600</v>
      </c>
      <c r="R144" s="16" t="n">
        <f aca="false">SUMIFS(Actuals!$H$2:$H$6000,Actuals!$C$2:$C$6000,B144,Actuals!$E$2:$E$6000,D144)</f>
        <v>0</v>
      </c>
      <c r="S144" s="15" t="n">
        <f aca="false">IF(M144=0,0,R144/M144)</f>
        <v>0</v>
      </c>
    </row>
    <row r="145" customFormat="false" ht="15" hidden="false" customHeight="false" outlineLevel="0" collapsed="false">
      <c r="A145" s="18" t="s">
        <v>658</v>
      </c>
      <c r="B145" s="18" t="s">
        <v>294</v>
      </c>
      <c r="C145" s="21" t="str">
        <f aca="false">IFERROR(INDEX(Projects!$B$2:$B$500,MATCH(B145,Projects!$A$2:$A$500,0)),"")</f>
        <v>Municipal Asset Management</v>
      </c>
      <c r="D145" s="18" t="s">
        <v>439</v>
      </c>
      <c r="E145" s="21" t="str">
        <f aca="false">IFERROR(INDEX(Resources!$B$2:$B$500,MATCH(D145,Resources!$A$2:$A$500,0)),"")</f>
        <v>Victor Chen</v>
      </c>
      <c r="F145" s="18" t="s">
        <v>436</v>
      </c>
      <c r="G145" s="18" t="s">
        <v>513</v>
      </c>
      <c r="H145" s="19" t="n">
        <v>46528</v>
      </c>
      <c r="I145" s="19" t="n">
        <v>46689</v>
      </c>
      <c r="J145" s="24" t="n">
        <v>0.5</v>
      </c>
      <c r="K145" s="12" t="str">
        <f aca="false">IF(AND(AsOfDate&gt;=H145,AsOfDate&lt;=I145),"Yes","No")</f>
        <v>No</v>
      </c>
      <c r="L145" s="13" t="n">
        <f aca="false">NETWORKDAYS(H145,I145)</f>
        <v>116</v>
      </c>
      <c r="M145" s="16" t="n">
        <f aca="false">ROUND(L145*INDEX(Resources!$J$2:$J$500,MATCH(D145,Resources!$A$2:$A$500,0))/5*J145,1)</f>
        <v>464</v>
      </c>
      <c r="N145" s="29" t="n">
        <f aca="false">INDEX(Resources!$H$2:$H$500,MATCH(D145,Resources!$A$2:$A$500,0))</f>
        <v>81.2</v>
      </c>
      <c r="O145" s="29" t="n">
        <f aca="false">INDEX(Resources!$I$2:$I$500,MATCH(D145,Resources!$A$2:$A$500,0))</f>
        <v>135</v>
      </c>
      <c r="P145" s="14" t="n">
        <f aca="false">M145*N145</f>
        <v>37676.8</v>
      </c>
      <c r="Q145" s="14" t="n">
        <f aca="false">IF(G145="Yes",M145*O145,0)</f>
        <v>62640</v>
      </c>
      <c r="R145" s="16" t="n">
        <f aca="false">SUMIFS(Actuals!$H$2:$H$6000,Actuals!$C$2:$C$6000,B145,Actuals!$E$2:$E$6000,D145)</f>
        <v>0</v>
      </c>
      <c r="S145" s="15" t="n">
        <f aca="false">IF(M145=0,0,R145/M145)</f>
        <v>0</v>
      </c>
    </row>
    <row r="146" customFormat="false" ht="15" hidden="false" customHeight="false" outlineLevel="0" collapsed="false">
      <c r="A146" s="18" t="s">
        <v>659</v>
      </c>
      <c r="B146" s="18" t="s">
        <v>294</v>
      </c>
      <c r="C146" s="21" t="str">
        <f aca="false">IFERROR(INDEX(Projects!$B$2:$B$500,MATCH(B146,Projects!$A$2:$A$500,0)),"")</f>
        <v>Municipal Asset Management</v>
      </c>
      <c r="D146" s="18" t="s">
        <v>496</v>
      </c>
      <c r="E146" s="21" t="str">
        <f aca="false">IFERROR(INDEX(Resources!$B$2:$B$500,MATCH(D146,Resources!$A$2:$A$500,0)),"")</f>
        <v>Callum Dubois</v>
      </c>
      <c r="F146" s="18" t="s">
        <v>494</v>
      </c>
      <c r="G146" s="18" t="s">
        <v>513</v>
      </c>
      <c r="H146" s="19" t="n">
        <v>46528</v>
      </c>
      <c r="I146" s="19" t="n">
        <v>46689</v>
      </c>
      <c r="J146" s="24" t="n">
        <v>0.25</v>
      </c>
      <c r="K146" s="12" t="str">
        <f aca="false">IF(AND(AsOfDate&gt;=H146,AsOfDate&lt;=I146),"Yes","No")</f>
        <v>No</v>
      </c>
      <c r="L146" s="13" t="n">
        <f aca="false">NETWORKDAYS(H146,I146)</f>
        <v>116</v>
      </c>
      <c r="M146" s="16" t="n">
        <f aca="false">ROUND(L146*INDEX(Resources!$J$2:$J$500,MATCH(D146,Resources!$A$2:$A$500,0))/5*J146,1)</f>
        <v>185.6</v>
      </c>
      <c r="N146" s="29" t="n">
        <f aca="false">INDEX(Resources!$H$2:$H$500,MATCH(D146,Resources!$A$2:$A$500,0))</f>
        <v>77.76</v>
      </c>
      <c r="O146" s="29" t="n">
        <f aca="false">INDEX(Resources!$I$2:$I$500,MATCH(D146,Resources!$A$2:$A$500,0))</f>
        <v>160</v>
      </c>
      <c r="P146" s="14" t="n">
        <f aca="false">M146*N146</f>
        <v>14432.256</v>
      </c>
      <c r="Q146" s="14" t="n">
        <f aca="false">IF(G146="Yes",M146*O146,0)</f>
        <v>29696</v>
      </c>
      <c r="R146" s="16" t="n">
        <f aca="false">SUMIFS(Actuals!$H$2:$H$6000,Actuals!$C$2:$C$6000,B146,Actuals!$E$2:$E$6000,D146)</f>
        <v>0</v>
      </c>
      <c r="S146" s="15" t="n">
        <f aca="false">IF(M146=0,0,R146/M146)</f>
        <v>0</v>
      </c>
    </row>
  </sheetData>
  <dataValidations count="2">
    <dataValidation allowBlank="true" error="Pick a value from the list." errorStyle="stop" errorTitle="Invalid value" operator="between" showDropDown="false" showErrorMessage="true" showInputMessage="false" sqref="G2:G1146" type="list">
      <formula1>"Yes,No"</formula1>
      <formula2>0</formula2>
    </dataValidation>
    <dataValidation allowBlank="false" error="Enter a fraction between 0 and 1.5 (0.5 = 50%)." errorStyle="stop" operator="between" showDropDown="false" showErrorMessage="true" showInputMessage="false" sqref="J2:J1146" type="decimal">
      <formula1>0</formula1>
      <formula2>1.5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Q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11" min="8" style="0" width="10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20" t="s">
        <v>660</v>
      </c>
      <c r="B1" s="20" t="s">
        <v>41</v>
      </c>
      <c r="C1" s="20" t="s">
        <v>661</v>
      </c>
      <c r="D1" s="20" t="s">
        <v>662</v>
      </c>
      <c r="E1" s="20" t="s">
        <v>663</v>
      </c>
      <c r="F1" s="20" t="s">
        <v>154</v>
      </c>
      <c r="G1" s="20" t="s">
        <v>664</v>
      </c>
      <c r="H1" s="20" t="s">
        <v>665</v>
      </c>
      <c r="I1" s="20" t="s">
        <v>666</v>
      </c>
      <c r="J1" s="20" t="s">
        <v>667</v>
      </c>
      <c r="K1" s="20" t="s">
        <v>668</v>
      </c>
      <c r="L1" s="20" t="s">
        <v>669</v>
      </c>
      <c r="M1" s="20" t="s">
        <v>670</v>
      </c>
      <c r="N1" s="20" t="s">
        <v>671</v>
      </c>
      <c r="O1" s="20" t="s">
        <v>672</v>
      </c>
      <c r="P1" s="20" t="s">
        <v>673</v>
      </c>
      <c r="Q1" s="20" t="s">
        <v>674</v>
      </c>
    </row>
    <row r="2" customFormat="false" ht="15" hidden="false" customHeight="false" outlineLevel="0" collapsed="false">
      <c r="A2" s="18" t="s">
        <v>675</v>
      </c>
      <c r="B2" s="18" t="s">
        <v>197</v>
      </c>
      <c r="C2" s="18" t="s">
        <v>676</v>
      </c>
      <c r="D2" s="18" t="s">
        <v>513</v>
      </c>
      <c r="E2" s="18" t="s">
        <v>677</v>
      </c>
      <c r="F2" s="18" t="s">
        <v>678</v>
      </c>
      <c r="G2" s="18" t="s">
        <v>679</v>
      </c>
      <c r="H2" s="22" t="n">
        <v>624</v>
      </c>
      <c r="I2" s="28" t="n">
        <v>87.23</v>
      </c>
      <c r="J2" s="18" t="s">
        <v>680</v>
      </c>
      <c r="K2" s="18" t="s">
        <v>201</v>
      </c>
      <c r="L2" s="19" t="n">
        <v>45929</v>
      </c>
      <c r="M2" s="21" t="str">
        <f aca="false">IFERROR(INDEX(Resources!$B$2:$B$500,MATCH(K2,Resources!$A$2:$A$500,0)),"")</f>
        <v>Aisha Tremblay</v>
      </c>
      <c r="N2" s="15" t="n">
        <f aca="false">IF(J2="High",Contingency_High,IF(J2="Medium",Contingency_Medium,Contingency_Low))</f>
        <v>0.05</v>
      </c>
      <c r="O2" s="14" t="n">
        <f aca="false">H2*I2</f>
        <v>54431.52</v>
      </c>
      <c r="P2" s="14" t="n">
        <f aca="false">O2*N2</f>
        <v>2721.576</v>
      </c>
      <c r="Q2" s="14" t="n">
        <f aca="false">O2+P2</f>
        <v>57153.096</v>
      </c>
    </row>
    <row r="3" customFormat="false" ht="15" hidden="false" customHeight="false" outlineLevel="0" collapsed="false">
      <c r="A3" s="18" t="s">
        <v>681</v>
      </c>
      <c r="B3" s="18" t="s">
        <v>197</v>
      </c>
      <c r="C3" s="18" t="s">
        <v>676</v>
      </c>
      <c r="D3" s="18" t="s">
        <v>513</v>
      </c>
      <c r="E3" s="18" t="s">
        <v>682</v>
      </c>
      <c r="F3" s="18" t="s">
        <v>382</v>
      </c>
      <c r="G3" s="18" t="s">
        <v>683</v>
      </c>
      <c r="H3" s="22" t="n">
        <v>1164</v>
      </c>
      <c r="I3" s="28" t="n">
        <v>87.23</v>
      </c>
      <c r="J3" s="18" t="s">
        <v>680</v>
      </c>
      <c r="K3" s="18" t="s">
        <v>201</v>
      </c>
      <c r="L3" s="19" t="n">
        <v>45929</v>
      </c>
      <c r="M3" s="21" t="str">
        <f aca="false">IFERROR(INDEX(Resources!$B$2:$B$500,MATCH(K3,Resources!$A$2:$A$500,0)),"")</f>
        <v>Aisha Tremblay</v>
      </c>
      <c r="N3" s="15" t="n">
        <f aca="false">IF(J3="High",Contingency_High,IF(J3="Medium",Contingency_Medium,Contingency_Low))</f>
        <v>0.05</v>
      </c>
      <c r="O3" s="14" t="n">
        <f aca="false">H3*I3</f>
        <v>101535.72</v>
      </c>
      <c r="P3" s="14" t="n">
        <f aca="false">O3*N3</f>
        <v>5076.786</v>
      </c>
      <c r="Q3" s="14" t="n">
        <f aca="false">O3+P3</f>
        <v>106612.506</v>
      </c>
    </row>
    <row r="4" customFormat="false" ht="15" hidden="false" customHeight="false" outlineLevel="0" collapsed="false">
      <c r="A4" s="18" t="s">
        <v>684</v>
      </c>
      <c r="B4" s="18" t="s">
        <v>197</v>
      </c>
      <c r="C4" s="18" t="s">
        <v>676</v>
      </c>
      <c r="D4" s="18" t="s">
        <v>513</v>
      </c>
      <c r="E4" s="18" t="s">
        <v>685</v>
      </c>
      <c r="F4" s="18" t="s">
        <v>686</v>
      </c>
      <c r="G4" s="18" t="s">
        <v>327</v>
      </c>
      <c r="H4" s="22" t="n">
        <v>2968</v>
      </c>
      <c r="I4" s="28" t="n">
        <v>87.23</v>
      </c>
      <c r="J4" s="18" t="s">
        <v>687</v>
      </c>
      <c r="K4" s="18" t="s">
        <v>201</v>
      </c>
      <c r="L4" s="19" t="n">
        <v>45929</v>
      </c>
      <c r="M4" s="21" t="str">
        <f aca="false">IFERROR(INDEX(Resources!$B$2:$B$500,MATCH(K4,Resources!$A$2:$A$500,0)),"")</f>
        <v>Aisha Tremblay</v>
      </c>
      <c r="N4" s="15" t="n">
        <f aca="false">IF(J4="High",Contingency_High,IF(J4="Medium",Contingency_Medium,Contingency_Low))</f>
        <v>0.1</v>
      </c>
      <c r="O4" s="14" t="n">
        <f aca="false">H4*I4</f>
        <v>258898.64</v>
      </c>
      <c r="P4" s="14" t="n">
        <f aca="false">O4*N4</f>
        <v>25889.864</v>
      </c>
      <c r="Q4" s="14" t="n">
        <f aca="false">O4+P4</f>
        <v>284788.504</v>
      </c>
    </row>
    <row r="5" customFormat="false" ht="15" hidden="false" customHeight="false" outlineLevel="0" collapsed="false">
      <c r="A5" s="18" t="s">
        <v>688</v>
      </c>
      <c r="B5" s="18" t="s">
        <v>197</v>
      </c>
      <c r="C5" s="18" t="s">
        <v>676</v>
      </c>
      <c r="D5" s="18" t="s">
        <v>513</v>
      </c>
      <c r="E5" s="18" t="s">
        <v>689</v>
      </c>
      <c r="F5" s="18" t="s">
        <v>690</v>
      </c>
      <c r="G5" s="18" t="s">
        <v>691</v>
      </c>
      <c r="H5" s="22" t="n">
        <v>1265</v>
      </c>
      <c r="I5" s="28" t="n">
        <v>87.23</v>
      </c>
      <c r="J5" s="18" t="s">
        <v>680</v>
      </c>
      <c r="K5" s="18" t="s">
        <v>201</v>
      </c>
      <c r="L5" s="19" t="n">
        <v>45929</v>
      </c>
      <c r="M5" s="21" t="str">
        <f aca="false">IFERROR(INDEX(Resources!$B$2:$B$500,MATCH(K5,Resources!$A$2:$A$500,0)),"")</f>
        <v>Aisha Tremblay</v>
      </c>
      <c r="N5" s="15" t="n">
        <f aca="false">IF(J5="High",Contingency_High,IF(J5="Medium",Contingency_Medium,Contingency_Low))</f>
        <v>0.05</v>
      </c>
      <c r="O5" s="14" t="n">
        <f aca="false">H5*I5</f>
        <v>110345.95</v>
      </c>
      <c r="P5" s="14" t="n">
        <f aca="false">O5*N5</f>
        <v>5517.2975</v>
      </c>
      <c r="Q5" s="14" t="n">
        <f aca="false">O5+P5</f>
        <v>115863.2475</v>
      </c>
    </row>
    <row r="6" customFormat="false" ht="15" hidden="false" customHeight="false" outlineLevel="0" collapsed="false">
      <c r="A6" s="18" t="s">
        <v>692</v>
      </c>
      <c r="B6" s="18" t="s">
        <v>197</v>
      </c>
      <c r="C6" s="18" t="s">
        <v>676</v>
      </c>
      <c r="D6" s="18" t="s">
        <v>513</v>
      </c>
      <c r="E6" s="18" t="s">
        <v>693</v>
      </c>
      <c r="F6" s="18" t="s">
        <v>694</v>
      </c>
      <c r="G6" s="18" t="s">
        <v>695</v>
      </c>
      <c r="H6" s="22" t="n">
        <v>665</v>
      </c>
      <c r="I6" s="28" t="n">
        <v>87.23</v>
      </c>
      <c r="J6" s="18" t="s">
        <v>680</v>
      </c>
      <c r="K6" s="18" t="s">
        <v>201</v>
      </c>
      <c r="L6" s="19" t="n">
        <v>45929</v>
      </c>
      <c r="M6" s="21" t="str">
        <f aca="false">IFERROR(INDEX(Resources!$B$2:$B$500,MATCH(K6,Resources!$A$2:$A$500,0)),"")</f>
        <v>Aisha Tremblay</v>
      </c>
      <c r="N6" s="15" t="n">
        <f aca="false">IF(J6="High",Contingency_High,IF(J6="Medium",Contingency_Medium,Contingency_Low))</f>
        <v>0.05</v>
      </c>
      <c r="O6" s="14" t="n">
        <f aca="false">H6*I6</f>
        <v>58007.95</v>
      </c>
      <c r="P6" s="14" t="n">
        <f aca="false">O6*N6</f>
        <v>2900.3975</v>
      </c>
      <c r="Q6" s="14" t="n">
        <f aca="false">O6+P6</f>
        <v>60908.3475</v>
      </c>
    </row>
    <row r="7" customFormat="false" ht="15" hidden="false" customHeight="false" outlineLevel="0" collapsed="false">
      <c r="A7" s="18" t="s">
        <v>696</v>
      </c>
      <c r="B7" s="18" t="s">
        <v>207</v>
      </c>
      <c r="C7" s="18" t="s">
        <v>676</v>
      </c>
      <c r="D7" s="18" t="s">
        <v>527</v>
      </c>
      <c r="E7" s="18" t="s">
        <v>677</v>
      </c>
      <c r="F7" s="18" t="s">
        <v>678</v>
      </c>
      <c r="G7" s="18" t="s">
        <v>679</v>
      </c>
      <c r="H7" s="22" t="n">
        <v>492</v>
      </c>
      <c r="I7" s="28" t="n">
        <v>78.77</v>
      </c>
      <c r="J7" s="18" t="s">
        <v>697</v>
      </c>
      <c r="K7" s="18" t="s">
        <v>211</v>
      </c>
      <c r="L7" s="19" t="n">
        <v>45992</v>
      </c>
      <c r="M7" s="21" t="str">
        <f aca="false">IFERROR(INDEX(Resources!$B$2:$B$500,MATCH(K7,Resources!$A$2:$A$500,0)),"")</f>
        <v>Liam Roy</v>
      </c>
      <c r="N7" s="15" t="n">
        <f aca="false">IF(J7="High",Contingency_High,IF(J7="Medium",Contingency_Medium,Contingency_Low))</f>
        <v>0.15</v>
      </c>
      <c r="O7" s="14" t="n">
        <f aca="false">H7*I7</f>
        <v>38754.84</v>
      </c>
      <c r="P7" s="14" t="n">
        <f aca="false">O7*N7</f>
        <v>5813.226</v>
      </c>
      <c r="Q7" s="14" t="n">
        <f aca="false">O7+P7</f>
        <v>44568.066</v>
      </c>
    </row>
    <row r="8" customFormat="false" ht="15" hidden="false" customHeight="false" outlineLevel="0" collapsed="false">
      <c r="A8" s="18" t="s">
        <v>698</v>
      </c>
      <c r="B8" s="18" t="s">
        <v>207</v>
      </c>
      <c r="C8" s="18" t="s">
        <v>676</v>
      </c>
      <c r="D8" s="18" t="s">
        <v>527</v>
      </c>
      <c r="E8" s="18" t="s">
        <v>682</v>
      </c>
      <c r="F8" s="18" t="s">
        <v>382</v>
      </c>
      <c r="G8" s="18" t="s">
        <v>683</v>
      </c>
      <c r="H8" s="22" t="n">
        <v>776</v>
      </c>
      <c r="I8" s="28" t="n">
        <v>78.77</v>
      </c>
      <c r="J8" s="18" t="s">
        <v>697</v>
      </c>
      <c r="K8" s="18" t="s">
        <v>211</v>
      </c>
      <c r="L8" s="19" t="n">
        <v>45992</v>
      </c>
      <c r="M8" s="21" t="str">
        <f aca="false">IFERROR(INDEX(Resources!$B$2:$B$500,MATCH(K8,Resources!$A$2:$A$500,0)),"")</f>
        <v>Liam Roy</v>
      </c>
      <c r="N8" s="15" t="n">
        <f aca="false">IF(J8="High",Contingency_High,IF(J8="Medium",Contingency_Medium,Contingency_Low))</f>
        <v>0.15</v>
      </c>
      <c r="O8" s="14" t="n">
        <f aca="false">H8*I8</f>
        <v>61125.52</v>
      </c>
      <c r="P8" s="14" t="n">
        <f aca="false">O8*N8</f>
        <v>9168.828</v>
      </c>
      <c r="Q8" s="14" t="n">
        <f aca="false">O8+P8</f>
        <v>70294.348</v>
      </c>
    </row>
    <row r="9" customFormat="false" ht="15" hidden="false" customHeight="false" outlineLevel="0" collapsed="false">
      <c r="A9" s="18" t="s">
        <v>699</v>
      </c>
      <c r="B9" s="18" t="s">
        <v>207</v>
      </c>
      <c r="C9" s="18" t="s">
        <v>676</v>
      </c>
      <c r="D9" s="18" t="s">
        <v>527</v>
      </c>
      <c r="E9" s="18" t="s">
        <v>685</v>
      </c>
      <c r="F9" s="18" t="s">
        <v>686</v>
      </c>
      <c r="G9" s="18" t="s">
        <v>327</v>
      </c>
      <c r="H9" s="22" t="n">
        <v>1906</v>
      </c>
      <c r="I9" s="28" t="n">
        <v>78.77</v>
      </c>
      <c r="J9" s="18" t="s">
        <v>697</v>
      </c>
      <c r="K9" s="18" t="s">
        <v>211</v>
      </c>
      <c r="L9" s="19" t="n">
        <v>45992</v>
      </c>
      <c r="M9" s="21" t="str">
        <f aca="false">IFERROR(INDEX(Resources!$B$2:$B$500,MATCH(K9,Resources!$A$2:$A$500,0)),"")</f>
        <v>Liam Roy</v>
      </c>
      <c r="N9" s="15" t="n">
        <f aca="false">IF(J9="High",Contingency_High,IF(J9="Medium",Contingency_Medium,Contingency_Low))</f>
        <v>0.15</v>
      </c>
      <c r="O9" s="14" t="n">
        <f aca="false">H9*I9</f>
        <v>150135.62</v>
      </c>
      <c r="P9" s="14" t="n">
        <f aca="false">O9*N9</f>
        <v>22520.343</v>
      </c>
      <c r="Q9" s="14" t="n">
        <f aca="false">O9+P9</f>
        <v>172655.963</v>
      </c>
    </row>
    <row r="10" customFormat="false" ht="15" hidden="false" customHeight="false" outlineLevel="0" collapsed="false">
      <c r="A10" s="18" t="s">
        <v>700</v>
      </c>
      <c r="B10" s="18" t="s">
        <v>207</v>
      </c>
      <c r="C10" s="18" t="s">
        <v>676</v>
      </c>
      <c r="D10" s="18" t="s">
        <v>527</v>
      </c>
      <c r="E10" s="18" t="s">
        <v>689</v>
      </c>
      <c r="F10" s="18" t="s">
        <v>690</v>
      </c>
      <c r="G10" s="18" t="s">
        <v>691</v>
      </c>
      <c r="H10" s="22" t="n">
        <v>850</v>
      </c>
      <c r="I10" s="28" t="n">
        <v>78.77</v>
      </c>
      <c r="J10" s="18" t="s">
        <v>697</v>
      </c>
      <c r="K10" s="18" t="s">
        <v>211</v>
      </c>
      <c r="L10" s="19" t="n">
        <v>45992</v>
      </c>
      <c r="M10" s="21" t="str">
        <f aca="false">IFERROR(INDEX(Resources!$B$2:$B$500,MATCH(K10,Resources!$A$2:$A$500,0)),"")</f>
        <v>Liam Roy</v>
      </c>
      <c r="N10" s="15" t="n">
        <f aca="false">IF(J10="High",Contingency_High,IF(J10="Medium",Contingency_Medium,Contingency_Low))</f>
        <v>0.15</v>
      </c>
      <c r="O10" s="14" t="n">
        <f aca="false">H10*I10</f>
        <v>66954.5</v>
      </c>
      <c r="P10" s="14" t="n">
        <f aca="false">O10*N10</f>
        <v>10043.175</v>
      </c>
      <c r="Q10" s="14" t="n">
        <f aca="false">O10+P10</f>
        <v>76997.675</v>
      </c>
    </row>
    <row r="11" customFormat="false" ht="15" hidden="false" customHeight="false" outlineLevel="0" collapsed="false">
      <c r="A11" s="18" t="s">
        <v>701</v>
      </c>
      <c r="B11" s="18" t="s">
        <v>207</v>
      </c>
      <c r="C11" s="18" t="s">
        <v>676</v>
      </c>
      <c r="D11" s="18" t="s">
        <v>527</v>
      </c>
      <c r="E11" s="18" t="s">
        <v>693</v>
      </c>
      <c r="F11" s="18" t="s">
        <v>694</v>
      </c>
      <c r="G11" s="18" t="s">
        <v>695</v>
      </c>
      <c r="H11" s="22" t="n">
        <v>436</v>
      </c>
      <c r="I11" s="28" t="n">
        <v>78.77</v>
      </c>
      <c r="J11" s="18" t="s">
        <v>697</v>
      </c>
      <c r="K11" s="18" t="s">
        <v>211</v>
      </c>
      <c r="L11" s="19" t="n">
        <v>45992</v>
      </c>
      <c r="M11" s="21" t="str">
        <f aca="false">IFERROR(INDEX(Resources!$B$2:$B$500,MATCH(K11,Resources!$A$2:$A$500,0)),"")</f>
        <v>Liam Roy</v>
      </c>
      <c r="N11" s="15" t="n">
        <f aca="false">IF(J11="High",Contingency_High,IF(J11="Medium",Contingency_Medium,Contingency_Low))</f>
        <v>0.15</v>
      </c>
      <c r="O11" s="14" t="n">
        <f aca="false">H11*I11</f>
        <v>34343.72</v>
      </c>
      <c r="P11" s="14" t="n">
        <f aca="false">O11*N11</f>
        <v>5151.558</v>
      </c>
      <c r="Q11" s="14" t="n">
        <f aca="false">O11+P11</f>
        <v>39495.278</v>
      </c>
    </row>
    <row r="12" customFormat="false" ht="15" hidden="false" customHeight="false" outlineLevel="0" collapsed="false">
      <c r="A12" s="18" t="s">
        <v>702</v>
      </c>
      <c r="B12" s="18" t="s">
        <v>207</v>
      </c>
      <c r="C12" s="18" t="s">
        <v>703</v>
      </c>
      <c r="D12" s="18" t="s">
        <v>513</v>
      </c>
      <c r="E12" s="18" t="s">
        <v>677</v>
      </c>
      <c r="F12" s="18" t="s">
        <v>678</v>
      </c>
      <c r="G12" s="18" t="s">
        <v>679</v>
      </c>
      <c r="H12" s="22" t="n">
        <v>583</v>
      </c>
      <c r="I12" s="28" t="n">
        <v>80.35</v>
      </c>
      <c r="J12" s="18" t="s">
        <v>687</v>
      </c>
      <c r="K12" s="18" t="s">
        <v>211</v>
      </c>
      <c r="L12" s="19" t="n">
        <v>46218</v>
      </c>
      <c r="M12" s="21" t="str">
        <f aca="false">IFERROR(INDEX(Resources!$B$2:$B$500,MATCH(K12,Resources!$A$2:$A$500,0)),"")</f>
        <v>Liam Roy</v>
      </c>
      <c r="N12" s="15" t="n">
        <f aca="false">IF(J12="High",Contingency_High,IF(J12="Medium",Contingency_Medium,Contingency_Low))</f>
        <v>0.1</v>
      </c>
      <c r="O12" s="14" t="n">
        <f aca="false">H12*I12</f>
        <v>46844.05</v>
      </c>
      <c r="P12" s="14" t="n">
        <f aca="false">O12*N12</f>
        <v>4684.405</v>
      </c>
      <c r="Q12" s="14" t="n">
        <f aca="false">O12+P12</f>
        <v>51528.455</v>
      </c>
    </row>
    <row r="13" customFormat="false" ht="15" hidden="false" customHeight="false" outlineLevel="0" collapsed="false">
      <c r="A13" s="18" t="s">
        <v>704</v>
      </c>
      <c r="B13" s="18" t="s">
        <v>207</v>
      </c>
      <c r="C13" s="18" t="s">
        <v>703</v>
      </c>
      <c r="D13" s="18" t="s">
        <v>513</v>
      </c>
      <c r="E13" s="18" t="s">
        <v>682</v>
      </c>
      <c r="F13" s="18" t="s">
        <v>382</v>
      </c>
      <c r="G13" s="18" t="s">
        <v>683</v>
      </c>
      <c r="H13" s="22" t="n">
        <v>1062</v>
      </c>
      <c r="I13" s="28" t="n">
        <v>80.35</v>
      </c>
      <c r="J13" s="18" t="s">
        <v>687</v>
      </c>
      <c r="K13" s="18" t="s">
        <v>211</v>
      </c>
      <c r="L13" s="19" t="n">
        <v>46218</v>
      </c>
      <c r="M13" s="21" t="str">
        <f aca="false">IFERROR(INDEX(Resources!$B$2:$B$500,MATCH(K13,Resources!$A$2:$A$500,0)),"")</f>
        <v>Liam Roy</v>
      </c>
      <c r="N13" s="15" t="n">
        <f aca="false">IF(J13="High",Contingency_High,IF(J13="Medium",Contingency_Medium,Contingency_Low))</f>
        <v>0.1</v>
      </c>
      <c r="O13" s="14" t="n">
        <f aca="false">H13*I13</f>
        <v>85331.7</v>
      </c>
      <c r="P13" s="14" t="n">
        <f aca="false">O13*N13</f>
        <v>8533.17</v>
      </c>
      <c r="Q13" s="14" t="n">
        <f aca="false">O13+P13</f>
        <v>93864.87</v>
      </c>
    </row>
    <row r="14" customFormat="false" ht="15" hidden="false" customHeight="false" outlineLevel="0" collapsed="false">
      <c r="A14" s="18" t="s">
        <v>705</v>
      </c>
      <c r="B14" s="18" t="s">
        <v>207</v>
      </c>
      <c r="C14" s="18" t="s">
        <v>703</v>
      </c>
      <c r="D14" s="18" t="s">
        <v>513</v>
      </c>
      <c r="E14" s="18" t="s">
        <v>685</v>
      </c>
      <c r="F14" s="18" t="s">
        <v>686</v>
      </c>
      <c r="G14" s="18" t="s">
        <v>327</v>
      </c>
      <c r="H14" s="22" t="n">
        <v>3198</v>
      </c>
      <c r="I14" s="28" t="n">
        <v>80.35</v>
      </c>
      <c r="J14" s="18" t="s">
        <v>697</v>
      </c>
      <c r="K14" s="18" t="s">
        <v>211</v>
      </c>
      <c r="L14" s="19" t="n">
        <v>46218</v>
      </c>
      <c r="M14" s="21" t="str">
        <f aca="false">IFERROR(INDEX(Resources!$B$2:$B$500,MATCH(K14,Resources!$A$2:$A$500,0)),"")</f>
        <v>Liam Roy</v>
      </c>
      <c r="N14" s="15" t="n">
        <f aca="false">IF(J14="High",Contingency_High,IF(J14="Medium",Contingency_Medium,Contingency_Low))</f>
        <v>0.15</v>
      </c>
      <c r="O14" s="14" t="n">
        <f aca="false">H14*I14</f>
        <v>256959.3</v>
      </c>
      <c r="P14" s="14" t="n">
        <f aca="false">O14*N14</f>
        <v>38543.895</v>
      </c>
      <c r="Q14" s="14" t="n">
        <f aca="false">O14+P14</f>
        <v>295503.195</v>
      </c>
    </row>
    <row r="15" customFormat="false" ht="15" hidden="false" customHeight="false" outlineLevel="0" collapsed="false">
      <c r="A15" s="18" t="s">
        <v>706</v>
      </c>
      <c r="B15" s="18" t="s">
        <v>207</v>
      </c>
      <c r="C15" s="18" t="s">
        <v>703</v>
      </c>
      <c r="D15" s="18" t="s">
        <v>513</v>
      </c>
      <c r="E15" s="18" t="s">
        <v>689</v>
      </c>
      <c r="F15" s="18" t="s">
        <v>690</v>
      </c>
      <c r="G15" s="18" t="s">
        <v>691</v>
      </c>
      <c r="H15" s="22" t="n">
        <v>1531</v>
      </c>
      <c r="I15" s="28" t="n">
        <v>80.35</v>
      </c>
      <c r="J15" s="18" t="s">
        <v>697</v>
      </c>
      <c r="K15" s="18" t="s">
        <v>211</v>
      </c>
      <c r="L15" s="19" t="n">
        <v>46218</v>
      </c>
      <c r="M15" s="21" t="str">
        <f aca="false">IFERROR(INDEX(Resources!$B$2:$B$500,MATCH(K15,Resources!$A$2:$A$500,0)),"")</f>
        <v>Liam Roy</v>
      </c>
      <c r="N15" s="15" t="n">
        <f aca="false">IF(J15="High",Contingency_High,IF(J15="Medium",Contingency_Medium,Contingency_Low))</f>
        <v>0.15</v>
      </c>
      <c r="O15" s="14" t="n">
        <f aca="false">H15*I15</f>
        <v>123015.85</v>
      </c>
      <c r="P15" s="14" t="n">
        <f aca="false">O15*N15</f>
        <v>18452.3775</v>
      </c>
      <c r="Q15" s="14" t="n">
        <f aca="false">O15+P15</f>
        <v>141468.2275</v>
      </c>
    </row>
    <row r="16" customFormat="false" ht="15" hidden="false" customHeight="false" outlineLevel="0" collapsed="false">
      <c r="A16" s="18" t="s">
        <v>707</v>
      </c>
      <c r="B16" s="18" t="s">
        <v>207</v>
      </c>
      <c r="C16" s="18" t="s">
        <v>703</v>
      </c>
      <c r="D16" s="18" t="s">
        <v>513</v>
      </c>
      <c r="E16" s="18" t="s">
        <v>693</v>
      </c>
      <c r="F16" s="18" t="s">
        <v>694</v>
      </c>
      <c r="G16" s="18" t="s">
        <v>695</v>
      </c>
      <c r="H16" s="22" t="n">
        <v>758</v>
      </c>
      <c r="I16" s="28" t="n">
        <v>80.35</v>
      </c>
      <c r="J16" s="18" t="s">
        <v>697</v>
      </c>
      <c r="K16" s="18" t="s">
        <v>211</v>
      </c>
      <c r="L16" s="19" t="n">
        <v>46218</v>
      </c>
      <c r="M16" s="21" t="str">
        <f aca="false">IFERROR(INDEX(Resources!$B$2:$B$500,MATCH(K16,Resources!$A$2:$A$500,0)),"")</f>
        <v>Liam Roy</v>
      </c>
      <c r="N16" s="15" t="n">
        <f aca="false">IF(J16="High",Contingency_High,IF(J16="Medium",Contingency_Medium,Contingency_Low))</f>
        <v>0.15</v>
      </c>
      <c r="O16" s="14" t="n">
        <f aca="false">H16*I16</f>
        <v>60905.3</v>
      </c>
      <c r="P16" s="14" t="n">
        <f aca="false">O16*N16</f>
        <v>9135.795</v>
      </c>
      <c r="Q16" s="14" t="n">
        <f aca="false">O16+P16</f>
        <v>70041.095</v>
      </c>
    </row>
    <row r="17" customFormat="false" ht="15" hidden="false" customHeight="false" outlineLevel="0" collapsed="false">
      <c r="A17" s="18" t="s">
        <v>708</v>
      </c>
      <c r="B17" s="18" t="s">
        <v>215</v>
      </c>
      <c r="C17" s="18" t="s">
        <v>676</v>
      </c>
      <c r="D17" s="18" t="s">
        <v>527</v>
      </c>
      <c r="E17" s="18" t="s">
        <v>677</v>
      </c>
      <c r="F17" s="18" t="s">
        <v>678</v>
      </c>
      <c r="G17" s="18" t="s">
        <v>679</v>
      </c>
      <c r="H17" s="22" t="n">
        <v>657</v>
      </c>
      <c r="I17" s="28" t="n">
        <v>90.69</v>
      </c>
      <c r="J17" s="18" t="s">
        <v>697</v>
      </c>
      <c r="K17" s="18" t="s">
        <v>218</v>
      </c>
      <c r="L17" s="19" t="n">
        <v>45872</v>
      </c>
      <c r="M17" s="21" t="str">
        <f aca="false">IFERROR(INDEX(Resources!$B$2:$B$500,MATCH(K17,Resources!$A$2:$A$500,0)),"")</f>
        <v>Mei Fraser</v>
      </c>
      <c r="N17" s="15" t="n">
        <f aca="false">IF(J17="High",Contingency_High,IF(J17="Medium",Contingency_Medium,Contingency_Low))</f>
        <v>0.15</v>
      </c>
      <c r="O17" s="14" t="n">
        <f aca="false">H17*I17</f>
        <v>59583.33</v>
      </c>
      <c r="P17" s="14" t="n">
        <f aca="false">O17*N17</f>
        <v>8937.4995</v>
      </c>
      <c r="Q17" s="14" t="n">
        <f aca="false">O17+P17</f>
        <v>68520.8295</v>
      </c>
    </row>
    <row r="18" customFormat="false" ht="15" hidden="false" customHeight="false" outlineLevel="0" collapsed="false">
      <c r="A18" s="18" t="s">
        <v>709</v>
      </c>
      <c r="B18" s="18" t="s">
        <v>215</v>
      </c>
      <c r="C18" s="18" t="s">
        <v>676</v>
      </c>
      <c r="D18" s="18" t="s">
        <v>527</v>
      </c>
      <c r="E18" s="18" t="s">
        <v>682</v>
      </c>
      <c r="F18" s="18" t="s">
        <v>382</v>
      </c>
      <c r="G18" s="18" t="s">
        <v>683</v>
      </c>
      <c r="H18" s="22" t="n">
        <v>1130</v>
      </c>
      <c r="I18" s="28" t="n">
        <v>90.69</v>
      </c>
      <c r="J18" s="18" t="s">
        <v>697</v>
      </c>
      <c r="K18" s="18" t="s">
        <v>218</v>
      </c>
      <c r="L18" s="19" t="n">
        <v>45872</v>
      </c>
      <c r="M18" s="21" t="str">
        <f aca="false">IFERROR(INDEX(Resources!$B$2:$B$500,MATCH(K18,Resources!$A$2:$A$500,0)),"")</f>
        <v>Mei Fraser</v>
      </c>
      <c r="N18" s="15" t="n">
        <f aca="false">IF(J18="High",Contingency_High,IF(J18="Medium",Contingency_Medium,Contingency_Low))</f>
        <v>0.15</v>
      </c>
      <c r="O18" s="14" t="n">
        <f aca="false">H18*I18</f>
        <v>102479.7</v>
      </c>
      <c r="P18" s="14" t="n">
        <f aca="false">O18*N18</f>
        <v>15371.955</v>
      </c>
      <c r="Q18" s="14" t="n">
        <f aca="false">O18+P18</f>
        <v>117851.655</v>
      </c>
    </row>
    <row r="19" customFormat="false" ht="15" hidden="false" customHeight="false" outlineLevel="0" collapsed="false">
      <c r="A19" s="18" t="s">
        <v>710</v>
      </c>
      <c r="B19" s="18" t="s">
        <v>215</v>
      </c>
      <c r="C19" s="18" t="s">
        <v>676</v>
      </c>
      <c r="D19" s="18" t="s">
        <v>527</v>
      </c>
      <c r="E19" s="18" t="s">
        <v>685</v>
      </c>
      <c r="F19" s="18" t="s">
        <v>686</v>
      </c>
      <c r="G19" s="18" t="s">
        <v>327</v>
      </c>
      <c r="H19" s="22" t="n">
        <v>2711</v>
      </c>
      <c r="I19" s="28" t="n">
        <v>90.69</v>
      </c>
      <c r="J19" s="18" t="s">
        <v>697</v>
      </c>
      <c r="K19" s="18" t="s">
        <v>218</v>
      </c>
      <c r="L19" s="19" t="n">
        <v>45872</v>
      </c>
      <c r="M19" s="21" t="str">
        <f aca="false">IFERROR(INDEX(Resources!$B$2:$B$500,MATCH(K19,Resources!$A$2:$A$500,0)),"")</f>
        <v>Mei Fraser</v>
      </c>
      <c r="N19" s="15" t="n">
        <f aca="false">IF(J19="High",Contingency_High,IF(J19="Medium",Contingency_Medium,Contingency_Low))</f>
        <v>0.15</v>
      </c>
      <c r="O19" s="14" t="n">
        <f aca="false">H19*I19</f>
        <v>245860.59</v>
      </c>
      <c r="P19" s="14" t="n">
        <f aca="false">O19*N19</f>
        <v>36879.0885</v>
      </c>
      <c r="Q19" s="14" t="n">
        <f aca="false">O19+P19</f>
        <v>282739.6785</v>
      </c>
    </row>
    <row r="20" customFormat="false" ht="15" hidden="false" customHeight="false" outlineLevel="0" collapsed="false">
      <c r="A20" s="18" t="s">
        <v>711</v>
      </c>
      <c r="B20" s="18" t="s">
        <v>215</v>
      </c>
      <c r="C20" s="18" t="s">
        <v>676</v>
      </c>
      <c r="D20" s="18" t="s">
        <v>527</v>
      </c>
      <c r="E20" s="18" t="s">
        <v>689</v>
      </c>
      <c r="F20" s="18" t="s">
        <v>690</v>
      </c>
      <c r="G20" s="18" t="s">
        <v>691</v>
      </c>
      <c r="H20" s="22" t="n">
        <v>1218</v>
      </c>
      <c r="I20" s="28" t="n">
        <v>90.69</v>
      </c>
      <c r="J20" s="18" t="s">
        <v>697</v>
      </c>
      <c r="K20" s="18" t="s">
        <v>218</v>
      </c>
      <c r="L20" s="19" t="n">
        <v>45872</v>
      </c>
      <c r="M20" s="21" t="str">
        <f aca="false">IFERROR(INDEX(Resources!$B$2:$B$500,MATCH(K20,Resources!$A$2:$A$500,0)),"")</f>
        <v>Mei Fraser</v>
      </c>
      <c r="N20" s="15" t="n">
        <f aca="false">IF(J20="High",Contingency_High,IF(J20="Medium",Contingency_Medium,Contingency_Low))</f>
        <v>0.15</v>
      </c>
      <c r="O20" s="14" t="n">
        <f aca="false">H20*I20</f>
        <v>110460.42</v>
      </c>
      <c r="P20" s="14" t="n">
        <f aca="false">O20*N20</f>
        <v>16569.063</v>
      </c>
      <c r="Q20" s="14" t="n">
        <f aca="false">O20+P20</f>
        <v>127029.483</v>
      </c>
    </row>
    <row r="21" customFormat="false" ht="15" hidden="false" customHeight="false" outlineLevel="0" collapsed="false">
      <c r="A21" s="18" t="s">
        <v>712</v>
      </c>
      <c r="B21" s="18" t="s">
        <v>215</v>
      </c>
      <c r="C21" s="18" t="s">
        <v>676</v>
      </c>
      <c r="D21" s="18" t="s">
        <v>527</v>
      </c>
      <c r="E21" s="18" t="s">
        <v>693</v>
      </c>
      <c r="F21" s="18" t="s">
        <v>694</v>
      </c>
      <c r="G21" s="18" t="s">
        <v>695</v>
      </c>
      <c r="H21" s="22" t="n">
        <v>642</v>
      </c>
      <c r="I21" s="28" t="n">
        <v>90.69</v>
      </c>
      <c r="J21" s="18" t="s">
        <v>697</v>
      </c>
      <c r="K21" s="18" t="s">
        <v>218</v>
      </c>
      <c r="L21" s="19" t="n">
        <v>45872</v>
      </c>
      <c r="M21" s="21" t="str">
        <f aca="false">IFERROR(INDEX(Resources!$B$2:$B$500,MATCH(K21,Resources!$A$2:$A$500,0)),"")</f>
        <v>Mei Fraser</v>
      </c>
      <c r="N21" s="15" t="n">
        <f aca="false">IF(J21="High",Contingency_High,IF(J21="Medium",Contingency_Medium,Contingency_Low))</f>
        <v>0.15</v>
      </c>
      <c r="O21" s="14" t="n">
        <f aca="false">H21*I21</f>
        <v>58222.98</v>
      </c>
      <c r="P21" s="14" t="n">
        <f aca="false">O21*N21</f>
        <v>8733.447</v>
      </c>
      <c r="Q21" s="14" t="n">
        <f aca="false">O21+P21</f>
        <v>66956.427</v>
      </c>
    </row>
    <row r="22" customFormat="false" ht="15" hidden="false" customHeight="false" outlineLevel="0" collapsed="false">
      <c r="A22" s="18" t="s">
        <v>713</v>
      </c>
      <c r="B22" s="18" t="s">
        <v>215</v>
      </c>
      <c r="C22" s="18" t="s">
        <v>703</v>
      </c>
      <c r="D22" s="18" t="s">
        <v>513</v>
      </c>
      <c r="E22" s="18" t="s">
        <v>677</v>
      </c>
      <c r="F22" s="18" t="s">
        <v>678</v>
      </c>
      <c r="G22" s="18" t="s">
        <v>679</v>
      </c>
      <c r="H22" s="22" t="n">
        <v>731</v>
      </c>
      <c r="I22" s="28" t="n">
        <v>92.5</v>
      </c>
      <c r="J22" s="18" t="s">
        <v>687</v>
      </c>
      <c r="K22" s="18" t="s">
        <v>218</v>
      </c>
      <c r="L22" s="19" t="n">
        <v>46218</v>
      </c>
      <c r="M22" s="21" t="str">
        <f aca="false">IFERROR(INDEX(Resources!$B$2:$B$500,MATCH(K22,Resources!$A$2:$A$500,0)),"")</f>
        <v>Mei Fraser</v>
      </c>
      <c r="N22" s="15" t="n">
        <f aca="false">IF(J22="High",Contingency_High,IF(J22="Medium",Contingency_Medium,Contingency_Low))</f>
        <v>0.1</v>
      </c>
      <c r="O22" s="14" t="n">
        <f aca="false">H22*I22</f>
        <v>67617.5</v>
      </c>
      <c r="P22" s="14" t="n">
        <f aca="false">O22*N22</f>
        <v>6761.75</v>
      </c>
      <c r="Q22" s="14" t="n">
        <f aca="false">O22+P22</f>
        <v>74379.25</v>
      </c>
    </row>
    <row r="23" customFormat="false" ht="15" hidden="false" customHeight="false" outlineLevel="0" collapsed="false">
      <c r="A23" s="18" t="s">
        <v>714</v>
      </c>
      <c r="B23" s="18" t="s">
        <v>215</v>
      </c>
      <c r="C23" s="18" t="s">
        <v>703</v>
      </c>
      <c r="D23" s="18" t="s">
        <v>513</v>
      </c>
      <c r="E23" s="18" t="s">
        <v>682</v>
      </c>
      <c r="F23" s="18" t="s">
        <v>382</v>
      </c>
      <c r="G23" s="18" t="s">
        <v>683</v>
      </c>
      <c r="H23" s="22" t="n">
        <v>1387</v>
      </c>
      <c r="I23" s="28" t="n">
        <v>92.5</v>
      </c>
      <c r="J23" s="18" t="s">
        <v>687</v>
      </c>
      <c r="K23" s="18" t="s">
        <v>218</v>
      </c>
      <c r="L23" s="19" t="n">
        <v>46218</v>
      </c>
      <c r="M23" s="21" t="str">
        <f aca="false">IFERROR(INDEX(Resources!$B$2:$B$500,MATCH(K23,Resources!$A$2:$A$500,0)),"")</f>
        <v>Mei Fraser</v>
      </c>
      <c r="N23" s="15" t="n">
        <f aca="false">IF(J23="High",Contingency_High,IF(J23="Medium",Contingency_Medium,Contingency_Low))</f>
        <v>0.1</v>
      </c>
      <c r="O23" s="14" t="n">
        <f aca="false">H23*I23</f>
        <v>128297.5</v>
      </c>
      <c r="P23" s="14" t="n">
        <f aca="false">O23*N23</f>
        <v>12829.75</v>
      </c>
      <c r="Q23" s="14" t="n">
        <f aca="false">O23+P23</f>
        <v>141127.25</v>
      </c>
    </row>
    <row r="24" customFormat="false" ht="15" hidden="false" customHeight="false" outlineLevel="0" collapsed="false">
      <c r="A24" s="18" t="s">
        <v>715</v>
      </c>
      <c r="B24" s="18" t="s">
        <v>215</v>
      </c>
      <c r="C24" s="18" t="s">
        <v>703</v>
      </c>
      <c r="D24" s="18" t="s">
        <v>513</v>
      </c>
      <c r="E24" s="18" t="s">
        <v>685</v>
      </c>
      <c r="F24" s="18" t="s">
        <v>686</v>
      </c>
      <c r="G24" s="18" t="s">
        <v>327</v>
      </c>
      <c r="H24" s="22" t="n">
        <v>3839</v>
      </c>
      <c r="I24" s="28" t="n">
        <v>92.5</v>
      </c>
      <c r="J24" s="18" t="s">
        <v>697</v>
      </c>
      <c r="K24" s="18" t="s">
        <v>218</v>
      </c>
      <c r="L24" s="19" t="n">
        <v>46218</v>
      </c>
      <c r="M24" s="21" t="str">
        <f aca="false">IFERROR(INDEX(Resources!$B$2:$B$500,MATCH(K24,Resources!$A$2:$A$500,0)),"")</f>
        <v>Mei Fraser</v>
      </c>
      <c r="N24" s="15" t="n">
        <f aca="false">IF(J24="High",Contingency_High,IF(J24="Medium",Contingency_Medium,Contingency_Low))</f>
        <v>0.15</v>
      </c>
      <c r="O24" s="14" t="n">
        <f aca="false">H24*I24</f>
        <v>355107.5</v>
      </c>
      <c r="P24" s="14" t="n">
        <f aca="false">O24*N24</f>
        <v>53266.125</v>
      </c>
      <c r="Q24" s="14" t="n">
        <f aca="false">O24+P24</f>
        <v>408373.625</v>
      </c>
    </row>
    <row r="25" customFormat="false" ht="15" hidden="false" customHeight="false" outlineLevel="0" collapsed="false">
      <c r="A25" s="18" t="s">
        <v>716</v>
      </c>
      <c r="B25" s="18" t="s">
        <v>215</v>
      </c>
      <c r="C25" s="18" t="s">
        <v>703</v>
      </c>
      <c r="D25" s="18" t="s">
        <v>513</v>
      </c>
      <c r="E25" s="18" t="s">
        <v>689</v>
      </c>
      <c r="F25" s="18" t="s">
        <v>690</v>
      </c>
      <c r="G25" s="18" t="s">
        <v>691</v>
      </c>
      <c r="H25" s="22" t="n">
        <v>1817</v>
      </c>
      <c r="I25" s="28" t="n">
        <v>92.5</v>
      </c>
      <c r="J25" s="18" t="s">
        <v>697</v>
      </c>
      <c r="K25" s="18" t="s">
        <v>218</v>
      </c>
      <c r="L25" s="19" t="n">
        <v>46218</v>
      </c>
      <c r="M25" s="21" t="str">
        <f aca="false">IFERROR(INDEX(Resources!$B$2:$B$500,MATCH(K25,Resources!$A$2:$A$500,0)),"")</f>
        <v>Mei Fraser</v>
      </c>
      <c r="N25" s="15" t="n">
        <f aca="false">IF(J25="High",Contingency_High,IF(J25="Medium",Contingency_Medium,Contingency_Low))</f>
        <v>0.15</v>
      </c>
      <c r="O25" s="14" t="n">
        <f aca="false">H25*I25</f>
        <v>168072.5</v>
      </c>
      <c r="P25" s="14" t="n">
        <f aca="false">O25*N25</f>
        <v>25210.875</v>
      </c>
      <c r="Q25" s="14" t="n">
        <f aca="false">O25+P25</f>
        <v>193283.375</v>
      </c>
    </row>
    <row r="26" customFormat="false" ht="15" hidden="false" customHeight="false" outlineLevel="0" collapsed="false">
      <c r="A26" s="18" t="s">
        <v>717</v>
      </c>
      <c r="B26" s="18" t="s">
        <v>215</v>
      </c>
      <c r="C26" s="18" t="s">
        <v>703</v>
      </c>
      <c r="D26" s="18" t="s">
        <v>513</v>
      </c>
      <c r="E26" s="18" t="s">
        <v>693</v>
      </c>
      <c r="F26" s="18" t="s">
        <v>694</v>
      </c>
      <c r="G26" s="18" t="s">
        <v>695</v>
      </c>
      <c r="H26" s="22" t="n">
        <v>933</v>
      </c>
      <c r="I26" s="28" t="n">
        <v>92.5</v>
      </c>
      <c r="J26" s="18" t="s">
        <v>697</v>
      </c>
      <c r="K26" s="18" t="s">
        <v>218</v>
      </c>
      <c r="L26" s="19" t="n">
        <v>46218</v>
      </c>
      <c r="M26" s="21" t="str">
        <f aca="false">IFERROR(INDEX(Resources!$B$2:$B$500,MATCH(K26,Resources!$A$2:$A$500,0)),"")</f>
        <v>Mei Fraser</v>
      </c>
      <c r="N26" s="15" t="n">
        <f aca="false">IF(J26="High",Contingency_High,IF(J26="Medium",Contingency_Medium,Contingency_Low))</f>
        <v>0.15</v>
      </c>
      <c r="O26" s="14" t="n">
        <f aca="false">H26*I26</f>
        <v>86302.5</v>
      </c>
      <c r="P26" s="14" t="n">
        <f aca="false">O26*N26</f>
        <v>12945.375</v>
      </c>
      <c r="Q26" s="14" t="n">
        <f aca="false">O26+P26</f>
        <v>99247.875</v>
      </c>
    </row>
    <row r="27" customFormat="false" ht="15" hidden="false" customHeight="false" outlineLevel="0" collapsed="false">
      <c r="A27" s="18" t="s">
        <v>718</v>
      </c>
      <c r="B27" s="18" t="s">
        <v>222</v>
      </c>
      <c r="C27" s="18" t="s">
        <v>676</v>
      </c>
      <c r="D27" s="18" t="s">
        <v>513</v>
      </c>
      <c r="E27" s="18" t="s">
        <v>677</v>
      </c>
      <c r="F27" s="18" t="s">
        <v>678</v>
      </c>
      <c r="G27" s="18" t="s">
        <v>679</v>
      </c>
      <c r="H27" s="22" t="n">
        <v>517</v>
      </c>
      <c r="I27" s="28" t="n">
        <v>105.66</v>
      </c>
      <c r="J27" s="18" t="s">
        <v>680</v>
      </c>
      <c r="K27" s="18" t="s">
        <v>226</v>
      </c>
      <c r="L27" s="19" t="n">
        <v>46015</v>
      </c>
      <c r="M27" s="21" t="str">
        <f aca="false">IFERROR(INDEX(Resources!$B$2:$B$500,MATCH(K27,Resources!$A$2:$A$500,0)),"")</f>
        <v>Noah Rahimi</v>
      </c>
      <c r="N27" s="15" t="n">
        <f aca="false">IF(J27="High",Contingency_High,IF(J27="Medium",Contingency_Medium,Contingency_Low))</f>
        <v>0.05</v>
      </c>
      <c r="O27" s="14" t="n">
        <f aca="false">H27*I27</f>
        <v>54626.22</v>
      </c>
      <c r="P27" s="14" t="n">
        <f aca="false">O27*N27</f>
        <v>2731.311</v>
      </c>
      <c r="Q27" s="14" t="n">
        <f aca="false">O27+P27</f>
        <v>57357.531</v>
      </c>
    </row>
    <row r="28" customFormat="false" ht="15" hidden="false" customHeight="false" outlineLevel="0" collapsed="false">
      <c r="A28" s="18" t="s">
        <v>719</v>
      </c>
      <c r="B28" s="18" t="s">
        <v>222</v>
      </c>
      <c r="C28" s="18" t="s">
        <v>676</v>
      </c>
      <c r="D28" s="18" t="s">
        <v>513</v>
      </c>
      <c r="E28" s="18" t="s">
        <v>682</v>
      </c>
      <c r="F28" s="18" t="s">
        <v>382</v>
      </c>
      <c r="G28" s="18" t="s">
        <v>683</v>
      </c>
      <c r="H28" s="22" t="n">
        <v>793</v>
      </c>
      <c r="I28" s="28" t="n">
        <v>105.66</v>
      </c>
      <c r="J28" s="18" t="s">
        <v>680</v>
      </c>
      <c r="K28" s="18" t="s">
        <v>226</v>
      </c>
      <c r="L28" s="19" t="n">
        <v>46015</v>
      </c>
      <c r="M28" s="21" t="str">
        <f aca="false">IFERROR(INDEX(Resources!$B$2:$B$500,MATCH(K28,Resources!$A$2:$A$500,0)),"")</f>
        <v>Noah Rahimi</v>
      </c>
      <c r="N28" s="15" t="n">
        <f aca="false">IF(J28="High",Contingency_High,IF(J28="Medium",Contingency_Medium,Contingency_Low))</f>
        <v>0.05</v>
      </c>
      <c r="O28" s="14" t="n">
        <f aca="false">H28*I28</f>
        <v>83788.38</v>
      </c>
      <c r="P28" s="14" t="n">
        <f aca="false">O28*N28</f>
        <v>4189.419</v>
      </c>
      <c r="Q28" s="14" t="n">
        <f aca="false">O28+P28</f>
        <v>87977.799</v>
      </c>
    </row>
    <row r="29" customFormat="false" ht="15" hidden="false" customHeight="false" outlineLevel="0" collapsed="false">
      <c r="A29" s="18" t="s">
        <v>720</v>
      </c>
      <c r="B29" s="18" t="s">
        <v>222</v>
      </c>
      <c r="C29" s="18" t="s">
        <v>676</v>
      </c>
      <c r="D29" s="18" t="s">
        <v>513</v>
      </c>
      <c r="E29" s="18" t="s">
        <v>685</v>
      </c>
      <c r="F29" s="18" t="s">
        <v>686</v>
      </c>
      <c r="G29" s="18" t="s">
        <v>327</v>
      </c>
      <c r="H29" s="22" t="n">
        <v>2127</v>
      </c>
      <c r="I29" s="28" t="n">
        <v>105.66</v>
      </c>
      <c r="J29" s="18" t="s">
        <v>687</v>
      </c>
      <c r="K29" s="18" t="s">
        <v>226</v>
      </c>
      <c r="L29" s="19" t="n">
        <v>46015</v>
      </c>
      <c r="M29" s="21" t="str">
        <f aca="false">IFERROR(INDEX(Resources!$B$2:$B$500,MATCH(K29,Resources!$A$2:$A$500,0)),"")</f>
        <v>Noah Rahimi</v>
      </c>
      <c r="N29" s="15" t="n">
        <f aca="false">IF(J29="High",Contingency_High,IF(J29="Medium",Contingency_Medium,Contingency_Low))</f>
        <v>0.1</v>
      </c>
      <c r="O29" s="14" t="n">
        <f aca="false">H29*I29</f>
        <v>224738.82</v>
      </c>
      <c r="P29" s="14" t="n">
        <f aca="false">O29*N29</f>
        <v>22473.882</v>
      </c>
      <c r="Q29" s="14" t="n">
        <f aca="false">O29+P29</f>
        <v>247212.702</v>
      </c>
    </row>
    <row r="30" customFormat="false" ht="15" hidden="false" customHeight="false" outlineLevel="0" collapsed="false">
      <c r="A30" s="18" t="s">
        <v>721</v>
      </c>
      <c r="B30" s="18" t="s">
        <v>222</v>
      </c>
      <c r="C30" s="18" t="s">
        <v>676</v>
      </c>
      <c r="D30" s="18" t="s">
        <v>513</v>
      </c>
      <c r="E30" s="18" t="s">
        <v>689</v>
      </c>
      <c r="F30" s="18" t="s">
        <v>690</v>
      </c>
      <c r="G30" s="18" t="s">
        <v>691</v>
      </c>
      <c r="H30" s="22" t="n">
        <v>1040</v>
      </c>
      <c r="I30" s="28" t="n">
        <v>105.66</v>
      </c>
      <c r="J30" s="18" t="s">
        <v>680</v>
      </c>
      <c r="K30" s="18" t="s">
        <v>226</v>
      </c>
      <c r="L30" s="19" t="n">
        <v>46015</v>
      </c>
      <c r="M30" s="21" t="str">
        <f aca="false">IFERROR(INDEX(Resources!$B$2:$B$500,MATCH(K30,Resources!$A$2:$A$500,0)),"")</f>
        <v>Noah Rahimi</v>
      </c>
      <c r="N30" s="15" t="n">
        <f aca="false">IF(J30="High",Contingency_High,IF(J30="Medium",Contingency_Medium,Contingency_Low))</f>
        <v>0.05</v>
      </c>
      <c r="O30" s="14" t="n">
        <f aca="false">H30*I30</f>
        <v>109886.4</v>
      </c>
      <c r="P30" s="14" t="n">
        <f aca="false">O30*N30</f>
        <v>5494.32</v>
      </c>
      <c r="Q30" s="14" t="n">
        <f aca="false">O30+P30</f>
        <v>115380.72</v>
      </c>
    </row>
    <row r="31" customFormat="false" ht="15" hidden="false" customHeight="false" outlineLevel="0" collapsed="false">
      <c r="A31" s="18" t="s">
        <v>722</v>
      </c>
      <c r="B31" s="18" t="s">
        <v>222</v>
      </c>
      <c r="C31" s="18" t="s">
        <v>676</v>
      </c>
      <c r="D31" s="18" t="s">
        <v>513</v>
      </c>
      <c r="E31" s="18" t="s">
        <v>693</v>
      </c>
      <c r="F31" s="18" t="s">
        <v>694</v>
      </c>
      <c r="G31" s="18" t="s">
        <v>695</v>
      </c>
      <c r="H31" s="22" t="n">
        <v>488</v>
      </c>
      <c r="I31" s="28" t="n">
        <v>105.66</v>
      </c>
      <c r="J31" s="18" t="s">
        <v>680</v>
      </c>
      <c r="K31" s="18" t="s">
        <v>226</v>
      </c>
      <c r="L31" s="19" t="n">
        <v>46015</v>
      </c>
      <c r="M31" s="21" t="str">
        <f aca="false">IFERROR(INDEX(Resources!$B$2:$B$500,MATCH(K31,Resources!$A$2:$A$500,0)),"")</f>
        <v>Noah Rahimi</v>
      </c>
      <c r="N31" s="15" t="n">
        <f aca="false">IF(J31="High",Contingency_High,IF(J31="Medium",Contingency_Medium,Contingency_Low))</f>
        <v>0.05</v>
      </c>
      <c r="O31" s="14" t="n">
        <f aca="false">H31*I31</f>
        <v>51562.08</v>
      </c>
      <c r="P31" s="14" t="n">
        <f aca="false">O31*N31</f>
        <v>2578.104</v>
      </c>
      <c r="Q31" s="14" t="n">
        <f aca="false">O31+P31</f>
        <v>54140.184</v>
      </c>
    </row>
    <row r="32" customFormat="false" ht="15" hidden="false" customHeight="false" outlineLevel="0" collapsed="false">
      <c r="A32" s="18" t="s">
        <v>723</v>
      </c>
      <c r="B32" s="18" t="s">
        <v>228</v>
      </c>
      <c r="C32" s="18" t="s">
        <v>676</v>
      </c>
      <c r="D32" s="18" t="s">
        <v>527</v>
      </c>
      <c r="E32" s="18" t="s">
        <v>677</v>
      </c>
      <c r="F32" s="18" t="s">
        <v>678</v>
      </c>
      <c r="G32" s="18" t="s">
        <v>679</v>
      </c>
      <c r="H32" s="22" t="n">
        <v>463</v>
      </c>
      <c r="I32" s="28" t="n">
        <v>81.76</v>
      </c>
      <c r="J32" s="18" t="s">
        <v>687</v>
      </c>
      <c r="K32" s="18" t="s">
        <v>231</v>
      </c>
      <c r="L32" s="19" t="n">
        <v>46056</v>
      </c>
      <c r="M32" s="21" t="str">
        <f aca="false">IFERROR(INDEX(Resources!$B$2:$B$500,MATCH(K32,Resources!$A$2:$A$500,0)),"")</f>
        <v>Fatima Cohen</v>
      </c>
      <c r="N32" s="15" t="n">
        <f aca="false">IF(J32="High",Contingency_High,IF(J32="Medium",Contingency_Medium,Contingency_Low))</f>
        <v>0.1</v>
      </c>
      <c r="O32" s="14" t="n">
        <f aca="false">H32*I32</f>
        <v>37854.88</v>
      </c>
      <c r="P32" s="14" t="n">
        <f aca="false">O32*N32</f>
        <v>3785.488</v>
      </c>
      <c r="Q32" s="14" t="n">
        <f aca="false">O32+P32</f>
        <v>41640.368</v>
      </c>
    </row>
    <row r="33" customFormat="false" ht="15" hidden="false" customHeight="false" outlineLevel="0" collapsed="false">
      <c r="A33" s="18" t="s">
        <v>724</v>
      </c>
      <c r="B33" s="18" t="s">
        <v>228</v>
      </c>
      <c r="C33" s="18" t="s">
        <v>676</v>
      </c>
      <c r="D33" s="18" t="s">
        <v>527</v>
      </c>
      <c r="E33" s="18" t="s">
        <v>682</v>
      </c>
      <c r="F33" s="18" t="s">
        <v>382</v>
      </c>
      <c r="G33" s="18" t="s">
        <v>683</v>
      </c>
      <c r="H33" s="22" t="n">
        <v>716</v>
      </c>
      <c r="I33" s="28" t="n">
        <v>81.76</v>
      </c>
      <c r="J33" s="18" t="s">
        <v>687</v>
      </c>
      <c r="K33" s="18" t="s">
        <v>231</v>
      </c>
      <c r="L33" s="19" t="n">
        <v>46056</v>
      </c>
      <c r="M33" s="21" t="str">
        <f aca="false">IFERROR(INDEX(Resources!$B$2:$B$500,MATCH(K33,Resources!$A$2:$A$500,0)),"")</f>
        <v>Fatima Cohen</v>
      </c>
      <c r="N33" s="15" t="n">
        <f aca="false">IF(J33="High",Contingency_High,IF(J33="Medium",Contingency_Medium,Contingency_Low))</f>
        <v>0.1</v>
      </c>
      <c r="O33" s="14" t="n">
        <f aca="false">H33*I33</f>
        <v>58540.16</v>
      </c>
      <c r="P33" s="14" t="n">
        <f aca="false">O33*N33</f>
        <v>5854.016</v>
      </c>
      <c r="Q33" s="14" t="n">
        <f aca="false">O33+P33</f>
        <v>64394.176</v>
      </c>
    </row>
    <row r="34" customFormat="false" ht="15" hidden="false" customHeight="false" outlineLevel="0" collapsed="false">
      <c r="A34" s="18" t="s">
        <v>725</v>
      </c>
      <c r="B34" s="18" t="s">
        <v>228</v>
      </c>
      <c r="C34" s="18" t="s">
        <v>676</v>
      </c>
      <c r="D34" s="18" t="s">
        <v>527</v>
      </c>
      <c r="E34" s="18" t="s">
        <v>685</v>
      </c>
      <c r="F34" s="18" t="s">
        <v>686</v>
      </c>
      <c r="G34" s="18" t="s">
        <v>327</v>
      </c>
      <c r="H34" s="22" t="n">
        <v>1866</v>
      </c>
      <c r="I34" s="28" t="n">
        <v>81.76</v>
      </c>
      <c r="J34" s="18" t="s">
        <v>687</v>
      </c>
      <c r="K34" s="18" t="s">
        <v>231</v>
      </c>
      <c r="L34" s="19" t="n">
        <v>46056</v>
      </c>
      <c r="M34" s="21" t="str">
        <f aca="false">IFERROR(INDEX(Resources!$B$2:$B$500,MATCH(K34,Resources!$A$2:$A$500,0)),"")</f>
        <v>Fatima Cohen</v>
      </c>
      <c r="N34" s="15" t="n">
        <f aca="false">IF(J34="High",Contingency_High,IF(J34="Medium",Contingency_Medium,Contingency_Low))</f>
        <v>0.1</v>
      </c>
      <c r="O34" s="14" t="n">
        <f aca="false">H34*I34</f>
        <v>152564.16</v>
      </c>
      <c r="P34" s="14" t="n">
        <f aca="false">O34*N34</f>
        <v>15256.416</v>
      </c>
      <c r="Q34" s="14" t="n">
        <f aca="false">O34+P34</f>
        <v>167820.576</v>
      </c>
    </row>
    <row r="35" customFormat="false" ht="15" hidden="false" customHeight="false" outlineLevel="0" collapsed="false">
      <c r="A35" s="18" t="s">
        <v>726</v>
      </c>
      <c r="B35" s="18" t="s">
        <v>228</v>
      </c>
      <c r="C35" s="18" t="s">
        <v>676</v>
      </c>
      <c r="D35" s="18" t="s">
        <v>527</v>
      </c>
      <c r="E35" s="18" t="s">
        <v>689</v>
      </c>
      <c r="F35" s="18" t="s">
        <v>690</v>
      </c>
      <c r="G35" s="18" t="s">
        <v>691</v>
      </c>
      <c r="H35" s="22" t="n">
        <v>901</v>
      </c>
      <c r="I35" s="28" t="n">
        <v>81.76</v>
      </c>
      <c r="J35" s="18" t="s">
        <v>687</v>
      </c>
      <c r="K35" s="18" t="s">
        <v>231</v>
      </c>
      <c r="L35" s="19" t="n">
        <v>46056</v>
      </c>
      <c r="M35" s="21" t="str">
        <f aca="false">IFERROR(INDEX(Resources!$B$2:$B$500,MATCH(K35,Resources!$A$2:$A$500,0)),"")</f>
        <v>Fatima Cohen</v>
      </c>
      <c r="N35" s="15" t="n">
        <f aca="false">IF(J35="High",Contingency_High,IF(J35="Medium",Contingency_Medium,Contingency_Low))</f>
        <v>0.1</v>
      </c>
      <c r="O35" s="14" t="n">
        <f aca="false">H35*I35</f>
        <v>73665.76</v>
      </c>
      <c r="P35" s="14" t="n">
        <f aca="false">O35*N35</f>
        <v>7366.576</v>
      </c>
      <c r="Q35" s="14" t="n">
        <f aca="false">O35+P35</f>
        <v>81032.336</v>
      </c>
    </row>
    <row r="36" customFormat="false" ht="15" hidden="false" customHeight="false" outlineLevel="0" collapsed="false">
      <c r="A36" s="18" t="s">
        <v>727</v>
      </c>
      <c r="B36" s="18" t="s">
        <v>228</v>
      </c>
      <c r="C36" s="18" t="s">
        <v>676</v>
      </c>
      <c r="D36" s="18" t="s">
        <v>527</v>
      </c>
      <c r="E36" s="18" t="s">
        <v>693</v>
      </c>
      <c r="F36" s="18" t="s">
        <v>694</v>
      </c>
      <c r="G36" s="18" t="s">
        <v>695</v>
      </c>
      <c r="H36" s="22" t="n">
        <v>500</v>
      </c>
      <c r="I36" s="28" t="n">
        <v>81.76</v>
      </c>
      <c r="J36" s="18" t="s">
        <v>687</v>
      </c>
      <c r="K36" s="18" t="s">
        <v>231</v>
      </c>
      <c r="L36" s="19" t="n">
        <v>46056</v>
      </c>
      <c r="M36" s="21" t="str">
        <f aca="false">IFERROR(INDEX(Resources!$B$2:$B$500,MATCH(K36,Resources!$A$2:$A$500,0)),"")</f>
        <v>Fatima Cohen</v>
      </c>
      <c r="N36" s="15" t="n">
        <f aca="false">IF(J36="High",Contingency_High,IF(J36="Medium",Contingency_Medium,Contingency_Low))</f>
        <v>0.1</v>
      </c>
      <c r="O36" s="14" t="n">
        <f aca="false">H36*I36</f>
        <v>40880</v>
      </c>
      <c r="P36" s="14" t="n">
        <f aca="false">O36*N36</f>
        <v>4088</v>
      </c>
      <c r="Q36" s="14" t="n">
        <f aca="false">O36+P36</f>
        <v>44968</v>
      </c>
    </row>
    <row r="37" customFormat="false" ht="15" hidden="false" customHeight="false" outlineLevel="0" collapsed="false">
      <c r="A37" s="18" t="s">
        <v>728</v>
      </c>
      <c r="B37" s="18" t="s">
        <v>228</v>
      </c>
      <c r="C37" s="18" t="s">
        <v>703</v>
      </c>
      <c r="D37" s="18" t="s">
        <v>513</v>
      </c>
      <c r="E37" s="18" t="s">
        <v>677</v>
      </c>
      <c r="F37" s="18" t="s">
        <v>678</v>
      </c>
      <c r="G37" s="18" t="s">
        <v>679</v>
      </c>
      <c r="H37" s="22" t="n">
        <v>573</v>
      </c>
      <c r="I37" s="28" t="n">
        <v>83.4</v>
      </c>
      <c r="J37" s="18" t="s">
        <v>687</v>
      </c>
      <c r="K37" s="18" t="s">
        <v>231</v>
      </c>
      <c r="L37" s="19" t="n">
        <v>46218</v>
      </c>
      <c r="M37" s="21" t="str">
        <f aca="false">IFERROR(INDEX(Resources!$B$2:$B$500,MATCH(K37,Resources!$A$2:$A$500,0)),"")</f>
        <v>Fatima Cohen</v>
      </c>
      <c r="N37" s="15" t="n">
        <f aca="false">IF(J37="High",Contingency_High,IF(J37="Medium",Contingency_Medium,Contingency_Low))</f>
        <v>0.1</v>
      </c>
      <c r="O37" s="14" t="n">
        <f aca="false">H37*I37</f>
        <v>47788.2</v>
      </c>
      <c r="P37" s="14" t="n">
        <f aca="false">O37*N37</f>
        <v>4778.82</v>
      </c>
      <c r="Q37" s="14" t="n">
        <f aca="false">O37+P37</f>
        <v>52567.02</v>
      </c>
    </row>
    <row r="38" customFormat="false" ht="15" hidden="false" customHeight="false" outlineLevel="0" collapsed="false">
      <c r="A38" s="18" t="s">
        <v>729</v>
      </c>
      <c r="B38" s="18" t="s">
        <v>228</v>
      </c>
      <c r="C38" s="18" t="s">
        <v>703</v>
      </c>
      <c r="D38" s="18" t="s">
        <v>513</v>
      </c>
      <c r="E38" s="18" t="s">
        <v>682</v>
      </c>
      <c r="F38" s="18" t="s">
        <v>382</v>
      </c>
      <c r="G38" s="18" t="s">
        <v>683</v>
      </c>
      <c r="H38" s="22" t="n">
        <v>1054</v>
      </c>
      <c r="I38" s="28" t="n">
        <v>83.4</v>
      </c>
      <c r="J38" s="18" t="s">
        <v>687</v>
      </c>
      <c r="K38" s="18" t="s">
        <v>231</v>
      </c>
      <c r="L38" s="19" t="n">
        <v>46218</v>
      </c>
      <c r="M38" s="21" t="str">
        <f aca="false">IFERROR(INDEX(Resources!$B$2:$B$500,MATCH(K38,Resources!$A$2:$A$500,0)),"")</f>
        <v>Fatima Cohen</v>
      </c>
      <c r="N38" s="15" t="n">
        <f aca="false">IF(J38="High",Contingency_High,IF(J38="Medium",Contingency_Medium,Contingency_Low))</f>
        <v>0.1</v>
      </c>
      <c r="O38" s="14" t="n">
        <f aca="false">H38*I38</f>
        <v>87903.6</v>
      </c>
      <c r="P38" s="14" t="n">
        <f aca="false">O38*N38</f>
        <v>8790.36</v>
      </c>
      <c r="Q38" s="14" t="n">
        <f aca="false">O38+P38</f>
        <v>96693.96</v>
      </c>
    </row>
    <row r="39" customFormat="false" ht="15" hidden="false" customHeight="false" outlineLevel="0" collapsed="false">
      <c r="A39" s="18" t="s">
        <v>730</v>
      </c>
      <c r="B39" s="18" t="s">
        <v>228</v>
      </c>
      <c r="C39" s="18" t="s">
        <v>703</v>
      </c>
      <c r="D39" s="18" t="s">
        <v>513</v>
      </c>
      <c r="E39" s="18" t="s">
        <v>685</v>
      </c>
      <c r="F39" s="18" t="s">
        <v>686</v>
      </c>
      <c r="G39" s="18" t="s">
        <v>327</v>
      </c>
      <c r="H39" s="22" t="n">
        <v>3483</v>
      </c>
      <c r="I39" s="28" t="n">
        <v>83.4</v>
      </c>
      <c r="J39" s="18" t="s">
        <v>697</v>
      </c>
      <c r="K39" s="18" t="s">
        <v>231</v>
      </c>
      <c r="L39" s="19" t="n">
        <v>46218</v>
      </c>
      <c r="M39" s="21" t="str">
        <f aca="false">IFERROR(INDEX(Resources!$B$2:$B$500,MATCH(K39,Resources!$A$2:$A$500,0)),"")</f>
        <v>Fatima Cohen</v>
      </c>
      <c r="N39" s="15" t="n">
        <f aca="false">IF(J39="High",Contingency_High,IF(J39="Medium",Contingency_Medium,Contingency_Low))</f>
        <v>0.15</v>
      </c>
      <c r="O39" s="14" t="n">
        <f aca="false">H39*I39</f>
        <v>290482.2</v>
      </c>
      <c r="P39" s="14" t="n">
        <f aca="false">O39*N39</f>
        <v>43572.33</v>
      </c>
      <c r="Q39" s="14" t="n">
        <f aca="false">O39+P39</f>
        <v>334054.53</v>
      </c>
    </row>
    <row r="40" customFormat="false" ht="15" hidden="false" customHeight="false" outlineLevel="0" collapsed="false">
      <c r="A40" s="18" t="s">
        <v>731</v>
      </c>
      <c r="B40" s="18" t="s">
        <v>228</v>
      </c>
      <c r="C40" s="18" t="s">
        <v>703</v>
      </c>
      <c r="D40" s="18" t="s">
        <v>513</v>
      </c>
      <c r="E40" s="18" t="s">
        <v>689</v>
      </c>
      <c r="F40" s="18" t="s">
        <v>690</v>
      </c>
      <c r="G40" s="18" t="s">
        <v>691</v>
      </c>
      <c r="H40" s="22" t="n">
        <v>1822</v>
      </c>
      <c r="I40" s="28" t="n">
        <v>83.4</v>
      </c>
      <c r="J40" s="18" t="s">
        <v>697</v>
      </c>
      <c r="K40" s="18" t="s">
        <v>231</v>
      </c>
      <c r="L40" s="19" t="n">
        <v>46218</v>
      </c>
      <c r="M40" s="21" t="str">
        <f aca="false">IFERROR(INDEX(Resources!$B$2:$B$500,MATCH(K40,Resources!$A$2:$A$500,0)),"")</f>
        <v>Fatima Cohen</v>
      </c>
      <c r="N40" s="15" t="n">
        <f aca="false">IF(J40="High",Contingency_High,IF(J40="Medium",Contingency_Medium,Contingency_Low))</f>
        <v>0.15</v>
      </c>
      <c r="O40" s="14" t="n">
        <f aca="false">H40*I40</f>
        <v>151954.8</v>
      </c>
      <c r="P40" s="14" t="n">
        <f aca="false">O40*N40</f>
        <v>22793.22</v>
      </c>
      <c r="Q40" s="14" t="n">
        <f aca="false">O40+P40</f>
        <v>174748.02</v>
      </c>
    </row>
    <row r="41" customFormat="false" ht="15" hidden="false" customHeight="false" outlineLevel="0" collapsed="false">
      <c r="A41" s="18" t="s">
        <v>732</v>
      </c>
      <c r="B41" s="18" t="s">
        <v>228</v>
      </c>
      <c r="C41" s="18" t="s">
        <v>703</v>
      </c>
      <c r="D41" s="18" t="s">
        <v>513</v>
      </c>
      <c r="E41" s="18" t="s">
        <v>693</v>
      </c>
      <c r="F41" s="18" t="s">
        <v>694</v>
      </c>
      <c r="G41" s="18" t="s">
        <v>695</v>
      </c>
      <c r="H41" s="22" t="n">
        <v>971</v>
      </c>
      <c r="I41" s="28" t="n">
        <v>83.4</v>
      </c>
      <c r="J41" s="18" t="s">
        <v>697</v>
      </c>
      <c r="K41" s="18" t="s">
        <v>231</v>
      </c>
      <c r="L41" s="19" t="n">
        <v>46218</v>
      </c>
      <c r="M41" s="21" t="str">
        <f aca="false">IFERROR(INDEX(Resources!$B$2:$B$500,MATCH(K41,Resources!$A$2:$A$500,0)),"")</f>
        <v>Fatima Cohen</v>
      </c>
      <c r="N41" s="15" t="n">
        <f aca="false">IF(J41="High",Contingency_High,IF(J41="Medium",Contingency_Medium,Contingency_Low))</f>
        <v>0.15</v>
      </c>
      <c r="O41" s="14" t="n">
        <f aca="false">H41*I41</f>
        <v>80981.4</v>
      </c>
      <c r="P41" s="14" t="n">
        <f aca="false">O41*N41</f>
        <v>12147.21</v>
      </c>
      <c r="Q41" s="14" t="n">
        <f aca="false">O41+P41</f>
        <v>93128.61</v>
      </c>
    </row>
    <row r="42" customFormat="false" ht="15" hidden="false" customHeight="false" outlineLevel="0" collapsed="false">
      <c r="A42" s="18" t="s">
        <v>733</v>
      </c>
      <c r="B42" s="18" t="s">
        <v>233</v>
      </c>
      <c r="C42" s="18" t="s">
        <v>676</v>
      </c>
      <c r="D42" s="18" t="s">
        <v>527</v>
      </c>
      <c r="E42" s="18" t="s">
        <v>677</v>
      </c>
      <c r="F42" s="18" t="s">
        <v>678</v>
      </c>
      <c r="G42" s="18" t="s">
        <v>679</v>
      </c>
      <c r="H42" s="22" t="n">
        <v>736</v>
      </c>
      <c r="I42" s="28" t="n">
        <v>69.63</v>
      </c>
      <c r="J42" s="18" t="s">
        <v>687</v>
      </c>
      <c r="K42" s="18" t="s">
        <v>237</v>
      </c>
      <c r="L42" s="19" t="n">
        <v>45907</v>
      </c>
      <c r="M42" s="21" t="str">
        <f aca="false">IFERROR(INDEX(Resources!$B$2:$B$500,MATCH(K42,Resources!$A$2:$A$500,0)),"")</f>
        <v>Olivia Silva</v>
      </c>
      <c r="N42" s="15" t="n">
        <f aca="false">IF(J42="High",Contingency_High,IF(J42="Medium",Contingency_Medium,Contingency_Low))</f>
        <v>0.1</v>
      </c>
      <c r="O42" s="14" t="n">
        <f aca="false">H42*I42</f>
        <v>51247.68</v>
      </c>
      <c r="P42" s="14" t="n">
        <f aca="false">O42*N42</f>
        <v>5124.768</v>
      </c>
      <c r="Q42" s="14" t="n">
        <f aca="false">O42+P42</f>
        <v>56372.448</v>
      </c>
    </row>
    <row r="43" customFormat="false" ht="15" hidden="false" customHeight="false" outlineLevel="0" collapsed="false">
      <c r="A43" s="18" t="s">
        <v>734</v>
      </c>
      <c r="B43" s="18" t="s">
        <v>233</v>
      </c>
      <c r="C43" s="18" t="s">
        <v>676</v>
      </c>
      <c r="D43" s="18" t="s">
        <v>527</v>
      </c>
      <c r="E43" s="18" t="s">
        <v>682</v>
      </c>
      <c r="F43" s="18" t="s">
        <v>382</v>
      </c>
      <c r="G43" s="18" t="s">
        <v>683</v>
      </c>
      <c r="H43" s="22" t="n">
        <v>1076</v>
      </c>
      <c r="I43" s="28" t="n">
        <v>69.63</v>
      </c>
      <c r="J43" s="18" t="s">
        <v>687</v>
      </c>
      <c r="K43" s="18" t="s">
        <v>237</v>
      </c>
      <c r="L43" s="19" t="n">
        <v>45907</v>
      </c>
      <c r="M43" s="21" t="str">
        <f aca="false">IFERROR(INDEX(Resources!$B$2:$B$500,MATCH(K43,Resources!$A$2:$A$500,0)),"")</f>
        <v>Olivia Silva</v>
      </c>
      <c r="N43" s="15" t="n">
        <f aca="false">IF(J43="High",Contingency_High,IF(J43="Medium",Contingency_Medium,Contingency_Low))</f>
        <v>0.1</v>
      </c>
      <c r="O43" s="14" t="n">
        <f aca="false">H43*I43</f>
        <v>74921.88</v>
      </c>
      <c r="P43" s="14" t="n">
        <f aca="false">O43*N43</f>
        <v>7492.188</v>
      </c>
      <c r="Q43" s="14" t="n">
        <f aca="false">O43+P43</f>
        <v>82414.068</v>
      </c>
    </row>
    <row r="44" customFormat="false" ht="15" hidden="false" customHeight="false" outlineLevel="0" collapsed="false">
      <c r="A44" s="18" t="s">
        <v>735</v>
      </c>
      <c r="B44" s="18" t="s">
        <v>233</v>
      </c>
      <c r="C44" s="18" t="s">
        <v>676</v>
      </c>
      <c r="D44" s="18" t="s">
        <v>527</v>
      </c>
      <c r="E44" s="18" t="s">
        <v>685</v>
      </c>
      <c r="F44" s="18" t="s">
        <v>686</v>
      </c>
      <c r="G44" s="18" t="s">
        <v>327</v>
      </c>
      <c r="H44" s="22" t="n">
        <v>2790</v>
      </c>
      <c r="I44" s="28" t="n">
        <v>69.63</v>
      </c>
      <c r="J44" s="18" t="s">
        <v>687</v>
      </c>
      <c r="K44" s="18" t="s">
        <v>237</v>
      </c>
      <c r="L44" s="19" t="n">
        <v>45907</v>
      </c>
      <c r="M44" s="21" t="str">
        <f aca="false">IFERROR(INDEX(Resources!$B$2:$B$500,MATCH(K44,Resources!$A$2:$A$500,0)),"")</f>
        <v>Olivia Silva</v>
      </c>
      <c r="N44" s="15" t="n">
        <f aca="false">IF(J44="High",Contingency_High,IF(J44="Medium",Contingency_Medium,Contingency_Low))</f>
        <v>0.1</v>
      </c>
      <c r="O44" s="14" t="n">
        <f aca="false">H44*I44</f>
        <v>194267.7</v>
      </c>
      <c r="P44" s="14" t="n">
        <f aca="false">O44*N44</f>
        <v>19426.77</v>
      </c>
      <c r="Q44" s="14" t="n">
        <f aca="false">O44+P44</f>
        <v>213694.47</v>
      </c>
    </row>
    <row r="45" customFormat="false" ht="15" hidden="false" customHeight="false" outlineLevel="0" collapsed="false">
      <c r="A45" s="18" t="s">
        <v>736</v>
      </c>
      <c r="B45" s="18" t="s">
        <v>233</v>
      </c>
      <c r="C45" s="18" t="s">
        <v>676</v>
      </c>
      <c r="D45" s="18" t="s">
        <v>527</v>
      </c>
      <c r="E45" s="18" t="s">
        <v>689</v>
      </c>
      <c r="F45" s="18" t="s">
        <v>690</v>
      </c>
      <c r="G45" s="18" t="s">
        <v>691</v>
      </c>
      <c r="H45" s="22" t="n">
        <v>1336</v>
      </c>
      <c r="I45" s="28" t="n">
        <v>69.63</v>
      </c>
      <c r="J45" s="18" t="s">
        <v>687</v>
      </c>
      <c r="K45" s="18" t="s">
        <v>237</v>
      </c>
      <c r="L45" s="19" t="n">
        <v>45907</v>
      </c>
      <c r="M45" s="21" t="str">
        <f aca="false">IFERROR(INDEX(Resources!$B$2:$B$500,MATCH(K45,Resources!$A$2:$A$500,0)),"")</f>
        <v>Olivia Silva</v>
      </c>
      <c r="N45" s="15" t="n">
        <f aca="false">IF(J45="High",Contingency_High,IF(J45="Medium",Contingency_Medium,Contingency_Low))</f>
        <v>0.1</v>
      </c>
      <c r="O45" s="14" t="n">
        <f aca="false">H45*I45</f>
        <v>93025.68</v>
      </c>
      <c r="P45" s="14" t="n">
        <f aca="false">O45*N45</f>
        <v>9302.568</v>
      </c>
      <c r="Q45" s="14" t="n">
        <f aca="false">O45+P45</f>
        <v>102328.248</v>
      </c>
    </row>
    <row r="46" customFormat="false" ht="15" hidden="false" customHeight="false" outlineLevel="0" collapsed="false">
      <c r="A46" s="18" t="s">
        <v>737</v>
      </c>
      <c r="B46" s="18" t="s">
        <v>233</v>
      </c>
      <c r="C46" s="18" t="s">
        <v>676</v>
      </c>
      <c r="D46" s="18" t="s">
        <v>527</v>
      </c>
      <c r="E46" s="18" t="s">
        <v>693</v>
      </c>
      <c r="F46" s="18" t="s">
        <v>694</v>
      </c>
      <c r="G46" s="18" t="s">
        <v>695</v>
      </c>
      <c r="H46" s="22" t="n">
        <v>613</v>
      </c>
      <c r="I46" s="28" t="n">
        <v>69.63</v>
      </c>
      <c r="J46" s="18" t="s">
        <v>687</v>
      </c>
      <c r="K46" s="18" t="s">
        <v>237</v>
      </c>
      <c r="L46" s="19" t="n">
        <v>45907</v>
      </c>
      <c r="M46" s="21" t="str">
        <f aca="false">IFERROR(INDEX(Resources!$B$2:$B$500,MATCH(K46,Resources!$A$2:$A$500,0)),"")</f>
        <v>Olivia Silva</v>
      </c>
      <c r="N46" s="15" t="n">
        <f aca="false">IF(J46="High",Contingency_High,IF(J46="Medium",Contingency_Medium,Contingency_Low))</f>
        <v>0.1</v>
      </c>
      <c r="O46" s="14" t="n">
        <f aca="false">H46*I46</f>
        <v>42683.19</v>
      </c>
      <c r="P46" s="14" t="n">
        <f aca="false">O46*N46</f>
        <v>4268.319</v>
      </c>
      <c r="Q46" s="14" t="n">
        <f aca="false">O46+P46</f>
        <v>46951.509</v>
      </c>
    </row>
    <row r="47" customFormat="false" ht="15" hidden="false" customHeight="false" outlineLevel="0" collapsed="false">
      <c r="A47" s="18" t="s">
        <v>738</v>
      </c>
      <c r="B47" s="18" t="s">
        <v>233</v>
      </c>
      <c r="C47" s="18" t="s">
        <v>703</v>
      </c>
      <c r="D47" s="18" t="s">
        <v>513</v>
      </c>
      <c r="E47" s="18" t="s">
        <v>677</v>
      </c>
      <c r="F47" s="18" t="s">
        <v>678</v>
      </c>
      <c r="G47" s="18" t="s">
        <v>679</v>
      </c>
      <c r="H47" s="22" t="n">
        <v>798</v>
      </c>
      <c r="I47" s="28" t="n">
        <v>71.02</v>
      </c>
      <c r="J47" s="18" t="s">
        <v>687</v>
      </c>
      <c r="K47" s="18" t="s">
        <v>237</v>
      </c>
      <c r="L47" s="19" t="n">
        <v>46218</v>
      </c>
      <c r="M47" s="21" t="str">
        <f aca="false">IFERROR(INDEX(Resources!$B$2:$B$500,MATCH(K47,Resources!$A$2:$A$500,0)),"")</f>
        <v>Olivia Silva</v>
      </c>
      <c r="N47" s="15" t="n">
        <f aca="false">IF(J47="High",Contingency_High,IF(J47="Medium",Contingency_Medium,Contingency_Low))</f>
        <v>0.1</v>
      </c>
      <c r="O47" s="14" t="n">
        <f aca="false">H47*I47</f>
        <v>56673.96</v>
      </c>
      <c r="P47" s="14" t="n">
        <f aca="false">O47*N47</f>
        <v>5667.396</v>
      </c>
      <c r="Q47" s="14" t="n">
        <f aca="false">O47+P47</f>
        <v>62341.356</v>
      </c>
    </row>
    <row r="48" customFormat="false" ht="15" hidden="false" customHeight="false" outlineLevel="0" collapsed="false">
      <c r="A48" s="18" t="s">
        <v>739</v>
      </c>
      <c r="B48" s="18" t="s">
        <v>233</v>
      </c>
      <c r="C48" s="18" t="s">
        <v>703</v>
      </c>
      <c r="D48" s="18" t="s">
        <v>513</v>
      </c>
      <c r="E48" s="18" t="s">
        <v>682</v>
      </c>
      <c r="F48" s="18" t="s">
        <v>382</v>
      </c>
      <c r="G48" s="18" t="s">
        <v>683</v>
      </c>
      <c r="H48" s="22" t="n">
        <v>1257</v>
      </c>
      <c r="I48" s="28" t="n">
        <v>71.02</v>
      </c>
      <c r="J48" s="18" t="s">
        <v>687</v>
      </c>
      <c r="K48" s="18" t="s">
        <v>237</v>
      </c>
      <c r="L48" s="19" t="n">
        <v>46218</v>
      </c>
      <c r="M48" s="21" t="str">
        <f aca="false">IFERROR(INDEX(Resources!$B$2:$B$500,MATCH(K48,Resources!$A$2:$A$500,0)),"")</f>
        <v>Olivia Silva</v>
      </c>
      <c r="N48" s="15" t="n">
        <f aca="false">IF(J48="High",Contingency_High,IF(J48="Medium",Contingency_Medium,Contingency_Low))</f>
        <v>0.1</v>
      </c>
      <c r="O48" s="14" t="n">
        <f aca="false">H48*I48</f>
        <v>89272.14</v>
      </c>
      <c r="P48" s="14" t="n">
        <f aca="false">O48*N48</f>
        <v>8927.214</v>
      </c>
      <c r="Q48" s="14" t="n">
        <f aca="false">O48+P48</f>
        <v>98199.354</v>
      </c>
    </row>
    <row r="49" customFormat="false" ht="15" hidden="false" customHeight="false" outlineLevel="0" collapsed="false">
      <c r="A49" s="18" t="s">
        <v>740</v>
      </c>
      <c r="B49" s="18" t="s">
        <v>233</v>
      </c>
      <c r="C49" s="18" t="s">
        <v>703</v>
      </c>
      <c r="D49" s="18" t="s">
        <v>513</v>
      </c>
      <c r="E49" s="18" t="s">
        <v>685</v>
      </c>
      <c r="F49" s="18" t="s">
        <v>686</v>
      </c>
      <c r="G49" s="18" t="s">
        <v>327</v>
      </c>
      <c r="H49" s="22" t="n">
        <v>3654</v>
      </c>
      <c r="I49" s="28" t="n">
        <v>71.02</v>
      </c>
      <c r="J49" s="18" t="s">
        <v>697</v>
      </c>
      <c r="K49" s="18" t="s">
        <v>237</v>
      </c>
      <c r="L49" s="19" t="n">
        <v>46218</v>
      </c>
      <c r="M49" s="21" t="str">
        <f aca="false">IFERROR(INDEX(Resources!$B$2:$B$500,MATCH(K49,Resources!$A$2:$A$500,0)),"")</f>
        <v>Olivia Silva</v>
      </c>
      <c r="N49" s="15" t="n">
        <f aca="false">IF(J49="High",Contingency_High,IF(J49="Medium",Contingency_Medium,Contingency_Low))</f>
        <v>0.15</v>
      </c>
      <c r="O49" s="14" t="n">
        <f aca="false">H49*I49</f>
        <v>259507.08</v>
      </c>
      <c r="P49" s="14" t="n">
        <f aca="false">O49*N49</f>
        <v>38926.062</v>
      </c>
      <c r="Q49" s="14" t="n">
        <f aca="false">O49+P49</f>
        <v>298433.142</v>
      </c>
    </row>
    <row r="50" customFormat="false" ht="15" hidden="false" customHeight="false" outlineLevel="0" collapsed="false">
      <c r="A50" s="18" t="s">
        <v>741</v>
      </c>
      <c r="B50" s="18" t="s">
        <v>233</v>
      </c>
      <c r="C50" s="18" t="s">
        <v>703</v>
      </c>
      <c r="D50" s="18" t="s">
        <v>513</v>
      </c>
      <c r="E50" s="18" t="s">
        <v>689</v>
      </c>
      <c r="F50" s="18" t="s">
        <v>690</v>
      </c>
      <c r="G50" s="18" t="s">
        <v>691</v>
      </c>
      <c r="H50" s="22" t="n">
        <v>1826</v>
      </c>
      <c r="I50" s="28" t="n">
        <v>71.02</v>
      </c>
      <c r="J50" s="18" t="s">
        <v>697</v>
      </c>
      <c r="K50" s="18" t="s">
        <v>237</v>
      </c>
      <c r="L50" s="19" t="n">
        <v>46218</v>
      </c>
      <c r="M50" s="21" t="str">
        <f aca="false">IFERROR(INDEX(Resources!$B$2:$B$500,MATCH(K50,Resources!$A$2:$A$500,0)),"")</f>
        <v>Olivia Silva</v>
      </c>
      <c r="N50" s="15" t="n">
        <f aca="false">IF(J50="High",Contingency_High,IF(J50="Medium",Contingency_Medium,Contingency_Low))</f>
        <v>0.15</v>
      </c>
      <c r="O50" s="14" t="n">
        <f aca="false">H50*I50</f>
        <v>129682.52</v>
      </c>
      <c r="P50" s="14" t="n">
        <f aca="false">O50*N50</f>
        <v>19452.378</v>
      </c>
      <c r="Q50" s="14" t="n">
        <f aca="false">O50+P50</f>
        <v>149134.898</v>
      </c>
    </row>
    <row r="51" customFormat="false" ht="15" hidden="false" customHeight="false" outlineLevel="0" collapsed="false">
      <c r="A51" s="18" t="s">
        <v>742</v>
      </c>
      <c r="B51" s="18" t="s">
        <v>233</v>
      </c>
      <c r="C51" s="18" t="s">
        <v>703</v>
      </c>
      <c r="D51" s="18" t="s">
        <v>513</v>
      </c>
      <c r="E51" s="18" t="s">
        <v>693</v>
      </c>
      <c r="F51" s="18" t="s">
        <v>694</v>
      </c>
      <c r="G51" s="18" t="s">
        <v>695</v>
      </c>
      <c r="H51" s="22" t="n">
        <v>820</v>
      </c>
      <c r="I51" s="28" t="n">
        <v>71.02</v>
      </c>
      <c r="J51" s="18" t="s">
        <v>697</v>
      </c>
      <c r="K51" s="18" t="s">
        <v>237</v>
      </c>
      <c r="L51" s="19" t="n">
        <v>46218</v>
      </c>
      <c r="M51" s="21" t="str">
        <f aca="false">IFERROR(INDEX(Resources!$B$2:$B$500,MATCH(K51,Resources!$A$2:$A$500,0)),"")</f>
        <v>Olivia Silva</v>
      </c>
      <c r="N51" s="15" t="n">
        <f aca="false">IF(J51="High",Contingency_High,IF(J51="Medium",Contingency_Medium,Contingency_Low))</f>
        <v>0.15</v>
      </c>
      <c r="O51" s="14" t="n">
        <f aca="false">H51*I51</f>
        <v>58236.4</v>
      </c>
      <c r="P51" s="14" t="n">
        <f aca="false">O51*N51</f>
        <v>8735.46</v>
      </c>
      <c r="Q51" s="14" t="n">
        <f aca="false">O51+P51</f>
        <v>66971.86</v>
      </c>
    </row>
    <row r="52" customFormat="false" ht="15" hidden="false" customHeight="false" outlineLevel="0" collapsed="false">
      <c r="A52" s="18" t="s">
        <v>743</v>
      </c>
      <c r="B52" s="18" t="s">
        <v>239</v>
      </c>
      <c r="C52" s="18" t="s">
        <v>676</v>
      </c>
      <c r="D52" s="18" t="s">
        <v>513</v>
      </c>
      <c r="E52" s="18" t="s">
        <v>677</v>
      </c>
      <c r="F52" s="18" t="s">
        <v>678</v>
      </c>
      <c r="G52" s="18" t="s">
        <v>679</v>
      </c>
      <c r="H52" s="22" t="n">
        <v>551</v>
      </c>
      <c r="I52" s="28" t="n">
        <v>80.74</v>
      </c>
      <c r="J52" s="18" t="s">
        <v>680</v>
      </c>
      <c r="K52" s="18" t="s">
        <v>242</v>
      </c>
      <c r="L52" s="19" t="n">
        <v>46074</v>
      </c>
      <c r="M52" s="21" t="str">
        <f aca="false">IFERROR(INDEX(Resources!$B$2:$B$500,MATCH(K52,Resources!$A$2:$A$500,0)),"")</f>
        <v>Ethan Park</v>
      </c>
      <c r="N52" s="15" t="n">
        <f aca="false">IF(J52="High",Contingency_High,IF(J52="Medium",Contingency_Medium,Contingency_Low))</f>
        <v>0.05</v>
      </c>
      <c r="O52" s="14" t="n">
        <f aca="false">H52*I52</f>
        <v>44487.74</v>
      </c>
      <c r="P52" s="14" t="n">
        <f aca="false">O52*N52</f>
        <v>2224.387</v>
      </c>
      <c r="Q52" s="14" t="n">
        <f aca="false">O52+P52</f>
        <v>46712.127</v>
      </c>
    </row>
    <row r="53" customFormat="false" ht="15" hidden="false" customHeight="false" outlineLevel="0" collapsed="false">
      <c r="A53" s="18" t="s">
        <v>744</v>
      </c>
      <c r="B53" s="18" t="s">
        <v>239</v>
      </c>
      <c r="C53" s="18" t="s">
        <v>676</v>
      </c>
      <c r="D53" s="18" t="s">
        <v>513</v>
      </c>
      <c r="E53" s="18" t="s">
        <v>682</v>
      </c>
      <c r="F53" s="18" t="s">
        <v>382</v>
      </c>
      <c r="G53" s="18" t="s">
        <v>683</v>
      </c>
      <c r="H53" s="22" t="n">
        <v>969</v>
      </c>
      <c r="I53" s="28" t="n">
        <v>80.74</v>
      </c>
      <c r="J53" s="18" t="s">
        <v>680</v>
      </c>
      <c r="K53" s="18" t="s">
        <v>242</v>
      </c>
      <c r="L53" s="19" t="n">
        <v>46074</v>
      </c>
      <c r="M53" s="21" t="str">
        <f aca="false">IFERROR(INDEX(Resources!$B$2:$B$500,MATCH(K53,Resources!$A$2:$A$500,0)),"")</f>
        <v>Ethan Park</v>
      </c>
      <c r="N53" s="15" t="n">
        <f aca="false">IF(J53="High",Contingency_High,IF(J53="Medium",Contingency_Medium,Contingency_Low))</f>
        <v>0.05</v>
      </c>
      <c r="O53" s="14" t="n">
        <f aca="false">H53*I53</f>
        <v>78237.06</v>
      </c>
      <c r="P53" s="14" t="n">
        <f aca="false">O53*N53</f>
        <v>3911.853</v>
      </c>
      <c r="Q53" s="14" t="n">
        <f aca="false">O53+P53</f>
        <v>82148.913</v>
      </c>
    </row>
    <row r="54" customFormat="false" ht="15" hidden="false" customHeight="false" outlineLevel="0" collapsed="false">
      <c r="A54" s="18" t="s">
        <v>745</v>
      </c>
      <c r="B54" s="18" t="s">
        <v>239</v>
      </c>
      <c r="C54" s="18" t="s">
        <v>676</v>
      </c>
      <c r="D54" s="18" t="s">
        <v>513</v>
      </c>
      <c r="E54" s="18" t="s">
        <v>685</v>
      </c>
      <c r="F54" s="18" t="s">
        <v>686</v>
      </c>
      <c r="G54" s="18" t="s">
        <v>327</v>
      </c>
      <c r="H54" s="22" t="n">
        <v>2694</v>
      </c>
      <c r="I54" s="28" t="n">
        <v>80.74</v>
      </c>
      <c r="J54" s="18" t="s">
        <v>687</v>
      </c>
      <c r="K54" s="18" t="s">
        <v>242</v>
      </c>
      <c r="L54" s="19" t="n">
        <v>46074</v>
      </c>
      <c r="M54" s="21" t="str">
        <f aca="false">IFERROR(INDEX(Resources!$B$2:$B$500,MATCH(K54,Resources!$A$2:$A$500,0)),"")</f>
        <v>Ethan Park</v>
      </c>
      <c r="N54" s="15" t="n">
        <f aca="false">IF(J54="High",Contingency_High,IF(J54="Medium",Contingency_Medium,Contingency_Low))</f>
        <v>0.1</v>
      </c>
      <c r="O54" s="14" t="n">
        <f aca="false">H54*I54</f>
        <v>217513.56</v>
      </c>
      <c r="P54" s="14" t="n">
        <f aca="false">O54*N54</f>
        <v>21751.356</v>
      </c>
      <c r="Q54" s="14" t="n">
        <f aca="false">O54+P54</f>
        <v>239264.916</v>
      </c>
    </row>
    <row r="55" customFormat="false" ht="15" hidden="false" customHeight="false" outlineLevel="0" collapsed="false">
      <c r="A55" s="18" t="s">
        <v>746</v>
      </c>
      <c r="B55" s="18" t="s">
        <v>239</v>
      </c>
      <c r="C55" s="18" t="s">
        <v>676</v>
      </c>
      <c r="D55" s="18" t="s">
        <v>513</v>
      </c>
      <c r="E55" s="18" t="s">
        <v>689</v>
      </c>
      <c r="F55" s="18" t="s">
        <v>690</v>
      </c>
      <c r="G55" s="18" t="s">
        <v>691</v>
      </c>
      <c r="H55" s="22" t="n">
        <v>1166</v>
      </c>
      <c r="I55" s="28" t="n">
        <v>80.74</v>
      </c>
      <c r="J55" s="18" t="s">
        <v>680</v>
      </c>
      <c r="K55" s="18" t="s">
        <v>242</v>
      </c>
      <c r="L55" s="19" t="n">
        <v>46074</v>
      </c>
      <c r="M55" s="21" t="str">
        <f aca="false">IFERROR(INDEX(Resources!$B$2:$B$500,MATCH(K55,Resources!$A$2:$A$500,0)),"")</f>
        <v>Ethan Park</v>
      </c>
      <c r="N55" s="15" t="n">
        <f aca="false">IF(J55="High",Contingency_High,IF(J55="Medium",Contingency_Medium,Contingency_Low))</f>
        <v>0.05</v>
      </c>
      <c r="O55" s="14" t="n">
        <f aca="false">H55*I55</f>
        <v>94142.84</v>
      </c>
      <c r="P55" s="14" t="n">
        <f aca="false">O55*N55</f>
        <v>4707.142</v>
      </c>
      <c r="Q55" s="14" t="n">
        <f aca="false">O55+P55</f>
        <v>98849.982</v>
      </c>
    </row>
    <row r="56" customFormat="false" ht="15" hidden="false" customHeight="false" outlineLevel="0" collapsed="false">
      <c r="A56" s="18" t="s">
        <v>747</v>
      </c>
      <c r="B56" s="18" t="s">
        <v>239</v>
      </c>
      <c r="C56" s="18" t="s">
        <v>676</v>
      </c>
      <c r="D56" s="18" t="s">
        <v>513</v>
      </c>
      <c r="E56" s="18" t="s">
        <v>693</v>
      </c>
      <c r="F56" s="18" t="s">
        <v>694</v>
      </c>
      <c r="G56" s="18" t="s">
        <v>695</v>
      </c>
      <c r="H56" s="22" t="n">
        <v>554</v>
      </c>
      <c r="I56" s="28" t="n">
        <v>80.74</v>
      </c>
      <c r="J56" s="18" t="s">
        <v>680</v>
      </c>
      <c r="K56" s="18" t="s">
        <v>242</v>
      </c>
      <c r="L56" s="19" t="n">
        <v>46074</v>
      </c>
      <c r="M56" s="21" t="str">
        <f aca="false">IFERROR(INDEX(Resources!$B$2:$B$500,MATCH(K56,Resources!$A$2:$A$500,0)),"")</f>
        <v>Ethan Park</v>
      </c>
      <c r="N56" s="15" t="n">
        <f aca="false">IF(J56="High",Contingency_High,IF(J56="Medium",Contingency_Medium,Contingency_Low))</f>
        <v>0.05</v>
      </c>
      <c r="O56" s="14" t="n">
        <f aca="false">H56*I56</f>
        <v>44729.96</v>
      </c>
      <c r="P56" s="14" t="n">
        <f aca="false">O56*N56</f>
        <v>2236.498</v>
      </c>
      <c r="Q56" s="14" t="n">
        <f aca="false">O56+P56</f>
        <v>46966.458</v>
      </c>
    </row>
    <row r="57" customFormat="false" ht="15" hidden="false" customHeight="false" outlineLevel="0" collapsed="false">
      <c r="A57" s="18" t="s">
        <v>748</v>
      </c>
      <c r="B57" s="18" t="s">
        <v>244</v>
      </c>
      <c r="C57" s="18" t="s">
        <v>676</v>
      </c>
      <c r="D57" s="18" t="s">
        <v>513</v>
      </c>
      <c r="E57" s="18" t="s">
        <v>677</v>
      </c>
      <c r="F57" s="18" t="s">
        <v>678</v>
      </c>
      <c r="G57" s="18" t="s">
        <v>679</v>
      </c>
      <c r="H57" s="22" t="n">
        <v>366</v>
      </c>
      <c r="I57" s="28" t="n">
        <v>101.83</v>
      </c>
      <c r="J57" s="18" t="s">
        <v>687</v>
      </c>
      <c r="K57" s="18" t="s">
        <v>247</v>
      </c>
      <c r="L57" s="19" t="n">
        <v>46005</v>
      </c>
      <c r="M57" s="21" t="str">
        <f aca="false">IFERROR(INDEX(Resources!$B$2:$B$500,MATCH(K57,Resources!$A$2:$A$500,0)),"")</f>
        <v>Arjun Baptiste</v>
      </c>
      <c r="N57" s="15" t="n">
        <f aca="false">IF(J57="High",Contingency_High,IF(J57="Medium",Contingency_Medium,Contingency_Low))</f>
        <v>0.1</v>
      </c>
      <c r="O57" s="14" t="n">
        <f aca="false">H57*I57</f>
        <v>37269.78</v>
      </c>
      <c r="P57" s="14" t="n">
        <f aca="false">O57*N57</f>
        <v>3726.978</v>
      </c>
      <c r="Q57" s="14" t="n">
        <f aca="false">O57+P57</f>
        <v>40996.758</v>
      </c>
    </row>
    <row r="58" customFormat="false" ht="15" hidden="false" customHeight="false" outlineLevel="0" collapsed="false">
      <c r="A58" s="18" t="s">
        <v>749</v>
      </c>
      <c r="B58" s="18" t="s">
        <v>244</v>
      </c>
      <c r="C58" s="18" t="s">
        <v>676</v>
      </c>
      <c r="D58" s="18" t="s">
        <v>513</v>
      </c>
      <c r="E58" s="18" t="s">
        <v>682</v>
      </c>
      <c r="F58" s="18" t="s">
        <v>382</v>
      </c>
      <c r="G58" s="18" t="s">
        <v>683</v>
      </c>
      <c r="H58" s="22" t="n">
        <v>596</v>
      </c>
      <c r="I58" s="28" t="n">
        <v>101.83</v>
      </c>
      <c r="J58" s="18" t="s">
        <v>687</v>
      </c>
      <c r="K58" s="18" t="s">
        <v>247</v>
      </c>
      <c r="L58" s="19" t="n">
        <v>46005</v>
      </c>
      <c r="M58" s="21" t="str">
        <f aca="false">IFERROR(INDEX(Resources!$B$2:$B$500,MATCH(K58,Resources!$A$2:$A$500,0)),"")</f>
        <v>Arjun Baptiste</v>
      </c>
      <c r="N58" s="15" t="n">
        <f aca="false">IF(J58="High",Contingency_High,IF(J58="Medium",Contingency_Medium,Contingency_Low))</f>
        <v>0.1</v>
      </c>
      <c r="O58" s="14" t="n">
        <f aca="false">H58*I58</f>
        <v>60690.68</v>
      </c>
      <c r="P58" s="14" t="n">
        <f aca="false">O58*N58</f>
        <v>6069.068</v>
      </c>
      <c r="Q58" s="14" t="n">
        <f aca="false">O58+P58</f>
        <v>66759.748</v>
      </c>
    </row>
    <row r="59" customFormat="false" ht="15" hidden="false" customHeight="false" outlineLevel="0" collapsed="false">
      <c r="A59" s="18" t="s">
        <v>750</v>
      </c>
      <c r="B59" s="18" t="s">
        <v>244</v>
      </c>
      <c r="C59" s="18" t="s">
        <v>676</v>
      </c>
      <c r="D59" s="18" t="s">
        <v>513</v>
      </c>
      <c r="E59" s="18" t="s">
        <v>685</v>
      </c>
      <c r="F59" s="18" t="s">
        <v>686</v>
      </c>
      <c r="G59" s="18" t="s">
        <v>327</v>
      </c>
      <c r="H59" s="22" t="n">
        <v>1443</v>
      </c>
      <c r="I59" s="28" t="n">
        <v>101.83</v>
      </c>
      <c r="J59" s="18" t="s">
        <v>687</v>
      </c>
      <c r="K59" s="18" t="s">
        <v>247</v>
      </c>
      <c r="L59" s="19" t="n">
        <v>46005</v>
      </c>
      <c r="M59" s="21" t="str">
        <f aca="false">IFERROR(INDEX(Resources!$B$2:$B$500,MATCH(K59,Resources!$A$2:$A$500,0)),"")</f>
        <v>Arjun Baptiste</v>
      </c>
      <c r="N59" s="15" t="n">
        <f aca="false">IF(J59="High",Contingency_High,IF(J59="Medium",Contingency_Medium,Contingency_Low))</f>
        <v>0.1</v>
      </c>
      <c r="O59" s="14" t="n">
        <f aca="false">H59*I59</f>
        <v>146940.69</v>
      </c>
      <c r="P59" s="14" t="n">
        <f aca="false">O59*N59</f>
        <v>14694.069</v>
      </c>
      <c r="Q59" s="14" t="n">
        <f aca="false">O59+P59</f>
        <v>161634.759</v>
      </c>
    </row>
    <row r="60" customFormat="false" ht="15" hidden="false" customHeight="false" outlineLevel="0" collapsed="false">
      <c r="A60" s="18" t="s">
        <v>751</v>
      </c>
      <c r="B60" s="18" t="s">
        <v>244</v>
      </c>
      <c r="C60" s="18" t="s">
        <v>676</v>
      </c>
      <c r="D60" s="18" t="s">
        <v>513</v>
      </c>
      <c r="E60" s="18" t="s">
        <v>689</v>
      </c>
      <c r="F60" s="18" t="s">
        <v>690</v>
      </c>
      <c r="G60" s="18" t="s">
        <v>691</v>
      </c>
      <c r="H60" s="22" t="n">
        <v>712</v>
      </c>
      <c r="I60" s="28" t="n">
        <v>101.83</v>
      </c>
      <c r="J60" s="18" t="s">
        <v>687</v>
      </c>
      <c r="K60" s="18" t="s">
        <v>247</v>
      </c>
      <c r="L60" s="19" t="n">
        <v>46005</v>
      </c>
      <c r="M60" s="21" t="str">
        <f aca="false">IFERROR(INDEX(Resources!$B$2:$B$500,MATCH(K60,Resources!$A$2:$A$500,0)),"")</f>
        <v>Arjun Baptiste</v>
      </c>
      <c r="N60" s="15" t="n">
        <f aca="false">IF(J60="High",Contingency_High,IF(J60="Medium",Contingency_Medium,Contingency_Low))</f>
        <v>0.1</v>
      </c>
      <c r="O60" s="14" t="n">
        <f aca="false">H60*I60</f>
        <v>72502.96</v>
      </c>
      <c r="P60" s="14" t="n">
        <f aca="false">O60*N60</f>
        <v>7250.296</v>
      </c>
      <c r="Q60" s="14" t="n">
        <f aca="false">O60+P60</f>
        <v>79753.256</v>
      </c>
    </row>
    <row r="61" customFormat="false" ht="15" hidden="false" customHeight="false" outlineLevel="0" collapsed="false">
      <c r="A61" s="18" t="s">
        <v>752</v>
      </c>
      <c r="B61" s="18" t="s">
        <v>244</v>
      </c>
      <c r="C61" s="18" t="s">
        <v>676</v>
      </c>
      <c r="D61" s="18" t="s">
        <v>513</v>
      </c>
      <c r="E61" s="18" t="s">
        <v>693</v>
      </c>
      <c r="F61" s="18" t="s">
        <v>694</v>
      </c>
      <c r="G61" s="18" t="s">
        <v>695</v>
      </c>
      <c r="H61" s="22" t="n">
        <v>389</v>
      </c>
      <c r="I61" s="28" t="n">
        <v>101.83</v>
      </c>
      <c r="J61" s="18" t="s">
        <v>687</v>
      </c>
      <c r="K61" s="18" t="s">
        <v>247</v>
      </c>
      <c r="L61" s="19" t="n">
        <v>46005</v>
      </c>
      <c r="M61" s="21" t="str">
        <f aca="false">IFERROR(INDEX(Resources!$B$2:$B$500,MATCH(K61,Resources!$A$2:$A$500,0)),"")</f>
        <v>Arjun Baptiste</v>
      </c>
      <c r="N61" s="15" t="n">
        <f aca="false">IF(J61="High",Contingency_High,IF(J61="Medium",Contingency_Medium,Contingency_Low))</f>
        <v>0.1</v>
      </c>
      <c r="O61" s="14" t="n">
        <f aca="false">H61*I61</f>
        <v>39611.87</v>
      </c>
      <c r="P61" s="14" t="n">
        <f aca="false">O61*N61</f>
        <v>3961.187</v>
      </c>
      <c r="Q61" s="14" t="n">
        <f aca="false">O61+P61</f>
        <v>43573.057</v>
      </c>
    </row>
    <row r="62" customFormat="false" ht="15" hidden="false" customHeight="false" outlineLevel="0" collapsed="false">
      <c r="A62" s="18" t="s">
        <v>753</v>
      </c>
      <c r="B62" s="18" t="s">
        <v>249</v>
      </c>
      <c r="C62" s="18" t="s">
        <v>676</v>
      </c>
      <c r="D62" s="18" t="s">
        <v>513</v>
      </c>
      <c r="E62" s="18" t="s">
        <v>677</v>
      </c>
      <c r="F62" s="18" t="s">
        <v>678</v>
      </c>
      <c r="G62" s="18" t="s">
        <v>679</v>
      </c>
      <c r="H62" s="22" t="n">
        <v>345</v>
      </c>
      <c r="I62" s="28" t="n">
        <v>74.76</v>
      </c>
      <c r="J62" s="18" t="s">
        <v>680</v>
      </c>
      <c r="K62" s="18" t="s">
        <v>218</v>
      </c>
      <c r="L62" s="19" t="n">
        <v>46115</v>
      </c>
      <c r="M62" s="21" t="str">
        <f aca="false">IFERROR(INDEX(Resources!$B$2:$B$500,MATCH(K62,Resources!$A$2:$A$500,0)),"")</f>
        <v>Mei Fraser</v>
      </c>
      <c r="N62" s="15" t="n">
        <f aca="false">IF(J62="High",Contingency_High,IF(J62="Medium",Contingency_Medium,Contingency_Low))</f>
        <v>0.05</v>
      </c>
      <c r="O62" s="14" t="n">
        <f aca="false">H62*I62</f>
        <v>25792.2</v>
      </c>
      <c r="P62" s="14" t="n">
        <f aca="false">O62*N62</f>
        <v>1289.61</v>
      </c>
      <c r="Q62" s="14" t="n">
        <f aca="false">O62+P62</f>
        <v>27081.81</v>
      </c>
    </row>
    <row r="63" customFormat="false" ht="15" hidden="false" customHeight="false" outlineLevel="0" collapsed="false">
      <c r="A63" s="18" t="s">
        <v>754</v>
      </c>
      <c r="B63" s="18" t="s">
        <v>249</v>
      </c>
      <c r="C63" s="18" t="s">
        <v>676</v>
      </c>
      <c r="D63" s="18" t="s">
        <v>513</v>
      </c>
      <c r="E63" s="18" t="s">
        <v>682</v>
      </c>
      <c r="F63" s="18" t="s">
        <v>382</v>
      </c>
      <c r="G63" s="18" t="s">
        <v>683</v>
      </c>
      <c r="H63" s="22" t="n">
        <v>588</v>
      </c>
      <c r="I63" s="28" t="n">
        <v>74.76</v>
      </c>
      <c r="J63" s="18" t="s">
        <v>680</v>
      </c>
      <c r="K63" s="18" t="s">
        <v>218</v>
      </c>
      <c r="L63" s="19" t="n">
        <v>46115</v>
      </c>
      <c r="M63" s="21" t="str">
        <f aca="false">IFERROR(INDEX(Resources!$B$2:$B$500,MATCH(K63,Resources!$A$2:$A$500,0)),"")</f>
        <v>Mei Fraser</v>
      </c>
      <c r="N63" s="15" t="n">
        <f aca="false">IF(J63="High",Contingency_High,IF(J63="Medium",Contingency_Medium,Contingency_Low))</f>
        <v>0.05</v>
      </c>
      <c r="O63" s="14" t="n">
        <f aca="false">H63*I63</f>
        <v>43958.88</v>
      </c>
      <c r="P63" s="14" t="n">
        <f aca="false">O63*N63</f>
        <v>2197.944</v>
      </c>
      <c r="Q63" s="14" t="n">
        <f aca="false">O63+P63</f>
        <v>46156.824</v>
      </c>
    </row>
    <row r="64" customFormat="false" ht="15" hidden="false" customHeight="false" outlineLevel="0" collapsed="false">
      <c r="A64" s="18" t="s">
        <v>755</v>
      </c>
      <c r="B64" s="18" t="s">
        <v>249</v>
      </c>
      <c r="C64" s="18" t="s">
        <v>676</v>
      </c>
      <c r="D64" s="18" t="s">
        <v>513</v>
      </c>
      <c r="E64" s="18" t="s">
        <v>685</v>
      </c>
      <c r="F64" s="18" t="s">
        <v>686</v>
      </c>
      <c r="G64" s="18" t="s">
        <v>327</v>
      </c>
      <c r="H64" s="22" t="n">
        <v>1543</v>
      </c>
      <c r="I64" s="28" t="n">
        <v>74.76</v>
      </c>
      <c r="J64" s="18" t="s">
        <v>687</v>
      </c>
      <c r="K64" s="18" t="s">
        <v>218</v>
      </c>
      <c r="L64" s="19" t="n">
        <v>46115</v>
      </c>
      <c r="M64" s="21" t="str">
        <f aca="false">IFERROR(INDEX(Resources!$B$2:$B$500,MATCH(K64,Resources!$A$2:$A$500,0)),"")</f>
        <v>Mei Fraser</v>
      </c>
      <c r="N64" s="15" t="n">
        <f aca="false">IF(J64="High",Contingency_High,IF(J64="Medium",Contingency_Medium,Contingency_Low))</f>
        <v>0.1</v>
      </c>
      <c r="O64" s="14" t="n">
        <f aca="false">H64*I64</f>
        <v>115354.68</v>
      </c>
      <c r="P64" s="14" t="n">
        <f aca="false">O64*N64</f>
        <v>11535.468</v>
      </c>
      <c r="Q64" s="14" t="n">
        <f aca="false">O64+P64</f>
        <v>126890.148</v>
      </c>
    </row>
    <row r="65" customFormat="false" ht="15" hidden="false" customHeight="false" outlineLevel="0" collapsed="false">
      <c r="A65" s="18" t="s">
        <v>756</v>
      </c>
      <c r="B65" s="18" t="s">
        <v>249</v>
      </c>
      <c r="C65" s="18" t="s">
        <v>676</v>
      </c>
      <c r="D65" s="18" t="s">
        <v>513</v>
      </c>
      <c r="E65" s="18" t="s">
        <v>689</v>
      </c>
      <c r="F65" s="18" t="s">
        <v>690</v>
      </c>
      <c r="G65" s="18" t="s">
        <v>691</v>
      </c>
      <c r="H65" s="22" t="n">
        <v>812</v>
      </c>
      <c r="I65" s="28" t="n">
        <v>74.76</v>
      </c>
      <c r="J65" s="18" t="s">
        <v>680</v>
      </c>
      <c r="K65" s="18" t="s">
        <v>218</v>
      </c>
      <c r="L65" s="19" t="n">
        <v>46115</v>
      </c>
      <c r="M65" s="21" t="str">
        <f aca="false">IFERROR(INDEX(Resources!$B$2:$B$500,MATCH(K65,Resources!$A$2:$A$500,0)),"")</f>
        <v>Mei Fraser</v>
      </c>
      <c r="N65" s="15" t="n">
        <f aca="false">IF(J65="High",Contingency_High,IF(J65="Medium",Contingency_Medium,Contingency_Low))</f>
        <v>0.05</v>
      </c>
      <c r="O65" s="14" t="n">
        <f aca="false">H65*I65</f>
        <v>60705.12</v>
      </c>
      <c r="P65" s="14" t="n">
        <f aca="false">O65*N65</f>
        <v>3035.256</v>
      </c>
      <c r="Q65" s="14" t="n">
        <f aca="false">O65+P65</f>
        <v>63740.376</v>
      </c>
    </row>
    <row r="66" customFormat="false" ht="15" hidden="false" customHeight="false" outlineLevel="0" collapsed="false">
      <c r="A66" s="18" t="s">
        <v>757</v>
      </c>
      <c r="B66" s="18" t="s">
        <v>249</v>
      </c>
      <c r="C66" s="18" t="s">
        <v>676</v>
      </c>
      <c r="D66" s="18" t="s">
        <v>513</v>
      </c>
      <c r="E66" s="18" t="s">
        <v>693</v>
      </c>
      <c r="F66" s="18" t="s">
        <v>694</v>
      </c>
      <c r="G66" s="18" t="s">
        <v>695</v>
      </c>
      <c r="H66" s="22" t="n">
        <v>411</v>
      </c>
      <c r="I66" s="28" t="n">
        <v>74.76</v>
      </c>
      <c r="J66" s="18" t="s">
        <v>680</v>
      </c>
      <c r="K66" s="18" t="s">
        <v>218</v>
      </c>
      <c r="L66" s="19" t="n">
        <v>46115</v>
      </c>
      <c r="M66" s="21" t="str">
        <f aca="false">IFERROR(INDEX(Resources!$B$2:$B$500,MATCH(K66,Resources!$A$2:$A$500,0)),"")</f>
        <v>Mei Fraser</v>
      </c>
      <c r="N66" s="15" t="n">
        <f aca="false">IF(J66="High",Contingency_High,IF(J66="Medium",Contingency_Medium,Contingency_Low))</f>
        <v>0.05</v>
      </c>
      <c r="O66" s="14" t="n">
        <f aca="false">H66*I66</f>
        <v>30726.36</v>
      </c>
      <c r="P66" s="14" t="n">
        <f aca="false">O66*N66</f>
        <v>1536.318</v>
      </c>
      <c r="Q66" s="14" t="n">
        <f aca="false">O66+P66</f>
        <v>32262.678</v>
      </c>
    </row>
    <row r="67" customFormat="false" ht="15" hidden="false" customHeight="false" outlineLevel="0" collapsed="false">
      <c r="A67" s="18" t="s">
        <v>758</v>
      </c>
      <c r="B67" s="18" t="s">
        <v>253</v>
      </c>
      <c r="C67" s="18" t="s">
        <v>676</v>
      </c>
      <c r="D67" s="18" t="s">
        <v>527</v>
      </c>
      <c r="E67" s="18" t="s">
        <v>677</v>
      </c>
      <c r="F67" s="18" t="s">
        <v>678</v>
      </c>
      <c r="G67" s="18" t="s">
        <v>679</v>
      </c>
      <c r="H67" s="22" t="n">
        <v>408</v>
      </c>
      <c r="I67" s="28" t="n">
        <v>80.21</v>
      </c>
      <c r="J67" s="18" t="s">
        <v>687</v>
      </c>
      <c r="K67" s="18" t="s">
        <v>231</v>
      </c>
      <c r="L67" s="19" t="n">
        <v>45969</v>
      </c>
      <c r="M67" s="21" t="str">
        <f aca="false">IFERROR(INDEX(Resources!$B$2:$B$500,MATCH(K67,Resources!$A$2:$A$500,0)),"")</f>
        <v>Fatima Cohen</v>
      </c>
      <c r="N67" s="15" t="n">
        <f aca="false">IF(J67="High",Contingency_High,IF(J67="Medium",Contingency_Medium,Contingency_Low))</f>
        <v>0.1</v>
      </c>
      <c r="O67" s="14" t="n">
        <f aca="false">H67*I67</f>
        <v>32725.68</v>
      </c>
      <c r="P67" s="14" t="n">
        <f aca="false">O67*N67</f>
        <v>3272.568</v>
      </c>
      <c r="Q67" s="14" t="n">
        <f aca="false">O67+P67</f>
        <v>35998.248</v>
      </c>
    </row>
    <row r="68" customFormat="false" ht="15" hidden="false" customHeight="false" outlineLevel="0" collapsed="false">
      <c r="A68" s="18" t="s">
        <v>759</v>
      </c>
      <c r="B68" s="18" t="s">
        <v>253</v>
      </c>
      <c r="C68" s="18" t="s">
        <v>676</v>
      </c>
      <c r="D68" s="18" t="s">
        <v>527</v>
      </c>
      <c r="E68" s="18" t="s">
        <v>682</v>
      </c>
      <c r="F68" s="18" t="s">
        <v>382</v>
      </c>
      <c r="G68" s="18" t="s">
        <v>683</v>
      </c>
      <c r="H68" s="22" t="n">
        <v>723</v>
      </c>
      <c r="I68" s="28" t="n">
        <v>80.21</v>
      </c>
      <c r="J68" s="18" t="s">
        <v>687</v>
      </c>
      <c r="K68" s="18" t="s">
        <v>231</v>
      </c>
      <c r="L68" s="19" t="n">
        <v>45969</v>
      </c>
      <c r="M68" s="21" t="str">
        <f aca="false">IFERROR(INDEX(Resources!$B$2:$B$500,MATCH(K68,Resources!$A$2:$A$500,0)),"")</f>
        <v>Fatima Cohen</v>
      </c>
      <c r="N68" s="15" t="n">
        <f aca="false">IF(J68="High",Contingency_High,IF(J68="Medium",Contingency_Medium,Contingency_Low))</f>
        <v>0.1</v>
      </c>
      <c r="O68" s="14" t="n">
        <f aca="false">H68*I68</f>
        <v>57991.83</v>
      </c>
      <c r="P68" s="14" t="n">
        <f aca="false">O68*N68</f>
        <v>5799.183</v>
      </c>
      <c r="Q68" s="14" t="n">
        <f aca="false">O68+P68</f>
        <v>63791.013</v>
      </c>
    </row>
    <row r="69" customFormat="false" ht="15" hidden="false" customHeight="false" outlineLevel="0" collapsed="false">
      <c r="A69" s="18" t="s">
        <v>760</v>
      </c>
      <c r="B69" s="18" t="s">
        <v>253</v>
      </c>
      <c r="C69" s="18" t="s">
        <v>676</v>
      </c>
      <c r="D69" s="18" t="s">
        <v>527</v>
      </c>
      <c r="E69" s="18" t="s">
        <v>685</v>
      </c>
      <c r="F69" s="18" t="s">
        <v>686</v>
      </c>
      <c r="G69" s="18" t="s">
        <v>327</v>
      </c>
      <c r="H69" s="22" t="n">
        <v>1878</v>
      </c>
      <c r="I69" s="28" t="n">
        <v>80.21</v>
      </c>
      <c r="J69" s="18" t="s">
        <v>687</v>
      </c>
      <c r="K69" s="18" t="s">
        <v>231</v>
      </c>
      <c r="L69" s="19" t="n">
        <v>45969</v>
      </c>
      <c r="M69" s="21" t="str">
        <f aca="false">IFERROR(INDEX(Resources!$B$2:$B$500,MATCH(K69,Resources!$A$2:$A$500,0)),"")</f>
        <v>Fatima Cohen</v>
      </c>
      <c r="N69" s="15" t="n">
        <f aca="false">IF(J69="High",Contingency_High,IF(J69="Medium",Contingency_Medium,Contingency_Low))</f>
        <v>0.1</v>
      </c>
      <c r="O69" s="14" t="n">
        <f aca="false">H69*I69</f>
        <v>150634.38</v>
      </c>
      <c r="P69" s="14" t="n">
        <f aca="false">O69*N69</f>
        <v>15063.438</v>
      </c>
      <c r="Q69" s="14" t="n">
        <f aca="false">O69+P69</f>
        <v>165697.818</v>
      </c>
    </row>
    <row r="70" customFormat="false" ht="15" hidden="false" customHeight="false" outlineLevel="0" collapsed="false">
      <c r="A70" s="18" t="s">
        <v>761</v>
      </c>
      <c r="B70" s="18" t="s">
        <v>253</v>
      </c>
      <c r="C70" s="18" t="s">
        <v>676</v>
      </c>
      <c r="D70" s="18" t="s">
        <v>527</v>
      </c>
      <c r="E70" s="18" t="s">
        <v>689</v>
      </c>
      <c r="F70" s="18" t="s">
        <v>690</v>
      </c>
      <c r="G70" s="18" t="s">
        <v>691</v>
      </c>
      <c r="H70" s="22" t="n">
        <v>967</v>
      </c>
      <c r="I70" s="28" t="n">
        <v>80.21</v>
      </c>
      <c r="J70" s="18" t="s">
        <v>687</v>
      </c>
      <c r="K70" s="18" t="s">
        <v>231</v>
      </c>
      <c r="L70" s="19" t="n">
        <v>45969</v>
      </c>
      <c r="M70" s="21" t="str">
        <f aca="false">IFERROR(INDEX(Resources!$B$2:$B$500,MATCH(K70,Resources!$A$2:$A$500,0)),"")</f>
        <v>Fatima Cohen</v>
      </c>
      <c r="N70" s="15" t="n">
        <f aca="false">IF(J70="High",Contingency_High,IF(J70="Medium",Contingency_Medium,Contingency_Low))</f>
        <v>0.1</v>
      </c>
      <c r="O70" s="14" t="n">
        <f aca="false">H70*I70</f>
        <v>77563.07</v>
      </c>
      <c r="P70" s="14" t="n">
        <f aca="false">O70*N70</f>
        <v>7756.307</v>
      </c>
      <c r="Q70" s="14" t="n">
        <f aca="false">O70+P70</f>
        <v>85319.377</v>
      </c>
    </row>
    <row r="71" customFormat="false" ht="15" hidden="false" customHeight="false" outlineLevel="0" collapsed="false">
      <c r="A71" s="18" t="s">
        <v>762</v>
      </c>
      <c r="B71" s="18" t="s">
        <v>253</v>
      </c>
      <c r="C71" s="18" t="s">
        <v>676</v>
      </c>
      <c r="D71" s="18" t="s">
        <v>527</v>
      </c>
      <c r="E71" s="18" t="s">
        <v>693</v>
      </c>
      <c r="F71" s="18" t="s">
        <v>694</v>
      </c>
      <c r="G71" s="18" t="s">
        <v>695</v>
      </c>
      <c r="H71" s="22" t="n">
        <v>431</v>
      </c>
      <c r="I71" s="28" t="n">
        <v>80.21</v>
      </c>
      <c r="J71" s="18" t="s">
        <v>687</v>
      </c>
      <c r="K71" s="18" t="s">
        <v>231</v>
      </c>
      <c r="L71" s="19" t="n">
        <v>45969</v>
      </c>
      <c r="M71" s="21" t="str">
        <f aca="false">IFERROR(INDEX(Resources!$B$2:$B$500,MATCH(K71,Resources!$A$2:$A$500,0)),"")</f>
        <v>Fatima Cohen</v>
      </c>
      <c r="N71" s="15" t="n">
        <f aca="false">IF(J71="High",Contingency_High,IF(J71="Medium",Contingency_Medium,Contingency_Low))</f>
        <v>0.1</v>
      </c>
      <c r="O71" s="14" t="n">
        <f aca="false">H71*I71</f>
        <v>34570.51</v>
      </c>
      <c r="P71" s="14" t="n">
        <f aca="false">O71*N71</f>
        <v>3457.051</v>
      </c>
      <c r="Q71" s="14" t="n">
        <f aca="false">O71+P71</f>
        <v>38027.561</v>
      </c>
    </row>
    <row r="72" customFormat="false" ht="15" hidden="false" customHeight="false" outlineLevel="0" collapsed="false">
      <c r="A72" s="18" t="s">
        <v>763</v>
      </c>
      <c r="B72" s="18" t="s">
        <v>253</v>
      </c>
      <c r="C72" s="18" t="s">
        <v>703</v>
      </c>
      <c r="D72" s="18" t="s">
        <v>513</v>
      </c>
      <c r="E72" s="18" t="s">
        <v>677</v>
      </c>
      <c r="F72" s="18" t="s">
        <v>678</v>
      </c>
      <c r="G72" s="18" t="s">
        <v>679</v>
      </c>
      <c r="H72" s="22" t="n">
        <v>465</v>
      </c>
      <c r="I72" s="28" t="n">
        <v>81.81</v>
      </c>
      <c r="J72" s="18" t="s">
        <v>687</v>
      </c>
      <c r="K72" s="18" t="s">
        <v>231</v>
      </c>
      <c r="L72" s="19" t="n">
        <v>46218</v>
      </c>
      <c r="M72" s="21" t="str">
        <f aca="false">IFERROR(INDEX(Resources!$B$2:$B$500,MATCH(K72,Resources!$A$2:$A$500,0)),"")</f>
        <v>Fatima Cohen</v>
      </c>
      <c r="N72" s="15" t="n">
        <f aca="false">IF(J72="High",Contingency_High,IF(J72="Medium",Contingency_Medium,Contingency_Low))</f>
        <v>0.1</v>
      </c>
      <c r="O72" s="14" t="n">
        <f aca="false">H72*I72</f>
        <v>38041.65</v>
      </c>
      <c r="P72" s="14" t="n">
        <f aca="false">O72*N72</f>
        <v>3804.165</v>
      </c>
      <c r="Q72" s="14" t="n">
        <f aca="false">O72+P72</f>
        <v>41845.815</v>
      </c>
    </row>
    <row r="73" customFormat="false" ht="15" hidden="false" customHeight="false" outlineLevel="0" collapsed="false">
      <c r="A73" s="18" t="s">
        <v>764</v>
      </c>
      <c r="B73" s="18" t="s">
        <v>253</v>
      </c>
      <c r="C73" s="18" t="s">
        <v>703</v>
      </c>
      <c r="D73" s="18" t="s">
        <v>513</v>
      </c>
      <c r="E73" s="18" t="s">
        <v>682</v>
      </c>
      <c r="F73" s="18" t="s">
        <v>382</v>
      </c>
      <c r="G73" s="18" t="s">
        <v>683</v>
      </c>
      <c r="H73" s="22" t="n">
        <v>924</v>
      </c>
      <c r="I73" s="28" t="n">
        <v>81.81</v>
      </c>
      <c r="J73" s="18" t="s">
        <v>687</v>
      </c>
      <c r="K73" s="18" t="s">
        <v>231</v>
      </c>
      <c r="L73" s="19" t="n">
        <v>46218</v>
      </c>
      <c r="M73" s="21" t="str">
        <f aca="false">IFERROR(INDEX(Resources!$B$2:$B$500,MATCH(K73,Resources!$A$2:$A$500,0)),"")</f>
        <v>Fatima Cohen</v>
      </c>
      <c r="N73" s="15" t="n">
        <f aca="false">IF(J73="High",Contingency_High,IF(J73="Medium",Contingency_Medium,Contingency_Low))</f>
        <v>0.1</v>
      </c>
      <c r="O73" s="14" t="n">
        <f aca="false">H73*I73</f>
        <v>75592.44</v>
      </c>
      <c r="P73" s="14" t="n">
        <f aca="false">O73*N73</f>
        <v>7559.244</v>
      </c>
      <c r="Q73" s="14" t="n">
        <f aca="false">O73+P73</f>
        <v>83151.684</v>
      </c>
    </row>
    <row r="74" customFormat="false" ht="15" hidden="false" customHeight="false" outlineLevel="0" collapsed="false">
      <c r="A74" s="18" t="s">
        <v>765</v>
      </c>
      <c r="B74" s="18" t="s">
        <v>253</v>
      </c>
      <c r="C74" s="18" t="s">
        <v>703</v>
      </c>
      <c r="D74" s="18" t="s">
        <v>513</v>
      </c>
      <c r="E74" s="18" t="s">
        <v>685</v>
      </c>
      <c r="F74" s="18" t="s">
        <v>686</v>
      </c>
      <c r="G74" s="18" t="s">
        <v>327</v>
      </c>
      <c r="H74" s="22" t="n">
        <v>2833</v>
      </c>
      <c r="I74" s="28" t="n">
        <v>81.81</v>
      </c>
      <c r="J74" s="18" t="s">
        <v>697</v>
      </c>
      <c r="K74" s="18" t="s">
        <v>231</v>
      </c>
      <c r="L74" s="19" t="n">
        <v>46218</v>
      </c>
      <c r="M74" s="21" t="str">
        <f aca="false">IFERROR(INDEX(Resources!$B$2:$B$500,MATCH(K74,Resources!$A$2:$A$500,0)),"")</f>
        <v>Fatima Cohen</v>
      </c>
      <c r="N74" s="15" t="n">
        <f aca="false">IF(J74="High",Contingency_High,IF(J74="Medium",Contingency_Medium,Contingency_Low))</f>
        <v>0.15</v>
      </c>
      <c r="O74" s="14" t="n">
        <f aca="false">H74*I74</f>
        <v>231767.73</v>
      </c>
      <c r="P74" s="14" t="n">
        <f aca="false">O74*N74</f>
        <v>34765.1595</v>
      </c>
      <c r="Q74" s="14" t="n">
        <f aca="false">O74+P74</f>
        <v>266532.8895</v>
      </c>
    </row>
    <row r="75" customFormat="false" ht="15" hidden="false" customHeight="false" outlineLevel="0" collapsed="false">
      <c r="A75" s="18" t="s">
        <v>766</v>
      </c>
      <c r="B75" s="18" t="s">
        <v>253</v>
      </c>
      <c r="C75" s="18" t="s">
        <v>703</v>
      </c>
      <c r="D75" s="18" t="s">
        <v>513</v>
      </c>
      <c r="E75" s="18" t="s">
        <v>689</v>
      </c>
      <c r="F75" s="18" t="s">
        <v>690</v>
      </c>
      <c r="G75" s="18" t="s">
        <v>691</v>
      </c>
      <c r="H75" s="22" t="n">
        <v>1548</v>
      </c>
      <c r="I75" s="28" t="n">
        <v>81.81</v>
      </c>
      <c r="J75" s="18" t="s">
        <v>697</v>
      </c>
      <c r="K75" s="18" t="s">
        <v>231</v>
      </c>
      <c r="L75" s="19" t="n">
        <v>46218</v>
      </c>
      <c r="M75" s="21" t="str">
        <f aca="false">IFERROR(INDEX(Resources!$B$2:$B$500,MATCH(K75,Resources!$A$2:$A$500,0)),"")</f>
        <v>Fatima Cohen</v>
      </c>
      <c r="N75" s="15" t="n">
        <f aca="false">IF(J75="High",Contingency_High,IF(J75="Medium",Contingency_Medium,Contingency_Low))</f>
        <v>0.15</v>
      </c>
      <c r="O75" s="14" t="n">
        <f aca="false">H75*I75</f>
        <v>126641.88</v>
      </c>
      <c r="P75" s="14" t="n">
        <f aca="false">O75*N75</f>
        <v>18996.282</v>
      </c>
      <c r="Q75" s="14" t="n">
        <f aca="false">O75+P75</f>
        <v>145638.162</v>
      </c>
    </row>
    <row r="76" customFormat="false" ht="15" hidden="false" customHeight="false" outlineLevel="0" collapsed="false">
      <c r="A76" s="18" t="s">
        <v>767</v>
      </c>
      <c r="B76" s="18" t="s">
        <v>253</v>
      </c>
      <c r="C76" s="18" t="s">
        <v>703</v>
      </c>
      <c r="D76" s="18" t="s">
        <v>513</v>
      </c>
      <c r="E76" s="18" t="s">
        <v>693</v>
      </c>
      <c r="F76" s="18" t="s">
        <v>694</v>
      </c>
      <c r="G76" s="18" t="s">
        <v>695</v>
      </c>
      <c r="H76" s="22" t="n">
        <v>671</v>
      </c>
      <c r="I76" s="28" t="n">
        <v>81.81</v>
      </c>
      <c r="J76" s="18" t="s">
        <v>697</v>
      </c>
      <c r="K76" s="18" t="s">
        <v>231</v>
      </c>
      <c r="L76" s="19" t="n">
        <v>46218</v>
      </c>
      <c r="M76" s="21" t="str">
        <f aca="false">IFERROR(INDEX(Resources!$B$2:$B$500,MATCH(K76,Resources!$A$2:$A$500,0)),"")</f>
        <v>Fatima Cohen</v>
      </c>
      <c r="N76" s="15" t="n">
        <f aca="false">IF(J76="High",Contingency_High,IF(J76="Medium",Contingency_Medium,Contingency_Low))</f>
        <v>0.15</v>
      </c>
      <c r="O76" s="14" t="n">
        <f aca="false">H76*I76</f>
        <v>54894.51</v>
      </c>
      <c r="P76" s="14" t="n">
        <f aca="false">O76*N76</f>
        <v>8234.1765</v>
      </c>
      <c r="Q76" s="14" t="n">
        <f aca="false">O76+P76</f>
        <v>63128.6865</v>
      </c>
    </row>
    <row r="77" customFormat="false" ht="15" hidden="false" customHeight="false" outlineLevel="0" collapsed="false">
      <c r="A77" s="18" t="s">
        <v>768</v>
      </c>
      <c r="B77" s="18" t="s">
        <v>257</v>
      </c>
      <c r="C77" s="18" t="s">
        <v>676</v>
      </c>
      <c r="D77" s="18" t="s">
        <v>513</v>
      </c>
      <c r="E77" s="18" t="s">
        <v>677</v>
      </c>
      <c r="F77" s="18" t="s">
        <v>678</v>
      </c>
      <c r="G77" s="18" t="s">
        <v>679</v>
      </c>
      <c r="H77" s="22" t="n">
        <v>594</v>
      </c>
      <c r="I77" s="28" t="n">
        <v>88.24</v>
      </c>
      <c r="J77" s="18" t="s">
        <v>680</v>
      </c>
      <c r="K77" s="18" t="s">
        <v>226</v>
      </c>
      <c r="L77" s="19" t="n">
        <v>46026</v>
      </c>
      <c r="M77" s="21" t="str">
        <f aca="false">IFERROR(INDEX(Resources!$B$2:$B$500,MATCH(K77,Resources!$A$2:$A$500,0)),"")</f>
        <v>Noah Rahimi</v>
      </c>
      <c r="N77" s="15" t="n">
        <f aca="false">IF(J77="High",Contingency_High,IF(J77="Medium",Contingency_Medium,Contingency_Low))</f>
        <v>0.05</v>
      </c>
      <c r="O77" s="14" t="n">
        <f aca="false">H77*I77</f>
        <v>52414.56</v>
      </c>
      <c r="P77" s="14" t="n">
        <f aca="false">O77*N77</f>
        <v>2620.728</v>
      </c>
      <c r="Q77" s="14" t="n">
        <f aca="false">O77+P77</f>
        <v>55035.288</v>
      </c>
    </row>
    <row r="78" customFormat="false" ht="15" hidden="false" customHeight="false" outlineLevel="0" collapsed="false">
      <c r="A78" s="18" t="s">
        <v>769</v>
      </c>
      <c r="B78" s="18" t="s">
        <v>257</v>
      </c>
      <c r="C78" s="18" t="s">
        <v>676</v>
      </c>
      <c r="D78" s="18" t="s">
        <v>513</v>
      </c>
      <c r="E78" s="18" t="s">
        <v>682</v>
      </c>
      <c r="F78" s="18" t="s">
        <v>382</v>
      </c>
      <c r="G78" s="18" t="s">
        <v>683</v>
      </c>
      <c r="H78" s="22" t="n">
        <v>888</v>
      </c>
      <c r="I78" s="28" t="n">
        <v>88.24</v>
      </c>
      <c r="J78" s="18" t="s">
        <v>680</v>
      </c>
      <c r="K78" s="18" t="s">
        <v>226</v>
      </c>
      <c r="L78" s="19" t="n">
        <v>46026</v>
      </c>
      <c r="M78" s="21" t="str">
        <f aca="false">IFERROR(INDEX(Resources!$B$2:$B$500,MATCH(K78,Resources!$A$2:$A$500,0)),"")</f>
        <v>Noah Rahimi</v>
      </c>
      <c r="N78" s="15" t="n">
        <f aca="false">IF(J78="High",Contingency_High,IF(J78="Medium",Contingency_Medium,Contingency_Low))</f>
        <v>0.05</v>
      </c>
      <c r="O78" s="14" t="n">
        <f aca="false">H78*I78</f>
        <v>78357.12</v>
      </c>
      <c r="P78" s="14" t="n">
        <f aca="false">O78*N78</f>
        <v>3917.856</v>
      </c>
      <c r="Q78" s="14" t="n">
        <f aca="false">O78+P78</f>
        <v>82274.976</v>
      </c>
    </row>
    <row r="79" customFormat="false" ht="15" hidden="false" customHeight="false" outlineLevel="0" collapsed="false">
      <c r="A79" s="18" t="s">
        <v>770</v>
      </c>
      <c r="B79" s="18" t="s">
        <v>257</v>
      </c>
      <c r="C79" s="18" t="s">
        <v>676</v>
      </c>
      <c r="D79" s="18" t="s">
        <v>513</v>
      </c>
      <c r="E79" s="18" t="s">
        <v>685</v>
      </c>
      <c r="F79" s="18" t="s">
        <v>686</v>
      </c>
      <c r="G79" s="18" t="s">
        <v>327</v>
      </c>
      <c r="H79" s="22" t="n">
        <v>2324</v>
      </c>
      <c r="I79" s="28" t="n">
        <v>88.24</v>
      </c>
      <c r="J79" s="18" t="s">
        <v>687</v>
      </c>
      <c r="K79" s="18" t="s">
        <v>226</v>
      </c>
      <c r="L79" s="19" t="n">
        <v>46026</v>
      </c>
      <c r="M79" s="21" t="str">
        <f aca="false">IFERROR(INDEX(Resources!$B$2:$B$500,MATCH(K79,Resources!$A$2:$A$500,0)),"")</f>
        <v>Noah Rahimi</v>
      </c>
      <c r="N79" s="15" t="n">
        <f aca="false">IF(J79="High",Contingency_High,IF(J79="Medium",Contingency_Medium,Contingency_Low))</f>
        <v>0.1</v>
      </c>
      <c r="O79" s="14" t="n">
        <f aca="false">H79*I79</f>
        <v>205069.76</v>
      </c>
      <c r="P79" s="14" t="n">
        <f aca="false">O79*N79</f>
        <v>20506.976</v>
      </c>
      <c r="Q79" s="14" t="n">
        <f aca="false">O79+P79</f>
        <v>225576.736</v>
      </c>
    </row>
    <row r="80" customFormat="false" ht="15" hidden="false" customHeight="false" outlineLevel="0" collapsed="false">
      <c r="A80" s="18" t="s">
        <v>771</v>
      </c>
      <c r="B80" s="18" t="s">
        <v>257</v>
      </c>
      <c r="C80" s="18" t="s">
        <v>676</v>
      </c>
      <c r="D80" s="18" t="s">
        <v>513</v>
      </c>
      <c r="E80" s="18" t="s">
        <v>689</v>
      </c>
      <c r="F80" s="18" t="s">
        <v>690</v>
      </c>
      <c r="G80" s="18" t="s">
        <v>691</v>
      </c>
      <c r="H80" s="22" t="n">
        <v>1238</v>
      </c>
      <c r="I80" s="28" t="n">
        <v>88.24</v>
      </c>
      <c r="J80" s="18" t="s">
        <v>680</v>
      </c>
      <c r="K80" s="18" t="s">
        <v>226</v>
      </c>
      <c r="L80" s="19" t="n">
        <v>46026</v>
      </c>
      <c r="M80" s="21" t="str">
        <f aca="false">IFERROR(INDEX(Resources!$B$2:$B$500,MATCH(K80,Resources!$A$2:$A$500,0)),"")</f>
        <v>Noah Rahimi</v>
      </c>
      <c r="N80" s="15" t="n">
        <f aca="false">IF(J80="High",Contingency_High,IF(J80="Medium",Contingency_Medium,Contingency_Low))</f>
        <v>0.05</v>
      </c>
      <c r="O80" s="14" t="n">
        <f aca="false">H80*I80</f>
        <v>109241.12</v>
      </c>
      <c r="P80" s="14" t="n">
        <f aca="false">O80*N80</f>
        <v>5462.056</v>
      </c>
      <c r="Q80" s="14" t="n">
        <f aca="false">O80+P80</f>
        <v>114703.176</v>
      </c>
    </row>
    <row r="81" customFormat="false" ht="15" hidden="false" customHeight="false" outlineLevel="0" collapsed="false">
      <c r="A81" s="18" t="s">
        <v>772</v>
      </c>
      <c r="B81" s="18" t="s">
        <v>257</v>
      </c>
      <c r="C81" s="18" t="s">
        <v>676</v>
      </c>
      <c r="D81" s="18" t="s">
        <v>513</v>
      </c>
      <c r="E81" s="18" t="s">
        <v>693</v>
      </c>
      <c r="F81" s="18" t="s">
        <v>694</v>
      </c>
      <c r="G81" s="18" t="s">
        <v>695</v>
      </c>
      <c r="H81" s="22" t="n">
        <v>624</v>
      </c>
      <c r="I81" s="28" t="n">
        <v>88.24</v>
      </c>
      <c r="J81" s="18" t="s">
        <v>680</v>
      </c>
      <c r="K81" s="18" t="s">
        <v>226</v>
      </c>
      <c r="L81" s="19" t="n">
        <v>46026</v>
      </c>
      <c r="M81" s="21" t="str">
        <f aca="false">IFERROR(INDEX(Resources!$B$2:$B$500,MATCH(K81,Resources!$A$2:$A$500,0)),"")</f>
        <v>Noah Rahimi</v>
      </c>
      <c r="N81" s="15" t="n">
        <f aca="false">IF(J81="High",Contingency_High,IF(J81="Medium",Contingency_Medium,Contingency_Low))</f>
        <v>0.05</v>
      </c>
      <c r="O81" s="14" t="n">
        <f aca="false">H81*I81</f>
        <v>55061.76</v>
      </c>
      <c r="P81" s="14" t="n">
        <f aca="false">O81*N81</f>
        <v>2753.088</v>
      </c>
      <c r="Q81" s="14" t="n">
        <f aca="false">O81+P81</f>
        <v>57814.848</v>
      </c>
    </row>
    <row r="82" customFormat="false" ht="15" hidden="false" customHeight="false" outlineLevel="0" collapsed="false">
      <c r="A82" s="18" t="s">
        <v>773</v>
      </c>
      <c r="B82" s="18" t="s">
        <v>261</v>
      </c>
      <c r="C82" s="18" t="s">
        <v>676</v>
      </c>
      <c r="D82" s="18" t="s">
        <v>513</v>
      </c>
      <c r="E82" s="18" t="s">
        <v>677</v>
      </c>
      <c r="F82" s="18" t="s">
        <v>678</v>
      </c>
      <c r="G82" s="18" t="s">
        <v>679</v>
      </c>
      <c r="H82" s="22" t="n">
        <v>322</v>
      </c>
      <c r="I82" s="28" t="n">
        <v>90.53</v>
      </c>
      <c r="J82" s="18" t="s">
        <v>680</v>
      </c>
      <c r="K82" s="18" t="s">
        <v>247</v>
      </c>
      <c r="L82" s="19" t="n">
        <v>46130</v>
      </c>
      <c r="M82" s="21" t="str">
        <f aca="false">IFERROR(INDEX(Resources!$B$2:$B$500,MATCH(K82,Resources!$A$2:$A$500,0)),"")</f>
        <v>Arjun Baptiste</v>
      </c>
      <c r="N82" s="15" t="n">
        <f aca="false">IF(J82="High",Contingency_High,IF(J82="Medium",Contingency_Medium,Contingency_Low))</f>
        <v>0.05</v>
      </c>
      <c r="O82" s="14" t="n">
        <f aca="false">H82*I82</f>
        <v>29150.66</v>
      </c>
      <c r="P82" s="14" t="n">
        <f aca="false">O82*N82</f>
        <v>1457.533</v>
      </c>
      <c r="Q82" s="14" t="n">
        <f aca="false">O82+P82</f>
        <v>30608.193</v>
      </c>
    </row>
    <row r="83" customFormat="false" ht="15" hidden="false" customHeight="false" outlineLevel="0" collapsed="false">
      <c r="A83" s="18" t="s">
        <v>774</v>
      </c>
      <c r="B83" s="18" t="s">
        <v>261</v>
      </c>
      <c r="C83" s="18" t="s">
        <v>676</v>
      </c>
      <c r="D83" s="18" t="s">
        <v>513</v>
      </c>
      <c r="E83" s="18" t="s">
        <v>682</v>
      </c>
      <c r="F83" s="18" t="s">
        <v>382</v>
      </c>
      <c r="G83" s="18" t="s">
        <v>683</v>
      </c>
      <c r="H83" s="22" t="n">
        <v>502</v>
      </c>
      <c r="I83" s="28" t="n">
        <v>90.53</v>
      </c>
      <c r="J83" s="18" t="s">
        <v>680</v>
      </c>
      <c r="K83" s="18" t="s">
        <v>247</v>
      </c>
      <c r="L83" s="19" t="n">
        <v>46130</v>
      </c>
      <c r="M83" s="21" t="str">
        <f aca="false">IFERROR(INDEX(Resources!$B$2:$B$500,MATCH(K83,Resources!$A$2:$A$500,0)),"")</f>
        <v>Arjun Baptiste</v>
      </c>
      <c r="N83" s="15" t="n">
        <f aca="false">IF(J83="High",Contingency_High,IF(J83="Medium",Contingency_Medium,Contingency_Low))</f>
        <v>0.05</v>
      </c>
      <c r="O83" s="14" t="n">
        <f aca="false">H83*I83</f>
        <v>45446.06</v>
      </c>
      <c r="P83" s="14" t="n">
        <f aca="false">O83*N83</f>
        <v>2272.303</v>
      </c>
      <c r="Q83" s="14" t="n">
        <f aca="false">O83+P83</f>
        <v>47718.363</v>
      </c>
    </row>
    <row r="84" customFormat="false" ht="15" hidden="false" customHeight="false" outlineLevel="0" collapsed="false">
      <c r="A84" s="18" t="s">
        <v>775</v>
      </c>
      <c r="B84" s="18" t="s">
        <v>261</v>
      </c>
      <c r="C84" s="18" t="s">
        <v>676</v>
      </c>
      <c r="D84" s="18" t="s">
        <v>513</v>
      </c>
      <c r="E84" s="18" t="s">
        <v>685</v>
      </c>
      <c r="F84" s="18" t="s">
        <v>686</v>
      </c>
      <c r="G84" s="18" t="s">
        <v>327</v>
      </c>
      <c r="H84" s="22" t="n">
        <v>1314</v>
      </c>
      <c r="I84" s="28" t="n">
        <v>90.53</v>
      </c>
      <c r="J84" s="18" t="s">
        <v>687</v>
      </c>
      <c r="K84" s="18" t="s">
        <v>247</v>
      </c>
      <c r="L84" s="19" t="n">
        <v>46130</v>
      </c>
      <c r="M84" s="21" t="str">
        <f aca="false">IFERROR(INDEX(Resources!$B$2:$B$500,MATCH(K84,Resources!$A$2:$A$500,0)),"")</f>
        <v>Arjun Baptiste</v>
      </c>
      <c r="N84" s="15" t="n">
        <f aca="false">IF(J84="High",Contingency_High,IF(J84="Medium",Contingency_Medium,Contingency_Low))</f>
        <v>0.1</v>
      </c>
      <c r="O84" s="14" t="n">
        <f aca="false">H84*I84</f>
        <v>118956.42</v>
      </c>
      <c r="P84" s="14" t="n">
        <f aca="false">O84*N84</f>
        <v>11895.642</v>
      </c>
      <c r="Q84" s="14" t="n">
        <f aca="false">O84+P84</f>
        <v>130852.062</v>
      </c>
    </row>
    <row r="85" customFormat="false" ht="15" hidden="false" customHeight="false" outlineLevel="0" collapsed="false">
      <c r="A85" s="18" t="s">
        <v>776</v>
      </c>
      <c r="B85" s="18" t="s">
        <v>261</v>
      </c>
      <c r="C85" s="18" t="s">
        <v>676</v>
      </c>
      <c r="D85" s="18" t="s">
        <v>513</v>
      </c>
      <c r="E85" s="18" t="s">
        <v>689</v>
      </c>
      <c r="F85" s="18" t="s">
        <v>690</v>
      </c>
      <c r="G85" s="18" t="s">
        <v>691</v>
      </c>
      <c r="H85" s="22" t="n">
        <v>627</v>
      </c>
      <c r="I85" s="28" t="n">
        <v>90.53</v>
      </c>
      <c r="J85" s="18" t="s">
        <v>680</v>
      </c>
      <c r="K85" s="18" t="s">
        <v>247</v>
      </c>
      <c r="L85" s="19" t="n">
        <v>46130</v>
      </c>
      <c r="M85" s="21" t="str">
        <f aca="false">IFERROR(INDEX(Resources!$B$2:$B$500,MATCH(K85,Resources!$A$2:$A$500,0)),"")</f>
        <v>Arjun Baptiste</v>
      </c>
      <c r="N85" s="15" t="n">
        <f aca="false">IF(J85="High",Contingency_High,IF(J85="Medium",Contingency_Medium,Contingency_Low))</f>
        <v>0.05</v>
      </c>
      <c r="O85" s="14" t="n">
        <f aca="false">H85*I85</f>
        <v>56762.31</v>
      </c>
      <c r="P85" s="14" t="n">
        <f aca="false">O85*N85</f>
        <v>2838.1155</v>
      </c>
      <c r="Q85" s="14" t="n">
        <f aca="false">O85+P85</f>
        <v>59600.4255</v>
      </c>
    </row>
    <row r="86" customFormat="false" ht="15" hidden="false" customHeight="false" outlineLevel="0" collapsed="false">
      <c r="A86" s="18" t="s">
        <v>777</v>
      </c>
      <c r="B86" s="18" t="s">
        <v>261</v>
      </c>
      <c r="C86" s="18" t="s">
        <v>676</v>
      </c>
      <c r="D86" s="18" t="s">
        <v>513</v>
      </c>
      <c r="E86" s="18" t="s">
        <v>693</v>
      </c>
      <c r="F86" s="18" t="s">
        <v>694</v>
      </c>
      <c r="G86" s="18" t="s">
        <v>695</v>
      </c>
      <c r="H86" s="22" t="n">
        <v>303</v>
      </c>
      <c r="I86" s="28" t="n">
        <v>90.53</v>
      </c>
      <c r="J86" s="18" t="s">
        <v>680</v>
      </c>
      <c r="K86" s="18" t="s">
        <v>247</v>
      </c>
      <c r="L86" s="19" t="n">
        <v>46130</v>
      </c>
      <c r="M86" s="21" t="str">
        <f aca="false">IFERROR(INDEX(Resources!$B$2:$B$500,MATCH(K86,Resources!$A$2:$A$500,0)),"")</f>
        <v>Arjun Baptiste</v>
      </c>
      <c r="N86" s="15" t="n">
        <f aca="false">IF(J86="High",Contingency_High,IF(J86="Medium",Contingency_Medium,Contingency_Low))</f>
        <v>0.05</v>
      </c>
      <c r="O86" s="14" t="n">
        <f aca="false">H86*I86</f>
        <v>27430.59</v>
      </c>
      <c r="P86" s="14" t="n">
        <f aca="false">O86*N86</f>
        <v>1371.5295</v>
      </c>
      <c r="Q86" s="14" t="n">
        <f aca="false">O86+P86</f>
        <v>28802.1195</v>
      </c>
    </row>
    <row r="87" customFormat="false" ht="15" hidden="false" customHeight="false" outlineLevel="0" collapsed="false">
      <c r="A87" s="18" t="s">
        <v>778</v>
      </c>
      <c r="B87" s="18" t="s">
        <v>265</v>
      </c>
      <c r="C87" s="18" t="s">
        <v>676</v>
      </c>
      <c r="D87" s="18" t="s">
        <v>527</v>
      </c>
      <c r="E87" s="18" t="s">
        <v>677</v>
      </c>
      <c r="F87" s="18" t="s">
        <v>678</v>
      </c>
      <c r="G87" s="18" t="s">
        <v>679</v>
      </c>
      <c r="H87" s="22" t="n">
        <v>821</v>
      </c>
      <c r="I87" s="28" t="n">
        <v>81.15</v>
      </c>
      <c r="J87" s="18" t="s">
        <v>697</v>
      </c>
      <c r="K87" s="18" t="s">
        <v>211</v>
      </c>
      <c r="L87" s="19" t="n">
        <v>45850</v>
      </c>
      <c r="M87" s="21" t="str">
        <f aca="false">IFERROR(INDEX(Resources!$B$2:$B$500,MATCH(K87,Resources!$A$2:$A$500,0)),"")</f>
        <v>Liam Roy</v>
      </c>
      <c r="N87" s="15" t="n">
        <f aca="false">IF(J87="High",Contingency_High,IF(J87="Medium",Contingency_Medium,Contingency_Low))</f>
        <v>0.15</v>
      </c>
      <c r="O87" s="14" t="n">
        <f aca="false">H87*I87</f>
        <v>66624.15</v>
      </c>
      <c r="P87" s="14" t="n">
        <f aca="false">O87*N87</f>
        <v>9993.6225</v>
      </c>
      <c r="Q87" s="14" t="n">
        <f aca="false">O87+P87</f>
        <v>76617.7725</v>
      </c>
    </row>
    <row r="88" customFormat="false" ht="15" hidden="false" customHeight="false" outlineLevel="0" collapsed="false">
      <c r="A88" s="18" t="s">
        <v>779</v>
      </c>
      <c r="B88" s="18" t="s">
        <v>265</v>
      </c>
      <c r="C88" s="18" t="s">
        <v>676</v>
      </c>
      <c r="D88" s="18" t="s">
        <v>527</v>
      </c>
      <c r="E88" s="18" t="s">
        <v>682</v>
      </c>
      <c r="F88" s="18" t="s">
        <v>382</v>
      </c>
      <c r="G88" s="18" t="s">
        <v>683</v>
      </c>
      <c r="H88" s="22" t="n">
        <v>1390</v>
      </c>
      <c r="I88" s="28" t="n">
        <v>81.15</v>
      </c>
      <c r="J88" s="18" t="s">
        <v>697</v>
      </c>
      <c r="K88" s="18" t="s">
        <v>211</v>
      </c>
      <c r="L88" s="19" t="n">
        <v>45850</v>
      </c>
      <c r="M88" s="21" t="str">
        <f aca="false">IFERROR(INDEX(Resources!$B$2:$B$500,MATCH(K88,Resources!$A$2:$A$500,0)),"")</f>
        <v>Liam Roy</v>
      </c>
      <c r="N88" s="15" t="n">
        <f aca="false">IF(J88="High",Contingency_High,IF(J88="Medium",Contingency_Medium,Contingency_Low))</f>
        <v>0.15</v>
      </c>
      <c r="O88" s="14" t="n">
        <f aca="false">H88*I88</f>
        <v>112798.5</v>
      </c>
      <c r="P88" s="14" t="n">
        <f aca="false">O88*N88</f>
        <v>16919.775</v>
      </c>
      <c r="Q88" s="14" t="n">
        <f aca="false">O88+P88</f>
        <v>129718.275</v>
      </c>
    </row>
    <row r="89" customFormat="false" ht="15" hidden="false" customHeight="false" outlineLevel="0" collapsed="false">
      <c r="A89" s="18" t="s">
        <v>780</v>
      </c>
      <c r="B89" s="18" t="s">
        <v>265</v>
      </c>
      <c r="C89" s="18" t="s">
        <v>676</v>
      </c>
      <c r="D89" s="18" t="s">
        <v>527</v>
      </c>
      <c r="E89" s="18" t="s">
        <v>685</v>
      </c>
      <c r="F89" s="18" t="s">
        <v>686</v>
      </c>
      <c r="G89" s="18" t="s">
        <v>327</v>
      </c>
      <c r="H89" s="22" t="n">
        <v>3415</v>
      </c>
      <c r="I89" s="28" t="n">
        <v>81.15</v>
      </c>
      <c r="J89" s="18" t="s">
        <v>697</v>
      </c>
      <c r="K89" s="18" t="s">
        <v>211</v>
      </c>
      <c r="L89" s="19" t="n">
        <v>45850</v>
      </c>
      <c r="M89" s="21" t="str">
        <f aca="false">IFERROR(INDEX(Resources!$B$2:$B$500,MATCH(K89,Resources!$A$2:$A$500,0)),"")</f>
        <v>Liam Roy</v>
      </c>
      <c r="N89" s="15" t="n">
        <f aca="false">IF(J89="High",Contingency_High,IF(J89="Medium",Contingency_Medium,Contingency_Low))</f>
        <v>0.15</v>
      </c>
      <c r="O89" s="14" t="n">
        <f aca="false">H89*I89</f>
        <v>277127.25</v>
      </c>
      <c r="P89" s="14" t="n">
        <f aca="false">O89*N89</f>
        <v>41569.0875</v>
      </c>
      <c r="Q89" s="14" t="n">
        <f aca="false">O89+P89</f>
        <v>318696.3375</v>
      </c>
    </row>
    <row r="90" customFormat="false" ht="15" hidden="false" customHeight="false" outlineLevel="0" collapsed="false">
      <c r="A90" s="18" t="s">
        <v>781</v>
      </c>
      <c r="B90" s="18" t="s">
        <v>265</v>
      </c>
      <c r="C90" s="18" t="s">
        <v>676</v>
      </c>
      <c r="D90" s="18" t="s">
        <v>527</v>
      </c>
      <c r="E90" s="18" t="s">
        <v>689</v>
      </c>
      <c r="F90" s="18" t="s">
        <v>690</v>
      </c>
      <c r="G90" s="18" t="s">
        <v>691</v>
      </c>
      <c r="H90" s="22" t="n">
        <v>1767</v>
      </c>
      <c r="I90" s="28" t="n">
        <v>81.15</v>
      </c>
      <c r="J90" s="18" t="s">
        <v>697</v>
      </c>
      <c r="K90" s="18" t="s">
        <v>211</v>
      </c>
      <c r="L90" s="19" t="n">
        <v>45850</v>
      </c>
      <c r="M90" s="21" t="str">
        <f aca="false">IFERROR(INDEX(Resources!$B$2:$B$500,MATCH(K90,Resources!$A$2:$A$500,0)),"")</f>
        <v>Liam Roy</v>
      </c>
      <c r="N90" s="15" t="n">
        <f aca="false">IF(J90="High",Contingency_High,IF(J90="Medium",Contingency_Medium,Contingency_Low))</f>
        <v>0.15</v>
      </c>
      <c r="O90" s="14" t="n">
        <f aca="false">H90*I90</f>
        <v>143392.05</v>
      </c>
      <c r="P90" s="14" t="n">
        <f aca="false">O90*N90</f>
        <v>21508.8075</v>
      </c>
      <c r="Q90" s="14" t="n">
        <f aca="false">O90+P90</f>
        <v>164900.8575</v>
      </c>
    </row>
    <row r="91" customFormat="false" ht="15" hidden="false" customHeight="false" outlineLevel="0" collapsed="false">
      <c r="A91" s="18" t="s">
        <v>782</v>
      </c>
      <c r="B91" s="18" t="s">
        <v>265</v>
      </c>
      <c r="C91" s="18" t="s">
        <v>676</v>
      </c>
      <c r="D91" s="18" t="s">
        <v>527</v>
      </c>
      <c r="E91" s="18" t="s">
        <v>693</v>
      </c>
      <c r="F91" s="18" t="s">
        <v>694</v>
      </c>
      <c r="G91" s="18" t="s">
        <v>695</v>
      </c>
      <c r="H91" s="22" t="n">
        <v>831</v>
      </c>
      <c r="I91" s="28" t="n">
        <v>81.15</v>
      </c>
      <c r="J91" s="18" t="s">
        <v>697</v>
      </c>
      <c r="K91" s="18" t="s">
        <v>211</v>
      </c>
      <c r="L91" s="19" t="n">
        <v>45850</v>
      </c>
      <c r="M91" s="21" t="str">
        <f aca="false">IFERROR(INDEX(Resources!$B$2:$B$500,MATCH(K91,Resources!$A$2:$A$500,0)),"")</f>
        <v>Liam Roy</v>
      </c>
      <c r="N91" s="15" t="n">
        <f aca="false">IF(J91="High",Contingency_High,IF(J91="Medium",Contingency_Medium,Contingency_Low))</f>
        <v>0.15</v>
      </c>
      <c r="O91" s="14" t="n">
        <f aca="false">H91*I91</f>
        <v>67435.65</v>
      </c>
      <c r="P91" s="14" t="n">
        <f aca="false">O91*N91</f>
        <v>10115.3475</v>
      </c>
      <c r="Q91" s="14" t="n">
        <f aca="false">O91+P91</f>
        <v>77550.9975</v>
      </c>
    </row>
    <row r="92" customFormat="false" ht="15" hidden="false" customHeight="false" outlineLevel="0" collapsed="false">
      <c r="A92" s="18" t="s">
        <v>783</v>
      </c>
      <c r="B92" s="18" t="s">
        <v>265</v>
      </c>
      <c r="C92" s="18" t="s">
        <v>703</v>
      </c>
      <c r="D92" s="18" t="s">
        <v>513</v>
      </c>
      <c r="E92" s="18" t="s">
        <v>677</v>
      </c>
      <c r="F92" s="18" t="s">
        <v>678</v>
      </c>
      <c r="G92" s="18" t="s">
        <v>679</v>
      </c>
      <c r="H92" s="22" t="n">
        <v>906</v>
      </c>
      <c r="I92" s="28" t="n">
        <v>82.77</v>
      </c>
      <c r="J92" s="18" t="s">
        <v>687</v>
      </c>
      <c r="K92" s="18" t="s">
        <v>211</v>
      </c>
      <c r="L92" s="19" t="n">
        <v>46218</v>
      </c>
      <c r="M92" s="21" t="str">
        <f aca="false">IFERROR(INDEX(Resources!$B$2:$B$500,MATCH(K92,Resources!$A$2:$A$500,0)),"")</f>
        <v>Liam Roy</v>
      </c>
      <c r="N92" s="15" t="n">
        <f aca="false">IF(J92="High",Contingency_High,IF(J92="Medium",Contingency_Medium,Contingency_Low))</f>
        <v>0.1</v>
      </c>
      <c r="O92" s="14" t="n">
        <f aca="false">H92*I92</f>
        <v>74989.62</v>
      </c>
      <c r="P92" s="14" t="n">
        <f aca="false">O92*N92</f>
        <v>7498.962</v>
      </c>
      <c r="Q92" s="14" t="n">
        <f aca="false">O92+P92</f>
        <v>82488.582</v>
      </c>
    </row>
    <row r="93" customFormat="false" ht="15" hidden="false" customHeight="false" outlineLevel="0" collapsed="false">
      <c r="A93" s="18" t="s">
        <v>784</v>
      </c>
      <c r="B93" s="18" t="s">
        <v>265</v>
      </c>
      <c r="C93" s="18" t="s">
        <v>703</v>
      </c>
      <c r="D93" s="18" t="s">
        <v>513</v>
      </c>
      <c r="E93" s="18" t="s">
        <v>682</v>
      </c>
      <c r="F93" s="18" t="s">
        <v>382</v>
      </c>
      <c r="G93" s="18" t="s">
        <v>683</v>
      </c>
      <c r="H93" s="22" t="n">
        <v>1681</v>
      </c>
      <c r="I93" s="28" t="n">
        <v>82.77</v>
      </c>
      <c r="J93" s="18" t="s">
        <v>687</v>
      </c>
      <c r="K93" s="18" t="s">
        <v>211</v>
      </c>
      <c r="L93" s="19" t="n">
        <v>46218</v>
      </c>
      <c r="M93" s="21" t="str">
        <f aca="false">IFERROR(INDEX(Resources!$B$2:$B$500,MATCH(K93,Resources!$A$2:$A$500,0)),"")</f>
        <v>Liam Roy</v>
      </c>
      <c r="N93" s="15" t="n">
        <f aca="false">IF(J93="High",Contingency_High,IF(J93="Medium",Contingency_Medium,Contingency_Low))</f>
        <v>0.1</v>
      </c>
      <c r="O93" s="14" t="n">
        <f aca="false">H93*I93</f>
        <v>139136.37</v>
      </c>
      <c r="P93" s="14" t="n">
        <f aca="false">O93*N93</f>
        <v>13913.637</v>
      </c>
      <c r="Q93" s="14" t="n">
        <f aca="false">O93+P93</f>
        <v>153050.007</v>
      </c>
    </row>
    <row r="94" customFormat="false" ht="15" hidden="false" customHeight="false" outlineLevel="0" collapsed="false">
      <c r="A94" s="18" t="s">
        <v>785</v>
      </c>
      <c r="B94" s="18" t="s">
        <v>265</v>
      </c>
      <c r="C94" s="18" t="s">
        <v>703</v>
      </c>
      <c r="D94" s="18" t="s">
        <v>513</v>
      </c>
      <c r="E94" s="18" t="s">
        <v>685</v>
      </c>
      <c r="F94" s="18" t="s">
        <v>686</v>
      </c>
      <c r="G94" s="18" t="s">
        <v>327</v>
      </c>
      <c r="H94" s="22" t="n">
        <v>4723</v>
      </c>
      <c r="I94" s="28" t="n">
        <v>82.77</v>
      </c>
      <c r="J94" s="18" t="s">
        <v>697</v>
      </c>
      <c r="K94" s="18" t="s">
        <v>211</v>
      </c>
      <c r="L94" s="19" t="n">
        <v>46218</v>
      </c>
      <c r="M94" s="21" t="str">
        <f aca="false">IFERROR(INDEX(Resources!$B$2:$B$500,MATCH(K94,Resources!$A$2:$A$500,0)),"")</f>
        <v>Liam Roy</v>
      </c>
      <c r="N94" s="15" t="n">
        <f aca="false">IF(J94="High",Contingency_High,IF(J94="Medium",Contingency_Medium,Contingency_Low))</f>
        <v>0.15</v>
      </c>
      <c r="O94" s="14" t="n">
        <f aca="false">H94*I94</f>
        <v>390922.71</v>
      </c>
      <c r="P94" s="14" t="n">
        <f aca="false">O94*N94</f>
        <v>58638.4065</v>
      </c>
      <c r="Q94" s="14" t="n">
        <f aca="false">O94+P94</f>
        <v>449561.1165</v>
      </c>
    </row>
    <row r="95" customFormat="false" ht="15" hidden="false" customHeight="false" outlineLevel="0" collapsed="false">
      <c r="A95" s="18" t="s">
        <v>786</v>
      </c>
      <c r="B95" s="18" t="s">
        <v>265</v>
      </c>
      <c r="C95" s="18" t="s">
        <v>703</v>
      </c>
      <c r="D95" s="18" t="s">
        <v>513</v>
      </c>
      <c r="E95" s="18" t="s">
        <v>689</v>
      </c>
      <c r="F95" s="18" t="s">
        <v>690</v>
      </c>
      <c r="G95" s="18" t="s">
        <v>691</v>
      </c>
      <c r="H95" s="22" t="n">
        <v>2567</v>
      </c>
      <c r="I95" s="28" t="n">
        <v>82.77</v>
      </c>
      <c r="J95" s="18" t="s">
        <v>697</v>
      </c>
      <c r="K95" s="18" t="s">
        <v>211</v>
      </c>
      <c r="L95" s="19" t="n">
        <v>46218</v>
      </c>
      <c r="M95" s="21" t="str">
        <f aca="false">IFERROR(INDEX(Resources!$B$2:$B$500,MATCH(K95,Resources!$A$2:$A$500,0)),"")</f>
        <v>Liam Roy</v>
      </c>
      <c r="N95" s="15" t="n">
        <f aca="false">IF(J95="High",Contingency_High,IF(J95="Medium",Contingency_Medium,Contingency_Low))</f>
        <v>0.15</v>
      </c>
      <c r="O95" s="14" t="n">
        <f aca="false">H95*I95</f>
        <v>212470.59</v>
      </c>
      <c r="P95" s="14" t="n">
        <f aca="false">O95*N95</f>
        <v>31870.5885</v>
      </c>
      <c r="Q95" s="14" t="n">
        <f aca="false">O95+P95</f>
        <v>244341.1785</v>
      </c>
    </row>
    <row r="96" customFormat="false" ht="15" hidden="false" customHeight="false" outlineLevel="0" collapsed="false">
      <c r="A96" s="18" t="s">
        <v>787</v>
      </c>
      <c r="B96" s="18" t="s">
        <v>265</v>
      </c>
      <c r="C96" s="18" t="s">
        <v>703</v>
      </c>
      <c r="D96" s="18" t="s">
        <v>513</v>
      </c>
      <c r="E96" s="18" t="s">
        <v>693</v>
      </c>
      <c r="F96" s="18" t="s">
        <v>694</v>
      </c>
      <c r="G96" s="18" t="s">
        <v>695</v>
      </c>
      <c r="H96" s="22" t="n">
        <v>1178</v>
      </c>
      <c r="I96" s="28" t="n">
        <v>82.77</v>
      </c>
      <c r="J96" s="18" t="s">
        <v>697</v>
      </c>
      <c r="K96" s="18" t="s">
        <v>211</v>
      </c>
      <c r="L96" s="19" t="n">
        <v>46218</v>
      </c>
      <c r="M96" s="21" t="str">
        <f aca="false">IFERROR(INDEX(Resources!$B$2:$B$500,MATCH(K96,Resources!$A$2:$A$500,0)),"")</f>
        <v>Liam Roy</v>
      </c>
      <c r="N96" s="15" t="n">
        <f aca="false">IF(J96="High",Contingency_High,IF(J96="Medium",Contingency_Medium,Contingency_Low))</f>
        <v>0.15</v>
      </c>
      <c r="O96" s="14" t="n">
        <f aca="false">H96*I96</f>
        <v>97503.06</v>
      </c>
      <c r="P96" s="14" t="n">
        <f aca="false">O96*N96</f>
        <v>14625.459</v>
      </c>
      <c r="Q96" s="14" t="n">
        <f aca="false">O96+P96</f>
        <v>112128.519</v>
      </c>
    </row>
    <row r="97" customFormat="false" ht="15" hidden="false" customHeight="false" outlineLevel="0" collapsed="false">
      <c r="A97" s="18" t="s">
        <v>788</v>
      </c>
      <c r="B97" s="18" t="s">
        <v>267</v>
      </c>
      <c r="C97" s="18" t="s">
        <v>676</v>
      </c>
      <c r="D97" s="18" t="s">
        <v>513</v>
      </c>
      <c r="E97" s="18" t="s">
        <v>677</v>
      </c>
      <c r="F97" s="18" t="s">
        <v>678</v>
      </c>
      <c r="G97" s="18" t="s">
        <v>679</v>
      </c>
      <c r="H97" s="22" t="n">
        <v>685</v>
      </c>
      <c r="I97" s="28" t="n">
        <v>101.09</v>
      </c>
      <c r="J97" s="18" t="s">
        <v>680</v>
      </c>
      <c r="K97" s="18" t="s">
        <v>242</v>
      </c>
      <c r="L97" s="19" t="n">
        <v>45804</v>
      </c>
      <c r="M97" s="21" t="str">
        <f aca="false">IFERROR(INDEX(Resources!$B$2:$B$500,MATCH(K97,Resources!$A$2:$A$500,0)),"")</f>
        <v>Ethan Park</v>
      </c>
      <c r="N97" s="15" t="n">
        <f aca="false">IF(J97="High",Contingency_High,IF(J97="Medium",Contingency_Medium,Contingency_Low))</f>
        <v>0.05</v>
      </c>
      <c r="O97" s="14" t="n">
        <f aca="false">H97*I97</f>
        <v>69246.65</v>
      </c>
      <c r="P97" s="14" t="n">
        <f aca="false">O97*N97</f>
        <v>3462.3325</v>
      </c>
      <c r="Q97" s="14" t="n">
        <f aca="false">O97+P97</f>
        <v>72708.9825</v>
      </c>
    </row>
    <row r="98" customFormat="false" ht="15" hidden="false" customHeight="false" outlineLevel="0" collapsed="false">
      <c r="A98" s="18" t="s">
        <v>789</v>
      </c>
      <c r="B98" s="18" t="s">
        <v>267</v>
      </c>
      <c r="C98" s="18" t="s">
        <v>676</v>
      </c>
      <c r="D98" s="18" t="s">
        <v>513</v>
      </c>
      <c r="E98" s="18" t="s">
        <v>682</v>
      </c>
      <c r="F98" s="18" t="s">
        <v>382</v>
      </c>
      <c r="G98" s="18" t="s">
        <v>683</v>
      </c>
      <c r="H98" s="22" t="n">
        <v>1124</v>
      </c>
      <c r="I98" s="28" t="n">
        <v>101.09</v>
      </c>
      <c r="J98" s="18" t="s">
        <v>680</v>
      </c>
      <c r="K98" s="18" t="s">
        <v>242</v>
      </c>
      <c r="L98" s="19" t="n">
        <v>45804</v>
      </c>
      <c r="M98" s="21" t="str">
        <f aca="false">IFERROR(INDEX(Resources!$B$2:$B$500,MATCH(K98,Resources!$A$2:$A$500,0)),"")</f>
        <v>Ethan Park</v>
      </c>
      <c r="N98" s="15" t="n">
        <f aca="false">IF(J98="High",Contingency_High,IF(J98="Medium",Contingency_Medium,Contingency_Low))</f>
        <v>0.05</v>
      </c>
      <c r="O98" s="14" t="n">
        <f aca="false">H98*I98</f>
        <v>113625.16</v>
      </c>
      <c r="P98" s="14" t="n">
        <f aca="false">O98*N98</f>
        <v>5681.258</v>
      </c>
      <c r="Q98" s="14" t="n">
        <f aca="false">O98+P98</f>
        <v>119306.418</v>
      </c>
    </row>
    <row r="99" customFormat="false" ht="15" hidden="false" customHeight="false" outlineLevel="0" collapsed="false">
      <c r="A99" s="18" t="s">
        <v>790</v>
      </c>
      <c r="B99" s="18" t="s">
        <v>267</v>
      </c>
      <c r="C99" s="18" t="s">
        <v>676</v>
      </c>
      <c r="D99" s="18" t="s">
        <v>513</v>
      </c>
      <c r="E99" s="18" t="s">
        <v>685</v>
      </c>
      <c r="F99" s="18" t="s">
        <v>686</v>
      </c>
      <c r="G99" s="18" t="s">
        <v>327</v>
      </c>
      <c r="H99" s="22" t="n">
        <v>3031</v>
      </c>
      <c r="I99" s="28" t="n">
        <v>101.09</v>
      </c>
      <c r="J99" s="18" t="s">
        <v>687</v>
      </c>
      <c r="K99" s="18" t="s">
        <v>242</v>
      </c>
      <c r="L99" s="19" t="n">
        <v>45804</v>
      </c>
      <c r="M99" s="21" t="str">
        <f aca="false">IFERROR(INDEX(Resources!$B$2:$B$500,MATCH(K99,Resources!$A$2:$A$500,0)),"")</f>
        <v>Ethan Park</v>
      </c>
      <c r="N99" s="15" t="n">
        <f aca="false">IF(J99="High",Contingency_High,IF(J99="Medium",Contingency_Medium,Contingency_Low))</f>
        <v>0.1</v>
      </c>
      <c r="O99" s="14" t="n">
        <f aca="false">H99*I99</f>
        <v>306403.79</v>
      </c>
      <c r="P99" s="14" t="n">
        <f aca="false">O99*N99</f>
        <v>30640.379</v>
      </c>
      <c r="Q99" s="14" t="n">
        <f aca="false">O99+P99</f>
        <v>337044.169</v>
      </c>
    </row>
    <row r="100" customFormat="false" ht="15" hidden="false" customHeight="false" outlineLevel="0" collapsed="false">
      <c r="A100" s="18" t="s">
        <v>791</v>
      </c>
      <c r="B100" s="18" t="s">
        <v>267</v>
      </c>
      <c r="C100" s="18" t="s">
        <v>676</v>
      </c>
      <c r="D100" s="18" t="s">
        <v>513</v>
      </c>
      <c r="E100" s="18" t="s">
        <v>689</v>
      </c>
      <c r="F100" s="18" t="s">
        <v>690</v>
      </c>
      <c r="G100" s="18" t="s">
        <v>691</v>
      </c>
      <c r="H100" s="22" t="n">
        <v>1238</v>
      </c>
      <c r="I100" s="28" t="n">
        <v>101.09</v>
      </c>
      <c r="J100" s="18" t="s">
        <v>680</v>
      </c>
      <c r="K100" s="18" t="s">
        <v>242</v>
      </c>
      <c r="L100" s="19" t="n">
        <v>45804</v>
      </c>
      <c r="M100" s="21" t="str">
        <f aca="false">IFERROR(INDEX(Resources!$B$2:$B$500,MATCH(K100,Resources!$A$2:$A$500,0)),"")</f>
        <v>Ethan Park</v>
      </c>
      <c r="N100" s="15" t="n">
        <f aca="false">IF(J100="High",Contingency_High,IF(J100="Medium",Contingency_Medium,Contingency_Low))</f>
        <v>0.05</v>
      </c>
      <c r="O100" s="14" t="n">
        <f aca="false">H100*I100</f>
        <v>125149.42</v>
      </c>
      <c r="P100" s="14" t="n">
        <f aca="false">O100*N100</f>
        <v>6257.471</v>
      </c>
      <c r="Q100" s="14" t="n">
        <f aca="false">O100+P100</f>
        <v>131406.891</v>
      </c>
    </row>
    <row r="101" customFormat="false" ht="15" hidden="false" customHeight="false" outlineLevel="0" collapsed="false">
      <c r="A101" s="18" t="s">
        <v>792</v>
      </c>
      <c r="B101" s="18" t="s">
        <v>267</v>
      </c>
      <c r="C101" s="18" t="s">
        <v>676</v>
      </c>
      <c r="D101" s="18" t="s">
        <v>513</v>
      </c>
      <c r="E101" s="18" t="s">
        <v>693</v>
      </c>
      <c r="F101" s="18" t="s">
        <v>694</v>
      </c>
      <c r="G101" s="18" t="s">
        <v>695</v>
      </c>
      <c r="H101" s="22" t="n">
        <v>642</v>
      </c>
      <c r="I101" s="28" t="n">
        <v>101.09</v>
      </c>
      <c r="J101" s="18" t="s">
        <v>680</v>
      </c>
      <c r="K101" s="18" t="s">
        <v>242</v>
      </c>
      <c r="L101" s="19" t="n">
        <v>45804</v>
      </c>
      <c r="M101" s="21" t="str">
        <f aca="false">IFERROR(INDEX(Resources!$B$2:$B$500,MATCH(K101,Resources!$A$2:$A$500,0)),"")</f>
        <v>Ethan Park</v>
      </c>
      <c r="N101" s="15" t="n">
        <f aca="false">IF(J101="High",Contingency_High,IF(J101="Medium",Contingency_Medium,Contingency_Low))</f>
        <v>0.05</v>
      </c>
      <c r="O101" s="14" t="n">
        <f aca="false">H101*I101</f>
        <v>64899.78</v>
      </c>
      <c r="P101" s="14" t="n">
        <f aca="false">O101*N101</f>
        <v>3244.989</v>
      </c>
      <c r="Q101" s="14" t="n">
        <f aca="false">O101+P101</f>
        <v>68144.769</v>
      </c>
    </row>
    <row r="102" customFormat="false" ht="15" hidden="false" customHeight="false" outlineLevel="0" collapsed="false">
      <c r="A102" s="18" t="s">
        <v>793</v>
      </c>
      <c r="B102" s="18" t="s">
        <v>270</v>
      </c>
      <c r="C102" s="18" t="s">
        <v>676</v>
      </c>
      <c r="D102" s="18" t="s">
        <v>527</v>
      </c>
      <c r="E102" s="18" t="s">
        <v>677</v>
      </c>
      <c r="F102" s="18" t="s">
        <v>678</v>
      </c>
      <c r="G102" s="18" t="s">
        <v>679</v>
      </c>
      <c r="H102" s="22" t="n">
        <v>742</v>
      </c>
      <c r="I102" s="28" t="n">
        <v>80.9</v>
      </c>
      <c r="J102" s="18" t="s">
        <v>687</v>
      </c>
      <c r="K102" s="18" t="s">
        <v>237</v>
      </c>
      <c r="L102" s="19" t="n">
        <v>46073</v>
      </c>
      <c r="M102" s="21" t="str">
        <f aca="false">IFERROR(INDEX(Resources!$B$2:$B$500,MATCH(K102,Resources!$A$2:$A$500,0)),"")</f>
        <v>Olivia Silva</v>
      </c>
      <c r="N102" s="15" t="n">
        <f aca="false">IF(J102="High",Contingency_High,IF(J102="Medium",Contingency_Medium,Contingency_Low))</f>
        <v>0.1</v>
      </c>
      <c r="O102" s="14" t="n">
        <f aca="false">H102*I102</f>
        <v>60027.8</v>
      </c>
      <c r="P102" s="14" t="n">
        <f aca="false">O102*N102</f>
        <v>6002.78</v>
      </c>
      <c r="Q102" s="14" t="n">
        <f aca="false">O102+P102</f>
        <v>66030.58</v>
      </c>
    </row>
    <row r="103" customFormat="false" ht="15" hidden="false" customHeight="false" outlineLevel="0" collapsed="false">
      <c r="A103" s="18" t="s">
        <v>794</v>
      </c>
      <c r="B103" s="18" t="s">
        <v>270</v>
      </c>
      <c r="C103" s="18" t="s">
        <v>676</v>
      </c>
      <c r="D103" s="18" t="s">
        <v>527</v>
      </c>
      <c r="E103" s="18" t="s">
        <v>682</v>
      </c>
      <c r="F103" s="18" t="s">
        <v>382</v>
      </c>
      <c r="G103" s="18" t="s">
        <v>683</v>
      </c>
      <c r="H103" s="22" t="n">
        <v>1303</v>
      </c>
      <c r="I103" s="28" t="n">
        <v>80.9</v>
      </c>
      <c r="J103" s="18" t="s">
        <v>687</v>
      </c>
      <c r="K103" s="18" t="s">
        <v>237</v>
      </c>
      <c r="L103" s="19" t="n">
        <v>46073</v>
      </c>
      <c r="M103" s="21" t="str">
        <f aca="false">IFERROR(INDEX(Resources!$B$2:$B$500,MATCH(K103,Resources!$A$2:$A$500,0)),"")</f>
        <v>Olivia Silva</v>
      </c>
      <c r="N103" s="15" t="n">
        <f aca="false">IF(J103="High",Contingency_High,IF(J103="Medium",Contingency_Medium,Contingency_Low))</f>
        <v>0.1</v>
      </c>
      <c r="O103" s="14" t="n">
        <f aca="false">H103*I103</f>
        <v>105412.7</v>
      </c>
      <c r="P103" s="14" t="n">
        <f aca="false">O103*N103</f>
        <v>10541.27</v>
      </c>
      <c r="Q103" s="14" t="n">
        <f aca="false">O103+P103</f>
        <v>115953.97</v>
      </c>
    </row>
    <row r="104" customFormat="false" ht="15" hidden="false" customHeight="false" outlineLevel="0" collapsed="false">
      <c r="A104" s="18" t="s">
        <v>795</v>
      </c>
      <c r="B104" s="18" t="s">
        <v>270</v>
      </c>
      <c r="C104" s="18" t="s">
        <v>676</v>
      </c>
      <c r="D104" s="18" t="s">
        <v>527</v>
      </c>
      <c r="E104" s="18" t="s">
        <v>685</v>
      </c>
      <c r="F104" s="18" t="s">
        <v>686</v>
      </c>
      <c r="G104" s="18" t="s">
        <v>327</v>
      </c>
      <c r="H104" s="22" t="n">
        <v>3718</v>
      </c>
      <c r="I104" s="28" t="n">
        <v>80.9</v>
      </c>
      <c r="J104" s="18" t="s">
        <v>687</v>
      </c>
      <c r="K104" s="18" t="s">
        <v>237</v>
      </c>
      <c r="L104" s="19" t="n">
        <v>46073</v>
      </c>
      <c r="M104" s="21" t="str">
        <f aca="false">IFERROR(INDEX(Resources!$B$2:$B$500,MATCH(K104,Resources!$A$2:$A$500,0)),"")</f>
        <v>Olivia Silva</v>
      </c>
      <c r="N104" s="15" t="n">
        <f aca="false">IF(J104="High",Contingency_High,IF(J104="Medium",Contingency_Medium,Contingency_Low))</f>
        <v>0.1</v>
      </c>
      <c r="O104" s="14" t="n">
        <f aca="false">H104*I104</f>
        <v>300786.2</v>
      </c>
      <c r="P104" s="14" t="n">
        <f aca="false">O104*N104</f>
        <v>30078.62</v>
      </c>
      <c r="Q104" s="14" t="n">
        <f aca="false">O104+P104</f>
        <v>330864.82</v>
      </c>
    </row>
    <row r="105" customFormat="false" ht="15" hidden="false" customHeight="false" outlineLevel="0" collapsed="false">
      <c r="A105" s="18" t="s">
        <v>796</v>
      </c>
      <c r="B105" s="18" t="s">
        <v>270</v>
      </c>
      <c r="C105" s="18" t="s">
        <v>676</v>
      </c>
      <c r="D105" s="18" t="s">
        <v>527</v>
      </c>
      <c r="E105" s="18" t="s">
        <v>689</v>
      </c>
      <c r="F105" s="18" t="s">
        <v>690</v>
      </c>
      <c r="G105" s="18" t="s">
        <v>691</v>
      </c>
      <c r="H105" s="22" t="n">
        <v>1674</v>
      </c>
      <c r="I105" s="28" t="n">
        <v>80.9</v>
      </c>
      <c r="J105" s="18" t="s">
        <v>687</v>
      </c>
      <c r="K105" s="18" t="s">
        <v>237</v>
      </c>
      <c r="L105" s="19" t="n">
        <v>46073</v>
      </c>
      <c r="M105" s="21" t="str">
        <f aca="false">IFERROR(INDEX(Resources!$B$2:$B$500,MATCH(K105,Resources!$A$2:$A$500,0)),"")</f>
        <v>Olivia Silva</v>
      </c>
      <c r="N105" s="15" t="n">
        <f aca="false">IF(J105="High",Contingency_High,IF(J105="Medium",Contingency_Medium,Contingency_Low))</f>
        <v>0.1</v>
      </c>
      <c r="O105" s="14" t="n">
        <f aca="false">H105*I105</f>
        <v>135426.6</v>
      </c>
      <c r="P105" s="14" t="n">
        <f aca="false">O105*N105</f>
        <v>13542.66</v>
      </c>
      <c r="Q105" s="14" t="n">
        <f aca="false">O105+P105</f>
        <v>148969.26</v>
      </c>
    </row>
    <row r="106" customFormat="false" ht="15" hidden="false" customHeight="false" outlineLevel="0" collapsed="false">
      <c r="A106" s="18" t="s">
        <v>797</v>
      </c>
      <c r="B106" s="18" t="s">
        <v>270</v>
      </c>
      <c r="C106" s="18" t="s">
        <v>676</v>
      </c>
      <c r="D106" s="18" t="s">
        <v>527</v>
      </c>
      <c r="E106" s="18" t="s">
        <v>693</v>
      </c>
      <c r="F106" s="18" t="s">
        <v>694</v>
      </c>
      <c r="G106" s="18" t="s">
        <v>695</v>
      </c>
      <c r="H106" s="22" t="n">
        <v>743</v>
      </c>
      <c r="I106" s="28" t="n">
        <v>80.9</v>
      </c>
      <c r="J106" s="18" t="s">
        <v>687</v>
      </c>
      <c r="K106" s="18" t="s">
        <v>237</v>
      </c>
      <c r="L106" s="19" t="n">
        <v>46073</v>
      </c>
      <c r="M106" s="21" t="str">
        <f aca="false">IFERROR(INDEX(Resources!$B$2:$B$500,MATCH(K106,Resources!$A$2:$A$500,0)),"")</f>
        <v>Olivia Silva</v>
      </c>
      <c r="N106" s="15" t="n">
        <f aca="false">IF(J106="High",Contingency_High,IF(J106="Medium",Contingency_Medium,Contingency_Low))</f>
        <v>0.1</v>
      </c>
      <c r="O106" s="14" t="n">
        <f aca="false">H106*I106</f>
        <v>60108.7</v>
      </c>
      <c r="P106" s="14" t="n">
        <f aca="false">O106*N106</f>
        <v>6010.87</v>
      </c>
      <c r="Q106" s="14" t="n">
        <f aca="false">O106+P106</f>
        <v>66119.57</v>
      </c>
    </row>
    <row r="107" customFormat="false" ht="15" hidden="false" customHeight="false" outlineLevel="0" collapsed="false">
      <c r="A107" s="18" t="s">
        <v>798</v>
      </c>
      <c r="B107" s="18" t="s">
        <v>270</v>
      </c>
      <c r="C107" s="18" t="s">
        <v>703</v>
      </c>
      <c r="D107" s="18" t="s">
        <v>513</v>
      </c>
      <c r="E107" s="18" t="s">
        <v>677</v>
      </c>
      <c r="F107" s="18" t="s">
        <v>678</v>
      </c>
      <c r="G107" s="18" t="s">
        <v>679</v>
      </c>
      <c r="H107" s="22" t="n">
        <v>799</v>
      </c>
      <c r="I107" s="28" t="n">
        <v>82.52</v>
      </c>
      <c r="J107" s="18" t="s">
        <v>687</v>
      </c>
      <c r="K107" s="18" t="s">
        <v>237</v>
      </c>
      <c r="L107" s="19" t="n">
        <v>46218</v>
      </c>
      <c r="M107" s="21" t="str">
        <f aca="false">IFERROR(INDEX(Resources!$B$2:$B$500,MATCH(K107,Resources!$A$2:$A$500,0)),"")</f>
        <v>Olivia Silva</v>
      </c>
      <c r="N107" s="15" t="n">
        <f aca="false">IF(J107="High",Contingency_High,IF(J107="Medium",Contingency_Medium,Contingency_Low))</f>
        <v>0.1</v>
      </c>
      <c r="O107" s="14" t="n">
        <f aca="false">H107*I107</f>
        <v>65933.48</v>
      </c>
      <c r="P107" s="14" t="n">
        <f aca="false">O107*N107</f>
        <v>6593.348</v>
      </c>
      <c r="Q107" s="14" t="n">
        <f aca="false">O107+P107</f>
        <v>72526.828</v>
      </c>
    </row>
    <row r="108" customFormat="false" ht="15" hidden="false" customHeight="false" outlineLevel="0" collapsed="false">
      <c r="A108" s="18" t="s">
        <v>799</v>
      </c>
      <c r="B108" s="18" t="s">
        <v>270</v>
      </c>
      <c r="C108" s="18" t="s">
        <v>703</v>
      </c>
      <c r="D108" s="18" t="s">
        <v>513</v>
      </c>
      <c r="E108" s="18" t="s">
        <v>682</v>
      </c>
      <c r="F108" s="18" t="s">
        <v>382</v>
      </c>
      <c r="G108" s="18" t="s">
        <v>683</v>
      </c>
      <c r="H108" s="22" t="n">
        <v>1501</v>
      </c>
      <c r="I108" s="28" t="n">
        <v>82.52</v>
      </c>
      <c r="J108" s="18" t="s">
        <v>687</v>
      </c>
      <c r="K108" s="18" t="s">
        <v>237</v>
      </c>
      <c r="L108" s="19" t="n">
        <v>46218</v>
      </c>
      <c r="M108" s="21" t="str">
        <f aca="false">IFERROR(INDEX(Resources!$B$2:$B$500,MATCH(K108,Resources!$A$2:$A$500,0)),"")</f>
        <v>Olivia Silva</v>
      </c>
      <c r="N108" s="15" t="n">
        <f aca="false">IF(J108="High",Contingency_High,IF(J108="Medium",Contingency_Medium,Contingency_Low))</f>
        <v>0.1</v>
      </c>
      <c r="O108" s="14" t="n">
        <f aca="false">H108*I108</f>
        <v>123862.52</v>
      </c>
      <c r="P108" s="14" t="n">
        <f aca="false">O108*N108</f>
        <v>12386.252</v>
      </c>
      <c r="Q108" s="14" t="n">
        <f aca="false">O108+P108</f>
        <v>136248.772</v>
      </c>
    </row>
    <row r="109" customFormat="false" ht="15" hidden="false" customHeight="false" outlineLevel="0" collapsed="false">
      <c r="A109" s="18" t="s">
        <v>800</v>
      </c>
      <c r="B109" s="18" t="s">
        <v>270</v>
      </c>
      <c r="C109" s="18" t="s">
        <v>703</v>
      </c>
      <c r="D109" s="18" t="s">
        <v>513</v>
      </c>
      <c r="E109" s="18" t="s">
        <v>685</v>
      </c>
      <c r="F109" s="18" t="s">
        <v>686</v>
      </c>
      <c r="G109" s="18" t="s">
        <v>327</v>
      </c>
      <c r="H109" s="22" t="n">
        <v>4758</v>
      </c>
      <c r="I109" s="28" t="n">
        <v>82.52</v>
      </c>
      <c r="J109" s="18" t="s">
        <v>697</v>
      </c>
      <c r="K109" s="18" t="s">
        <v>237</v>
      </c>
      <c r="L109" s="19" t="n">
        <v>46218</v>
      </c>
      <c r="M109" s="21" t="str">
        <f aca="false">IFERROR(INDEX(Resources!$B$2:$B$500,MATCH(K109,Resources!$A$2:$A$500,0)),"")</f>
        <v>Olivia Silva</v>
      </c>
      <c r="N109" s="15" t="n">
        <f aca="false">IF(J109="High",Contingency_High,IF(J109="Medium",Contingency_Medium,Contingency_Low))</f>
        <v>0.15</v>
      </c>
      <c r="O109" s="14" t="n">
        <f aca="false">H109*I109</f>
        <v>392630.16</v>
      </c>
      <c r="P109" s="14" t="n">
        <f aca="false">O109*N109</f>
        <v>58894.524</v>
      </c>
      <c r="Q109" s="14" t="n">
        <f aca="false">O109+P109</f>
        <v>451524.684</v>
      </c>
    </row>
    <row r="110" customFormat="false" ht="15" hidden="false" customHeight="false" outlineLevel="0" collapsed="false">
      <c r="A110" s="18" t="s">
        <v>801</v>
      </c>
      <c r="B110" s="18" t="s">
        <v>270</v>
      </c>
      <c r="C110" s="18" t="s">
        <v>703</v>
      </c>
      <c r="D110" s="18" t="s">
        <v>513</v>
      </c>
      <c r="E110" s="18" t="s">
        <v>689</v>
      </c>
      <c r="F110" s="18" t="s">
        <v>690</v>
      </c>
      <c r="G110" s="18" t="s">
        <v>691</v>
      </c>
      <c r="H110" s="22" t="n">
        <v>2227</v>
      </c>
      <c r="I110" s="28" t="n">
        <v>82.52</v>
      </c>
      <c r="J110" s="18" t="s">
        <v>697</v>
      </c>
      <c r="K110" s="18" t="s">
        <v>237</v>
      </c>
      <c r="L110" s="19" t="n">
        <v>46218</v>
      </c>
      <c r="M110" s="21" t="str">
        <f aca="false">IFERROR(INDEX(Resources!$B$2:$B$500,MATCH(K110,Resources!$A$2:$A$500,0)),"")</f>
        <v>Olivia Silva</v>
      </c>
      <c r="N110" s="15" t="n">
        <f aca="false">IF(J110="High",Contingency_High,IF(J110="Medium",Contingency_Medium,Contingency_Low))</f>
        <v>0.15</v>
      </c>
      <c r="O110" s="14" t="n">
        <f aca="false">H110*I110</f>
        <v>183772.04</v>
      </c>
      <c r="P110" s="14" t="n">
        <f aca="false">O110*N110</f>
        <v>27565.806</v>
      </c>
      <c r="Q110" s="14" t="n">
        <f aca="false">O110+P110</f>
        <v>211337.846</v>
      </c>
    </row>
    <row r="111" customFormat="false" ht="15" hidden="false" customHeight="false" outlineLevel="0" collapsed="false">
      <c r="A111" s="18" t="s">
        <v>802</v>
      </c>
      <c r="B111" s="18" t="s">
        <v>270</v>
      </c>
      <c r="C111" s="18" t="s">
        <v>703</v>
      </c>
      <c r="D111" s="18" t="s">
        <v>513</v>
      </c>
      <c r="E111" s="18" t="s">
        <v>693</v>
      </c>
      <c r="F111" s="18" t="s">
        <v>694</v>
      </c>
      <c r="G111" s="18" t="s">
        <v>695</v>
      </c>
      <c r="H111" s="22" t="n">
        <v>969</v>
      </c>
      <c r="I111" s="28" t="n">
        <v>82.52</v>
      </c>
      <c r="J111" s="18" t="s">
        <v>697</v>
      </c>
      <c r="K111" s="18" t="s">
        <v>237</v>
      </c>
      <c r="L111" s="19" t="n">
        <v>46218</v>
      </c>
      <c r="M111" s="21" t="str">
        <f aca="false">IFERROR(INDEX(Resources!$B$2:$B$500,MATCH(K111,Resources!$A$2:$A$500,0)),"")</f>
        <v>Olivia Silva</v>
      </c>
      <c r="N111" s="15" t="n">
        <f aca="false">IF(J111="High",Contingency_High,IF(J111="Medium",Contingency_Medium,Contingency_Low))</f>
        <v>0.15</v>
      </c>
      <c r="O111" s="14" t="n">
        <f aca="false">H111*I111</f>
        <v>79961.88</v>
      </c>
      <c r="P111" s="14" t="n">
        <f aca="false">O111*N111</f>
        <v>11994.282</v>
      </c>
      <c r="Q111" s="14" t="n">
        <f aca="false">O111+P111</f>
        <v>91956.162</v>
      </c>
    </row>
    <row r="112" customFormat="false" ht="15" hidden="false" customHeight="false" outlineLevel="0" collapsed="false">
      <c r="A112" s="18" t="s">
        <v>803</v>
      </c>
      <c r="B112" s="18" t="s">
        <v>272</v>
      </c>
      <c r="C112" s="18" t="s">
        <v>676</v>
      </c>
      <c r="D112" s="18" t="s">
        <v>513</v>
      </c>
      <c r="E112" s="18" t="s">
        <v>677</v>
      </c>
      <c r="F112" s="18" t="s">
        <v>678</v>
      </c>
      <c r="G112" s="18" t="s">
        <v>679</v>
      </c>
      <c r="H112" s="22" t="n">
        <v>260</v>
      </c>
      <c r="I112" s="28" t="n">
        <v>86.65</v>
      </c>
      <c r="J112" s="18" t="s">
        <v>680</v>
      </c>
      <c r="K112" s="18" t="s">
        <v>201</v>
      </c>
      <c r="L112" s="19" t="n">
        <v>46098</v>
      </c>
      <c r="M112" s="21" t="str">
        <f aca="false">IFERROR(INDEX(Resources!$B$2:$B$500,MATCH(K112,Resources!$A$2:$A$500,0)),"")</f>
        <v>Aisha Tremblay</v>
      </c>
      <c r="N112" s="15" t="n">
        <f aca="false">IF(J112="High",Contingency_High,IF(J112="Medium",Contingency_Medium,Contingency_Low))</f>
        <v>0.05</v>
      </c>
      <c r="O112" s="14" t="n">
        <f aca="false">H112*I112</f>
        <v>22529</v>
      </c>
      <c r="P112" s="14" t="n">
        <f aca="false">O112*N112</f>
        <v>1126.45</v>
      </c>
      <c r="Q112" s="14" t="n">
        <f aca="false">O112+P112</f>
        <v>23655.45</v>
      </c>
    </row>
    <row r="113" customFormat="false" ht="15" hidden="false" customHeight="false" outlineLevel="0" collapsed="false">
      <c r="A113" s="18" t="s">
        <v>804</v>
      </c>
      <c r="B113" s="18" t="s">
        <v>272</v>
      </c>
      <c r="C113" s="18" t="s">
        <v>676</v>
      </c>
      <c r="D113" s="18" t="s">
        <v>513</v>
      </c>
      <c r="E113" s="18" t="s">
        <v>682</v>
      </c>
      <c r="F113" s="18" t="s">
        <v>382</v>
      </c>
      <c r="G113" s="18" t="s">
        <v>683</v>
      </c>
      <c r="H113" s="22" t="n">
        <v>435</v>
      </c>
      <c r="I113" s="28" t="n">
        <v>86.65</v>
      </c>
      <c r="J113" s="18" t="s">
        <v>680</v>
      </c>
      <c r="K113" s="18" t="s">
        <v>201</v>
      </c>
      <c r="L113" s="19" t="n">
        <v>46098</v>
      </c>
      <c r="M113" s="21" t="str">
        <f aca="false">IFERROR(INDEX(Resources!$B$2:$B$500,MATCH(K113,Resources!$A$2:$A$500,0)),"")</f>
        <v>Aisha Tremblay</v>
      </c>
      <c r="N113" s="15" t="n">
        <f aca="false">IF(J113="High",Contingency_High,IF(J113="Medium",Contingency_Medium,Contingency_Low))</f>
        <v>0.05</v>
      </c>
      <c r="O113" s="14" t="n">
        <f aca="false">H113*I113</f>
        <v>37692.75</v>
      </c>
      <c r="P113" s="14" t="n">
        <f aca="false">O113*N113</f>
        <v>1884.6375</v>
      </c>
      <c r="Q113" s="14" t="n">
        <f aca="false">O113+P113</f>
        <v>39577.3875</v>
      </c>
    </row>
    <row r="114" customFormat="false" ht="15" hidden="false" customHeight="false" outlineLevel="0" collapsed="false">
      <c r="A114" s="18" t="s">
        <v>805</v>
      </c>
      <c r="B114" s="18" t="s">
        <v>272</v>
      </c>
      <c r="C114" s="18" t="s">
        <v>676</v>
      </c>
      <c r="D114" s="18" t="s">
        <v>513</v>
      </c>
      <c r="E114" s="18" t="s">
        <v>685</v>
      </c>
      <c r="F114" s="18" t="s">
        <v>686</v>
      </c>
      <c r="G114" s="18" t="s">
        <v>327</v>
      </c>
      <c r="H114" s="22" t="n">
        <v>1179</v>
      </c>
      <c r="I114" s="28" t="n">
        <v>86.65</v>
      </c>
      <c r="J114" s="18" t="s">
        <v>687</v>
      </c>
      <c r="K114" s="18" t="s">
        <v>201</v>
      </c>
      <c r="L114" s="19" t="n">
        <v>46098</v>
      </c>
      <c r="M114" s="21" t="str">
        <f aca="false">IFERROR(INDEX(Resources!$B$2:$B$500,MATCH(K114,Resources!$A$2:$A$500,0)),"")</f>
        <v>Aisha Tremblay</v>
      </c>
      <c r="N114" s="15" t="n">
        <f aca="false">IF(J114="High",Contingency_High,IF(J114="Medium",Contingency_Medium,Contingency_Low))</f>
        <v>0.1</v>
      </c>
      <c r="O114" s="14" t="n">
        <f aca="false">H114*I114</f>
        <v>102160.35</v>
      </c>
      <c r="P114" s="14" t="n">
        <f aca="false">O114*N114</f>
        <v>10216.035</v>
      </c>
      <c r="Q114" s="14" t="n">
        <f aca="false">O114+P114</f>
        <v>112376.385</v>
      </c>
    </row>
    <row r="115" customFormat="false" ht="15" hidden="false" customHeight="false" outlineLevel="0" collapsed="false">
      <c r="A115" s="18" t="s">
        <v>806</v>
      </c>
      <c r="B115" s="18" t="s">
        <v>272</v>
      </c>
      <c r="C115" s="18" t="s">
        <v>676</v>
      </c>
      <c r="D115" s="18" t="s">
        <v>513</v>
      </c>
      <c r="E115" s="18" t="s">
        <v>689</v>
      </c>
      <c r="F115" s="18" t="s">
        <v>690</v>
      </c>
      <c r="G115" s="18" t="s">
        <v>691</v>
      </c>
      <c r="H115" s="22" t="n">
        <v>473</v>
      </c>
      <c r="I115" s="28" t="n">
        <v>86.65</v>
      </c>
      <c r="J115" s="18" t="s">
        <v>680</v>
      </c>
      <c r="K115" s="18" t="s">
        <v>201</v>
      </c>
      <c r="L115" s="19" t="n">
        <v>46098</v>
      </c>
      <c r="M115" s="21" t="str">
        <f aca="false">IFERROR(INDEX(Resources!$B$2:$B$500,MATCH(K115,Resources!$A$2:$A$500,0)),"")</f>
        <v>Aisha Tremblay</v>
      </c>
      <c r="N115" s="15" t="n">
        <f aca="false">IF(J115="High",Contingency_High,IF(J115="Medium",Contingency_Medium,Contingency_Low))</f>
        <v>0.05</v>
      </c>
      <c r="O115" s="14" t="n">
        <f aca="false">H115*I115</f>
        <v>40985.45</v>
      </c>
      <c r="P115" s="14" t="n">
        <f aca="false">O115*N115</f>
        <v>2049.2725</v>
      </c>
      <c r="Q115" s="14" t="n">
        <f aca="false">O115+P115</f>
        <v>43034.7225</v>
      </c>
    </row>
    <row r="116" customFormat="false" ht="15" hidden="false" customHeight="false" outlineLevel="0" collapsed="false">
      <c r="A116" s="18" t="s">
        <v>807</v>
      </c>
      <c r="B116" s="18" t="s">
        <v>272</v>
      </c>
      <c r="C116" s="18" t="s">
        <v>676</v>
      </c>
      <c r="D116" s="18" t="s">
        <v>513</v>
      </c>
      <c r="E116" s="18" t="s">
        <v>693</v>
      </c>
      <c r="F116" s="18" t="s">
        <v>694</v>
      </c>
      <c r="G116" s="18" t="s">
        <v>695</v>
      </c>
      <c r="H116" s="22" t="n">
        <v>248</v>
      </c>
      <c r="I116" s="28" t="n">
        <v>86.65</v>
      </c>
      <c r="J116" s="18" t="s">
        <v>680</v>
      </c>
      <c r="K116" s="18" t="s">
        <v>201</v>
      </c>
      <c r="L116" s="19" t="n">
        <v>46098</v>
      </c>
      <c r="M116" s="21" t="str">
        <f aca="false">IFERROR(INDEX(Resources!$B$2:$B$500,MATCH(K116,Resources!$A$2:$A$500,0)),"")</f>
        <v>Aisha Tremblay</v>
      </c>
      <c r="N116" s="15" t="n">
        <f aca="false">IF(J116="High",Contingency_High,IF(J116="Medium",Contingency_Medium,Contingency_Low))</f>
        <v>0.05</v>
      </c>
      <c r="O116" s="14" t="n">
        <f aca="false">H116*I116</f>
        <v>21489.2</v>
      </c>
      <c r="P116" s="14" t="n">
        <f aca="false">O116*N116</f>
        <v>1074.46</v>
      </c>
      <c r="Q116" s="14" t="n">
        <f aca="false">O116+P116</f>
        <v>22563.66</v>
      </c>
    </row>
    <row r="117" customFormat="false" ht="15" hidden="false" customHeight="false" outlineLevel="0" collapsed="false">
      <c r="A117" s="18" t="s">
        <v>808</v>
      </c>
      <c r="B117" s="18" t="s">
        <v>275</v>
      </c>
      <c r="C117" s="18" t="s">
        <v>676</v>
      </c>
      <c r="D117" s="18" t="s">
        <v>527</v>
      </c>
      <c r="E117" s="18" t="s">
        <v>677</v>
      </c>
      <c r="F117" s="18" t="s">
        <v>678</v>
      </c>
      <c r="G117" s="18" t="s">
        <v>679</v>
      </c>
      <c r="H117" s="22" t="n">
        <v>346</v>
      </c>
      <c r="I117" s="28" t="n">
        <v>74.8</v>
      </c>
      <c r="J117" s="18" t="s">
        <v>687</v>
      </c>
      <c r="K117" s="18" t="s">
        <v>218</v>
      </c>
      <c r="L117" s="19" t="n">
        <v>46010</v>
      </c>
      <c r="M117" s="21" t="str">
        <f aca="false">IFERROR(INDEX(Resources!$B$2:$B$500,MATCH(K117,Resources!$A$2:$A$500,0)),"")</f>
        <v>Mei Fraser</v>
      </c>
      <c r="N117" s="15" t="n">
        <f aca="false">IF(J117="High",Contingency_High,IF(J117="Medium",Contingency_Medium,Contingency_Low))</f>
        <v>0.1</v>
      </c>
      <c r="O117" s="14" t="n">
        <f aca="false">H117*I117</f>
        <v>25880.8</v>
      </c>
      <c r="P117" s="14" t="n">
        <f aca="false">O117*N117</f>
        <v>2588.08</v>
      </c>
      <c r="Q117" s="14" t="n">
        <f aca="false">O117+P117</f>
        <v>28468.88</v>
      </c>
    </row>
    <row r="118" customFormat="false" ht="15" hidden="false" customHeight="false" outlineLevel="0" collapsed="false">
      <c r="A118" s="18" t="s">
        <v>809</v>
      </c>
      <c r="B118" s="18" t="s">
        <v>275</v>
      </c>
      <c r="C118" s="18" t="s">
        <v>676</v>
      </c>
      <c r="D118" s="18" t="s">
        <v>527</v>
      </c>
      <c r="E118" s="18" t="s">
        <v>682</v>
      </c>
      <c r="F118" s="18" t="s">
        <v>382</v>
      </c>
      <c r="G118" s="18" t="s">
        <v>683</v>
      </c>
      <c r="H118" s="22" t="n">
        <v>593</v>
      </c>
      <c r="I118" s="28" t="n">
        <v>74.8</v>
      </c>
      <c r="J118" s="18" t="s">
        <v>687</v>
      </c>
      <c r="K118" s="18" t="s">
        <v>218</v>
      </c>
      <c r="L118" s="19" t="n">
        <v>46010</v>
      </c>
      <c r="M118" s="21" t="str">
        <f aca="false">IFERROR(INDEX(Resources!$B$2:$B$500,MATCH(K118,Resources!$A$2:$A$500,0)),"")</f>
        <v>Mei Fraser</v>
      </c>
      <c r="N118" s="15" t="n">
        <f aca="false">IF(J118="High",Contingency_High,IF(J118="Medium",Contingency_Medium,Contingency_Low))</f>
        <v>0.1</v>
      </c>
      <c r="O118" s="14" t="n">
        <f aca="false">H118*I118</f>
        <v>44356.4</v>
      </c>
      <c r="P118" s="14" t="n">
        <f aca="false">O118*N118</f>
        <v>4435.64</v>
      </c>
      <c r="Q118" s="14" t="n">
        <f aca="false">O118+P118</f>
        <v>48792.04</v>
      </c>
    </row>
    <row r="119" customFormat="false" ht="15" hidden="false" customHeight="false" outlineLevel="0" collapsed="false">
      <c r="A119" s="18" t="s">
        <v>810</v>
      </c>
      <c r="B119" s="18" t="s">
        <v>275</v>
      </c>
      <c r="C119" s="18" t="s">
        <v>676</v>
      </c>
      <c r="D119" s="18" t="s">
        <v>527</v>
      </c>
      <c r="E119" s="18" t="s">
        <v>685</v>
      </c>
      <c r="F119" s="18" t="s">
        <v>686</v>
      </c>
      <c r="G119" s="18" t="s">
        <v>327</v>
      </c>
      <c r="H119" s="22" t="n">
        <v>1438</v>
      </c>
      <c r="I119" s="28" t="n">
        <v>74.8</v>
      </c>
      <c r="J119" s="18" t="s">
        <v>687</v>
      </c>
      <c r="K119" s="18" t="s">
        <v>218</v>
      </c>
      <c r="L119" s="19" t="n">
        <v>46010</v>
      </c>
      <c r="M119" s="21" t="str">
        <f aca="false">IFERROR(INDEX(Resources!$B$2:$B$500,MATCH(K119,Resources!$A$2:$A$500,0)),"")</f>
        <v>Mei Fraser</v>
      </c>
      <c r="N119" s="15" t="n">
        <f aca="false">IF(J119="High",Contingency_High,IF(J119="Medium",Contingency_Medium,Contingency_Low))</f>
        <v>0.1</v>
      </c>
      <c r="O119" s="14" t="n">
        <f aca="false">H119*I119</f>
        <v>107562.4</v>
      </c>
      <c r="P119" s="14" t="n">
        <f aca="false">O119*N119</f>
        <v>10756.24</v>
      </c>
      <c r="Q119" s="14" t="n">
        <f aca="false">O119+P119</f>
        <v>118318.64</v>
      </c>
    </row>
    <row r="120" customFormat="false" ht="15" hidden="false" customHeight="false" outlineLevel="0" collapsed="false">
      <c r="A120" s="18" t="s">
        <v>811</v>
      </c>
      <c r="B120" s="18" t="s">
        <v>275</v>
      </c>
      <c r="C120" s="18" t="s">
        <v>676</v>
      </c>
      <c r="D120" s="18" t="s">
        <v>527</v>
      </c>
      <c r="E120" s="18" t="s">
        <v>689</v>
      </c>
      <c r="F120" s="18" t="s">
        <v>690</v>
      </c>
      <c r="G120" s="18" t="s">
        <v>691</v>
      </c>
      <c r="H120" s="22" t="n">
        <v>642</v>
      </c>
      <c r="I120" s="28" t="n">
        <v>74.8</v>
      </c>
      <c r="J120" s="18" t="s">
        <v>687</v>
      </c>
      <c r="K120" s="18" t="s">
        <v>218</v>
      </c>
      <c r="L120" s="19" t="n">
        <v>46010</v>
      </c>
      <c r="M120" s="21" t="str">
        <f aca="false">IFERROR(INDEX(Resources!$B$2:$B$500,MATCH(K120,Resources!$A$2:$A$500,0)),"")</f>
        <v>Mei Fraser</v>
      </c>
      <c r="N120" s="15" t="n">
        <f aca="false">IF(J120="High",Contingency_High,IF(J120="Medium",Contingency_Medium,Contingency_Low))</f>
        <v>0.1</v>
      </c>
      <c r="O120" s="14" t="n">
        <f aca="false">H120*I120</f>
        <v>48021.6</v>
      </c>
      <c r="P120" s="14" t="n">
        <f aca="false">O120*N120</f>
        <v>4802.16</v>
      </c>
      <c r="Q120" s="14" t="n">
        <f aca="false">O120+P120</f>
        <v>52823.76</v>
      </c>
    </row>
    <row r="121" customFormat="false" ht="15" hidden="false" customHeight="false" outlineLevel="0" collapsed="false">
      <c r="A121" s="18" t="s">
        <v>812</v>
      </c>
      <c r="B121" s="18" t="s">
        <v>275</v>
      </c>
      <c r="C121" s="18" t="s">
        <v>676</v>
      </c>
      <c r="D121" s="18" t="s">
        <v>527</v>
      </c>
      <c r="E121" s="18" t="s">
        <v>693</v>
      </c>
      <c r="F121" s="18" t="s">
        <v>694</v>
      </c>
      <c r="G121" s="18" t="s">
        <v>695</v>
      </c>
      <c r="H121" s="22" t="n">
        <v>381</v>
      </c>
      <c r="I121" s="28" t="n">
        <v>74.8</v>
      </c>
      <c r="J121" s="18" t="s">
        <v>687</v>
      </c>
      <c r="K121" s="18" t="s">
        <v>218</v>
      </c>
      <c r="L121" s="19" t="n">
        <v>46010</v>
      </c>
      <c r="M121" s="21" t="str">
        <f aca="false">IFERROR(INDEX(Resources!$B$2:$B$500,MATCH(K121,Resources!$A$2:$A$500,0)),"")</f>
        <v>Mei Fraser</v>
      </c>
      <c r="N121" s="15" t="n">
        <f aca="false">IF(J121="High",Contingency_High,IF(J121="Medium",Contingency_Medium,Contingency_Low))</f>
        <v>0.1</v>
      </c>
      <c r="O121" s="14" t="n">
        <f aca="false">H121*I121</f>
        <v>28498.8</v>
      </c>
      <c r="P121" s="14" t="n">
        <f aca="false">O121*N121</f>
        <v>2849.88</v>
      </c>
      <c r="Q121" s="14" t="n">
        <f aca="false">O121+P121</f>
        <v>31348.68</v>
      </c>
    </row>
    <row r="122" customFormat="false" ht="15" hidden="false" customHeight="false" outlineLevel="0" collapsed="false">
      <c r="A122" s="18" t="s">
        <v>813</v>
      </c>
      <c r="B122" s="18" t="s">
        <v>275</v>
      </c>
      <c r="C122" s="18" t="s">
        <v>703</v>
      </c>
      <c r="D122" s="18" t="s">
        <v>513</v>
      </c>
      <c r="E122" s="18" t="s">
        <v>677</v>
      </c>
      <c r="F122" s="18" t="s">
        <v>678</v>
      </c>
      <c r="G122" s="18" t="s">
        <v>679</v>
      </c>
      <c r="H122" s="22" t="n">
        <v>431</v>
      </c>
      <c r="I122" s="28" t="n">
        <v>76.3</v>
      </c>
      <c r="J122" s="18" t="s">
        <v>687</v>
      </c>
      <c r="K122" s="18" t="s">
        <v>218</v>
      </c>
      <c r="L122" s="19" t="n">
        <v>46218</v>
      </c>
      <c r="M122" s="21" t="str">
        <f aca="false">IFERROR(INDEX(Resources!$B$2:$B$500,MATCH(K122,Resources!$A$2:$A$500,0)),"")</f>
        <v>Mei Fraser</v>
      </c>
      <c r="N122" s="15" t="n">
        <f aca="false">IF(J122="High",Contingency_High,IF(J122="Medium",Contingency_Medium,Contingency_Low))</f>
        <v>0.1</v>
      </c>
      <c r="O122" s="14" t="n">
        <f aca="false">H122*I122</f>
        <v>32885.3</v>
      </c>
      <c r="P122" s="14" t="n">
        <f aca="false">O122*N122</f>
        <v>3288.53</v>
      </c>
      <c r="Q122" s="14" t="n">
        <f aca="false">O122+P122</f>
        <v>36173.83</v>
      </c>
    </row>
    <row r="123" customFormat="false" ht="15" hidden="false" customHeight="false" outlineLevel="0" collapsed="false">
      <c r="A123" s="18" t="s">
        <v>814</v>
      </c>
      <c r="B123" s="18" t="s">
        <v>275</v>
      </c>
      <c r="C123" s="18" t="s">
        <v>703</v>
      </c>
      <c r="D123" s="18" t="s">
        <v>513</v>
      </c>
      <c r="E123" s="18" t="s">
        <v>682</v>
      </c>
      <c r="F123" s="18" t="s">
        <v>382</v>
      </c>
      <c r="G123" s="18" t="s">
        <v>683</v>
      </c>
      <c r="H123" s="22" t="n">
        <v>883</v>
      </c>
      <c r="I123" s="28" t="n">
        <v>76.3</v>
      </c>
      <c r="J123" s="18" t="s">
        <v>687</v>
      </c>
      <c r="K123" s="18" t="s">
        <v>218</v>
      </c>
      <c r="L123" s="19" t="n">
        <v>46218</v>
      </c>
      <c r="M123" s="21" t="str">
        <f aca="false">IFERROR(INDEX(Resources!$B$2:$B$500,MATCH(K123,Resources!$A$2:$A$500,0)),"")</f>
        <v>Mei Fraser</v>
      </c>
      <c r="N123" s="15" t="n">
        <f aca="false">IF(J123="High",Contingency_High,IF(J123="Medium",Contingency_Medium,Contingency_Low))</f>
        <v>0.1</v>
      </c>
      <c r="O123" s="14" t="n">
        <f aca="false">H123*I123</f>
        <v>67372.9</v>
      </c>
      <c r="P123" s="14" t="n">
        <f aca="false">O123*N123</f>
        <v>6737.29</v>
      </c>
      <c r="Q123" s="14" t="n">
        <f aca="false">O123+P123</f>
        <v>74110.19</v>
      </c>
    </row>
    <row r="124" customFormat="false" ht="15" hidden="false" customHeight="false" outlineLevel="0" collapsed="false">
      <c r="A124" s="18" t="s">
        <v>815</v>
      </c>
      <c r="B124" s="18" t="s">
        <v>275</v>
      </c>
      <c r="C124" s="18" t="s">
        <v>703</v>
      </c>
      <c r="D124" s="18" t="s">
        <v>513</v>
      </c>
      <c r="E124" s="18" t="s">
        <v>685</v>
      </c>
      <c r="F124" s="18" t="s">
        <v>686</v>
      </c>
      <c r="G124" s="18" t="s">
        <v>327</v>
      </c>
      <c r="H124" s="22" t="n">
        <v>2724</v>
      </c>
      <c r="I124" s="28" t="n">
        <v>76.3</v>
      </c>
      <c r="J124" s="18" t="s">
        <v>697</v>
      </c>
      <c r="K124" s="18" t="s">
        <v>218</v>
      </c>
      <c r="L124" s="19" t="n">
        <v>46218</v>
      </c>
      <c r="M124" s="21" t="str">
        <f aca="false">IFERROR(INDEX(Resources!$B$2:$B$500,MATCH(K124,Resources!$A$2:$A$500,0)),"")</f>
        <v>Mei Fraser</v>
      </c>
      <c r="N124" s="15" t="n">
        <f aca="false">IF(J124="High",Contingency_High,IF(J124="Medium",Contingency_Medium,Contingency_Low))</f>
        <v>0.15</v>
      </c>
      <c r="O124" s="14" t="n">
        <f aca="false">H124*I124</f>
        <v>207841.2</v>
      </c>
      <c r="P124" s="14" t="n">
        <f aca="false">O124*N124</f>
        <v>31176.18</v>
      </c>
      <c r="Q124" s="14" t="n">
        <f aca="false">O124+P124</f>
        <v>239017.38</v>
      </c>
    </row>
    <row r="125" customFormat="false" ht="15" hidden="false" customHeight="false" outlineLevel="0" collapsed="false">
      <c r="A125" s="18" t="s">
        <v>816</v>
      </c>
      <c r="B125" s="18" t="s">
        <v>275</v>
      </c>
      <c r="C125" s="18" t="s">
        <v>703</v>
      </c>
      <c r="D125" s="18" t="s">
        <v>513</v>
      </c>
      <c r="E125" s="18" t="s">
        <v>689</v>
      </c>
      <c r="F125" s="18" t="s">
        <v>690</v>
      </c>
      <c r="G125" s="18" t="s">
        <v>691</v>
      </c>
      <c r="H125" s="22" t="n">
        <v>1321</v>
      </c>
      <c r="I125" s="28" t="n">
        <v>76.3</v>
      </c>
      <c r="J125" s="18" t="s">
        <v>697</v>
      </c>
      <c r="K125" s="18" t="s">
        <v>218</v>
      </c>
      <c r="L125" s="19" t="n">
        <v>46218</v>
      </c>
      <c r="M125" s="21" t="str">
        <f aca="false">IFERROR(INDEX(Resources!$B$2:$B$500,MATCH(K125,Resources!$A$2:$A$500,0)),"")</f>
        <v>Mei Fraser</v>
      </c>
      <c r="N125" s="15" t="n">
        <f aca="false">IF(J125="High",Contingency_High,IF(J125="Medium",Contingency_Medium,Contingency_Low))</f>
        <v>0.15</v>
      </c>
      <c r="O125" s="14" t="n">
        <f aca="false">H125*I125</f>
        <v>100792.3</v>
      </c>
      <c r="P125" s="14" t="n">
        <f aca="false">O125*N125</f>
        <v>15118.845</v>
      </c>
      <c r="Q125" s="14" t="n">
        <f aca="false">O125+P125</f>
        <v>115911.145</v>
      </c>
    </row>
    <row r="126" customFormat="false" ht="15" hidden="false" customHeight="false" outlineLevel="0" collapsed="false">
      <c r="A126" s="18" t="s">
        <v>817</v>
      </c>
      <c r="B126" s="18" t="s">
        <v>275</v>
      </c>
      <c r="C126" s="18" t="s">
        <v>703</v>
      </c>
      <c r="D126" s="18" t="s">
        <v>513</v>
      </c>
      <c r="E126" s="18" t="s">
        <v>693</v>
      </c>
      <c r="F126" s="18" t="s">
        <v>694</v>
      </c>
      <c r="G126" s="18" t="s">
        <v>695</v>
      </c>
      <c r="H126" s="22" t="n">
        <v>752</v>
      </c>
      <c r="I126" s="28" t="n">
        <v>76.3</v>
      </c>
      <c r="J126" s="18" t="s">
        <v>697</v>
      </c>
      <c r="K126" s="18" t="s">
        <v>218</v>
      </c>
      <c r="L126" s="19" t="n">
        <v>46218</v>
      </c>
      <c r="M126" s="21" t="str">
        <f aca="false">IFERROR(INDEX(Resources!$B$2:$B$500,MATCH(K126,Resources!$A$2:$A$500,0)),"")</f>
        <v>Mei Fraser</v>
      </c>
      <c r="N126" s="15" t="n">
        <f aca="false">IF(J126="High",Contingency_High,IF(J126="Medium",Contingency_Medium,Contingency_Low))</f>
        <v>0.15</v>
      </c>
      <c r="O126" s="14" t="n">
        <f aca="false">H126*I126</f>
        <v>57377.6</v>
      </c>
      <c r="P126" s="14" t="n">
        <f aca="false">O126*N126</f>
        <v>8606.64</v>
      </c>
      <c r="Q126" s="14" t="n">
        <f aca="false">O126+P126</f>
        <v>65984.24</v>
      </c>
    </row>
    <row r="127" customFormat="false" ht="15" hidden="false" customHeight="false" outlineLevel="0" collapsed="false">
      <c r="A127" s="18" t="s">
        <v>818</v>
      </c>
      <c r="B127" s="18" t="s">
        <v>277</v>
      </c>
      <c r="C127" s="18" t="s">
        <v>676</v>
      </c>
      <c r="D127" s="18" t="s">
        <v>513</v>
      </c>
      <c r="E127" s="18" t="s">
        <v>677</v>
      </c>
      <c r="F127" s="18" t="s">
        <v>678</v>
      </c>
      <c r="G127" s="18" t="s">
        <v>679</v>
      </c>
      <c r="H127" s="22" t="n">
        <v>341</v>
      </c>
      <c r="I127" s="28" t="n">
        <v>99.94</v>
      </c>
      <c r="J127" s="18" t="s">
        <v>680</v>
      </c>
      <c r="K127" s="18" t="s">
        <v>226</v>
      </c>
      <c r="L127" s="19" t="n">
        <v>45789</v>
      </c>
      <c r="M127" s="21" t="str">
        <f aca="false">IFERROR(INDEX(Resources!$B$2:$B$500,MATCH(K127,Resources!$A$2:$A$500,0)),"")</f>
        <v>Noah Rahimi</v>
      </c>
      <c r="N127" s="15" t="n">
        <f aca="false">IF(J127="High",Contingency_High,IF(J127="Medium",Contingency_Medium,Contingency_Low))</f>
        <v>0.05</v>
      </c>
      <c r="O127" s="14" t="n">
        <f aca="false">H127*I127</f>
        <v>34079.54</v>
      </c>
      <c r="P127" s="14" t="n">
        <f aca="false">O127*N127</f>
        <v>1703.977</v>
      </c>
      <c r="Q127" s="14" t="n">
        <f aca="false">O127+P127</f>
        <v>35783.517</v>
      </c>
    </row>
    <row r="128" customFormat="false" ht="15" hidden="false" customHeight="false" outlineLevel="0" collapsed="false">
      <c r="A128" s="18" t="s">
        <v>819</v>
      </c>
      <c r="B128" s="18" t="s">
        <v>277</v>
      </c>
      <c r="C128" s="18" t="s">
        <v>676</v>
      </c>
      <c r="D128" s="18" t="s">
        <v>513</v>
      </c>
      <c r="E128" s="18" t="s">
        <v>682</v>
      </c>
      <c r="F128" s="18" t="s">
        <v>382</v>
      </c>
      <c r="G128" s="18" t="s">
        <v>683</v>
      </c>
      <c r="H128" s="22" t="n">
        <v>468</v>
      </c>
      <c r="I128" s="28" t="n">
        <v>99.94</v>
      </c>
      <c r="J128" s="18" t="s">
        <v>680</v>
      </c>
      <c r="K128" s="18" t="s">
        <v>226</v>
      </c>
      <c r="L128" s="19" t="n">
        <v>45789</v>
      </c>
      <c r="M128" s="21" t="str">
        <f aca="false">IFERROR(INDEX(Resources!$B$2:$B$500,MATCH(K128,Resources!$A$2:$A$500,0)),"")</f>
        <v>Noah Rahimi</v>
      </c>
      <c r="N128" s="15" t="n">
        <f aca="false">IF(J128="High",Contingency_High,IF(J128="Medium",Contingency_Medium,Contingency_Low))</f>
        <v>0.05</v>
      </c>
      <c r="O128" s="14" t="n">
        <f aca="false">H128*I128</f>
        <v>46771.92</v>
      </c>
      <c r="P128" s="14" t="n">
        <f aca="false">O128*N128</f>
        <v>2338.596</v>
      </c>
      <c r="Q128" s="14" t="n">
        <f aca="false">O128+P128</f>
        <v>49110.516</v>
      </c>
    </row>
    <row r="129" customFormat="false" ht="15" hidden="false" customHeight="false" outlineLevel="0" collapsed="false">
      <c r="A129" s="18" t="s">
        <v>820</v>
      </c>
      <c r="B129" s="18" t="s">
        <v>277</v>
      </c>
      <c r="C129" s="18" t="s">
        <v>676</v>
      </c>
      <c r="D129" s="18" t="s">
        <v>513</v>
      </c>
      <c r="E129" s="18" t="s">
        <v>685</v>
      </c>
      <c r="F129" s="18" t="s">
        <v>686</v>
      </c>
      <c r="G129" s="18" t="s">
        <v>327</v>
      </c>
      <c r="H129" s="22" t="n">
        <v>1307</v>
      </c>
      <c r="I129" s="28" t="n">
        <v>99.94</v>
      </c>
      <c r="J129" s="18" t="s">
        <v>687</v>
      </c>
      <c r="K129" s="18" t="s">
        <v>226</v>
      </c>
      <c r="L129" s="19" t="n">
        <v>45789</v>
      </c>
      <c r="M129" s="21" t="str">
        <f aca="false">IFERROR(INDEX(Resources!$B$2:$B$500,MATCH(K129,Resources!$A$2:$A$500,0)),"")</f>
        <v>Noah Rahimi</v>
      </c>
      <c r="N129" s="15" t="n">
        <f aca="false">IF(J129="High",Contingency_High,IF(J129="Medium",Contingency_Medium,Contingency_Low))</f>
        <v>0.1</v>
      </c>
      <c r="O129" s="14" t="n">
        <f aca="false">H129*I129</f>
        <v>130621.58</v>
      </c>
      <c r="P129" s="14" t="n">
        <f aca="false">O129*N129</f>
        <v>13062.158</v>
      </c>
      <c r="Q129" s="14" t="n">
        <f aca="false">O129+P129</f>
        <v>143683.738</v>
      </c>
    </row>
    <row r="130" customFormat="false" ht="15" hidden="false" customHeight="false" outlineLevel="0" collapsed="false">
      <c r="A130" s="18" t="s">
        <v>821</v>
      </c>
      <c r="B130" s="18" t="s">
        <v>277</v>
      </c>
      <c r="C130" s="18" t="s">
        <v>676</v>
      </c>
      <c r="D130" s="18" t="s">
        <v>513</v>
      </c>
      <c r="E130" s="18" t="s">
        <v>689</v>
      </c>
      <c r="F130" s="18" t="s">
        <v>690</v>
      </c>
      <c r="G130" s="18" t="s">
        <v>691</v>
      </c>
      <c r="H130" s="22" t="n">
        <v>611</v>
      </c>
      <c r="I130" s="28" t="n">
        <v>99.94</v>
      </c>
      <c r="J130" s="18" t="s">
        <v>680</v>
      </c>
      <c r="K130" s="18" t="s">
        <v>226</v>
      </c>
      <c r="L130" s="19" t="n">
        <v>45789</v>
      </c>
      <c r="M130" s="21" t="str">
        <f aca="false">IFERROR(INDEX(Resources!$B$2:$B$500,MATCH(K130,Resources!$A$2:$A$500,0)),"")</f>
        <v>Noah Rahimi</v>
      </c>
      <c r="N130" s="15" t="n">
        <f aca="false">IF(J130="High",Contingency_High,IF(J130="Medium",Contingency_Medium,Contingency_Low))</f>
        <v>0.05</v>
      </c>
      <c r="O130" s="14" t="n">
        <f aca="false">H130*I130</f>
        <v>61063.34</v>
      </c>
      <c r="P130" s="14" t="n">
        <f aca="false">O130*N130</f>
        <v>3053.167</v>
      </c>
      <c r="Q130" s="14" t="n">
        <f aca="false">O130+P130</f>
        <v>64116.507</v>
      </c>
    </row>
    <row r="131" customFormat="false" ht="15" hidden="false" customHeight="false" outlineLevel="0" collapsed="false">
      <c r="A131" s="18" t="s">
        <v>822</v>
      </c>
      <c r="B131" s="18" t="s">
        <v>277</v>
      </c>
      <c r="C131" s="18" t="s">
        <v>676</v>
      </c>
      <c r="D131" s="18" t="s">
        <v>513</v>
      </c>
      <c r="E131" s="18" t="s">
        <v>693</v>
      </c>
      <c r="F131" s="18" t="s">
        <v>694</v>
      </c>
      <c r="G131" s="18" t="s">
        <v>695</v>
      </c>
      <c r="H131" s="22" t="n">
        <v>332</v>
      </c>
      <c r="I131" s="28" t="n">
        <v>99.94</v>
      </c>
      <c r="J131" s="18" t="s">
        <v>680</v>
      </c>
      <c r="K131" s="18" t="s">
        <v>226</v>
      </c>
      <c r="L131" s="19" t="n">
        <v>45789</v>
      </c>
      <c r="M131" s="21" t="str">
        <f aca="false">IFERROR(INDEX(Resources!$B$2:$B$500,MATCH(K131,Resources!$A$2:$A$500,0)),"")</f>
        <v>Noah Rahimi</v>
      </c>
      <c r="N131" s="15" t="n">
        <f aca="false">IF(J131="High",Contingency_High,IF(J131="Medium",Contingency_Medium,Contingency_Low))</f>
        <v>0.05</v>
      </c>
      <c r="O131" s="14" t="n">
        <f aca="false">H131*I131</f>
        <v>33180.08</v>
      </c>
      <c r="P131" s="14" t="n">
        <f aca="false">O131*N131</f>
        <v>1659.004</v>
      </c>
      <c r="Q131" s="14" t="n">
        <f aca="false">O131+P131</f>
        <v>34839.084</v>
      </c>
    </row>
    <row r="132" customFormat="false" ht="15" hidden="false" customHeight="false" outlineLevel="0" collapsed="false">
      <c r="A132" s="18" t="s">
        <v>823</v>
      </c>
      <c r="B132" s="18" t="s">
        <v>281</v>
      </c>
      <c r="C132" s="18" t="s">
        <v>676</v>
      </c>
      <c r="D132" s="18" t="s">
        <v>527</v>
      </c>
      <c r="E132" s="18" t="s">
        <v>677</v>
      </c>
      <c r="F132" s="18" t="s">
        <v>678</v>
      </c>
      <c r="G132" s="18" t="s">
        <v>679</v>
      </c>
      <c r="H132" s="22" t="n">
        <v>589</v>
      </c>
      <c r="I132" s="28" t="n">
        <v>77.94</v>
      </c>
      <c r="J132" s="18" t="s">
        <v>687</v>
      </c>
      <c r="K132" s="18" t="s">
        <v>247</v>
      </c>
      <c r="L132" s="19" t="n">
        <v>45762</v>
      </c>
      <c r="M132" s="21" t="str">
        <f aca="false">IFERROR(INDEX(Resources!$B$2:$B$500,MATCH(K132,Resources!$A$2:$A$500,0)),"")</f>
        <v>Arjun Baptiste</v>
      </c>
      <c r="N132" s="15" t="n">
        <f aca="false">IF(J132="High",Contingency_High,IF(J132="Medium",Contingency_Medium,Contingency_Low))</f>
        <v>0.1</v>
      </c>
      <c r="O132" s="14" t="n">
        <f aca="false">H132*I132</f>
        <v>45906.66</v>
      </c>
      <c r="P132" s="14" t="n">
        <f aca="false">O132*N132</f>
        <v>4590.666</v>
      </c>
      <c r="Q132" s="14" t="n">
        <f aca="false">O132+P132</f>
        <v>50497.326</v>
      </c>
    </row>
    <row r="133" customFormat="false" ht="15" hidden="false" customHeight="false" outlineLevel="0" collapsed="false">
      <c r="A133" s="18" t="s">
        <v>824</v>
      </c>
      <c r="B133" s="18" t="s">
        <v>281</v>
      </c>
      <c r="C133" s="18" t="s">
        <v>676</v>
      </c>
      <c r="D133" s="18" t="s">
        <v>527</v>
      </c>
      <c r="E133" s="18" t="s">
        <v>682</v>
      </c>
      <c r="F133" s="18" t="s">
        <v>382</v>
      </c>
      <c r="G133" s="18" t="s">
        <v>683</v>
      </c>
      <c r="H133" s="22" t="n">
        <v>955</v>
      </c>
      <c r="I133" s="28" t="n">
        <v>77.94</v>
      </c>
      <c r="J133" s="18" t="s">
        <v>687</v>
      </c>
      <c r="K133" s="18" t="s">
        <v>247</v>
      </c>
      <c r="L133" s="19" t="n">
        <v>45762</v>
      </c>
      <c r="M133" s="21" t="str">
        <f aca="false">IFERROR(INDEX(Resources!$B$2:$B$500,MATCH(K133,Resources!$A$2:$A$500,0)),"")</f>
        <v>Arjun Baptiste</v>
      </c>
      <c r="N133" s="15" t="n">
        <f aca="false">IF(J133="High",Contingency_High,IF(J133="Medium",Contingency_Medium,Contingency_Low))</f>
        <v>0.1</v>
      </c>
      <c r="O133" s="14" t="n">
        <f aca="false">H133*I133</f>
        <v>74432.7</v>
      </c>
      <c r="P133" s="14" t="n">
        <f aca="false">O133*N133</f>
        <v>7443.27</v>
      </c>
      <c r="Q133" s="14" t="n">
        <f aca="false">O133+P133</f>
        <v>81875.97</v>
      </c>
    </row>
    <row r="134" customFormat="false" ht="15" hidden="false" customHeight="false" outlineLevel="0" collapsed="false">
      <c r="A134" s="18" t="s">
        <v>825</v>
      </c>
      <c r="B134" s="18" t="s">
        <v>281</v>
      </c>
      <c r="C134" s="18" t="s">
        <v>676</v>
      </c>
      <c r="D134" s="18" t="s">
        <v>527</v>
      </c>
      <c r="E134" s="18" t="s">
        <v>685</v>
      </c>
      <c r="F134" s="18" t="s">
        <v>686</v>
      </c>
      <c r="G134" s="18" t="s">
        <v>327</v>
      </c>
      <c r="H134" s="22" t="n">
        <v>2579</v>
      </c>
      <c r="I134" s="28" t="n">
        <v>77.94</v>
      </c>
      <c r="J134" s="18" t="s">
        <v>687</v>
      </c>
      <c r="K134" s="18" t="s">
        <v>247</v>
      </c>
      <c r="L134" s="19" t="n">
        <v>45762</v>
      </c>
      <c r="M134" s="21" t="str">
        <f aca="false">IFERROR(INDEX(Resources!$B$2:$B$500,MATCH(K134,Resources!$A$2:$A$500,0)),"")</f>
        <v>Arjun Baptiste</v>
      </c>
      <c r="N134" s="15" t="n">
        <f aca="false">IF(J134="High",Contingency_High,IF(J134="Medium",Contingency_Medium,Contingency_Low))</f>
        <v>0.1</v>
      </c>
      <c r="O134" s="14" t="n">
        <f aca="false">H134*I134</f>
        <v>201007.26</v>
      </c>
      <c r="P134" s="14" t="n">
        <f aca="false">O134*N134</f>
        <v>20100.726</v>
      </c>
      <c r="Q134" s="14" t="n">
        <f aca="false">O134+P134</f>
        <v>221107.986</v>
      </c>
    </row>
    <row r="135" customFormat="false" ht="15" hidden="false" customHeight="false" outlineLevel="0" collapsed="false">
      <c r="A135" s="18" t="s">
        <v>826</v>
      </c>
      <c r="B135" s="18" t="s">
        <v>281</v>
      </c>
      <c r="C135" s="18" t="s">
        <v>676</v>
      </c>
      <c r="D135" s="18" t="s">
        <v>527</v>
      </c>
      <c r="E135" s="18" t="s">
        <v>689</v>
      </c>
      <c r="F135" s="18" t="s">
        <v>690</v>
      </c>
      <c r="G135" s="18" t="s">
        <v>691</v>
      </c>
      <c r="H135" s="22" t="n">
        <v>1124</v>
      </c>
      <c r="I135" s="28" t="n">
        <v>77.94</v>
      </c>
      <c r="J135" s="18" t="s">
        <v>687</v>
      </c>
      <c r="K135" s="18" t="s">
        <v>247</v>
      </c>
      <c r="L135" s="19" t="n">
        <v>45762</v>
      </c>
      <c r="M135" s="21" t="str">
        <f aca="false">IFERROR(INDEX(Resources!$B$2:$B$500,MATCH(K135,Resources!$A$2:$A$500,0)),"")</f>
        <v>Arjun Baptiste</v>
      </c>
      <c r="N135" s="15" t="n">
        <f aca="false">IF(J135="High",Contingency_High,IF(J135="Medium",Contingency_Medium,Contingency_Low))</f>
        <v>0.1</v>
      </c>
      <c r="O135" s="14" t="n">
        <f aca="false">H135*I135</f>
        <v>87604.56</v>
      </c>
      <c r="P135" s="14" t="n">
        <f aca="false">O135*N135</f>
        <v>8760.456</v>
      </c>
      <c r="Q135" s="14" t="n">
        <f aca="false">O135+P135</f>
        <v>96365.016</v>
      </c>
    </row>
    <row r="136" customFormat="false" ht="15" hidden="false" customHeight="false" outlineLevel="0" collapsed="false">
      <c r="A136" s="18" t="s">
        <v>827</v>
      </c>
      <c r="B136" s="18" t="s">
        <v>281</v>
      </c>
      <c r="C136" s="18" t="s">
        <v>676</v>
      </c>
      <c r="D136" s="18" t="s">
        <v>527</v>
      </c>
      <c r="E136" s="18" t="s">
        <v>693</v>
      </c>
      <c r="F136" s="18" t="s">
        <v>694</v>
      </c>
      <c r="G136" s="18" t="s">
        <v>695</v>
      </c>
      <c r="H136" s="22" t="n">
        <v>520</v>
      </c>
      <c r="I136" s="28" t="n">
        <v>77.94</v>
      </c>
      <c r="J136" s="18" t="s">
        <v>687</v>
      </c>
      <c r="K136" s="18" t="s">
        <v>247</v>
      </c>
      <c r="L136" s="19" t="n">
        <v>45762</v>
      </c>
      <c r="M136" s="21" t="str">
        <f aca="false">IFERROR(INDEX(Resources!$B$2:$B$500,MATCH(K136,Resources!$A$2:$A$500,0)),"")</f>
        <v>Arjun Baptiste</v>
      </c>
      <c r="N136" s="15" t="n">
        <f aca="false">IF(J136="High",Contingency_High,IF(J136="Medium",Contingency_Medium,Contingency_Low))</f>
        <v>0.1</v>
      </c>
      <c r="O136" s="14" t="n">
        <f aca="false">H136*I136</f>
        <v>40528.8</v>
      </c>
      <c r="P136" s="14" t="n">
        <f aca="false">O136*N136</f>
        <v>4052.88</v>
      </c>
      <c r="Q136" s="14" t="n">
        <f aca="false">O136+P136</f>
        <v>44581.68</v>
      </c>
    </row>
    <row r="137" customFormat="false" ht="15" hidden="false" customHeight="false" outlineLevel="0" collapsed="false">
      <c r="A137" s="18" t="s">
        <v>828</v>
      </c>
      <c r="B137" s="18" t="s">
        <v>281</v>
      </c>
      <c r="C137" s="18" t="s">
        <v>703</v>
      </c>
      <c r="D137" s="18" t="s">
        <v>513</v>
      </c>
      <c r="E137" s="18" t="s">
        <v>677</v>
      </c>
      <c r="F137" s="18" t="s">
        <v>678</v>
      </c>
      <c r="G137" s="18" t="s">
        <v>679</v>
      </c>
      <c r="H137" s="22" t="n">
        <v>603</v>
      </c>
      <c r="I137" s="28" t="n">
        <v>79.5</v>
      </c>
      <c r="J137" s="18" t="s">
        <v>687</v>
      </c>
      <c r="K137" s="18" t="s">
        <v>247</v>
      </c>
      <c r="L137" s="19" t="n">
        <v>46218</v>
      </c>
      <c r="M137" s="21" t="str">
        <f aca="false">IFERROR(INDEX(Resources!$B$2:$B$500,MATCH(K137,Resources!$A$2:$A$500,0)),"")</f>
        <v>Arjun Baptiste</v>
      </c>
      <c r="N137" s="15" t="n">
        <f aca="false">IF(J137="High",Contingency_High,IF(J137="Medium",Contingency_Medium,Contingency_Low))</f>
        <v>0.1</v>
      </c>
      <c r="O137" s="14" t="n">
        <f aca="false">H137*I137</f>
        <v>47938.5</v>
      </c>
      <c r="P137" s="14" t="n">
        <f aca="false">O137*N137</f>
        <v>4793.85</v>
      </c>
      <c r="Q137" s="14" t="n">
        <f aca="false">O137+P137</f>
        <v>52732.35</v>
      </c>
    </row>
    <row r="138" customFormat="false" ht="15" hidden="false" customHeight="false" outlineLevel="0" collapsed="false">
      <c r="A138" s="18" t="s">
        <v>829</v>
      </c>
      <c r="B138" s="18" t="s">
        <v>281</v>
      </c>
      <c r="C138" s="18" t="s">
        <v>703</v>
      </c>
      <c r="D138" s="18" t="s">
        <v>513</v>
      </c>
      <c r="E138" s="18" t="s">
        <v>682</v>
      </c>
      <c r="F138" s="18" t="s">
        <v>382</v>
      </c>
      <c r="G138" s="18" t="s">
        <v>683</v>
      </c>
      <c r="H138" s="22" t="n">
        <v>1002</v>
      </c>
      <c r="I138" s="28" t="n">
        <v>79.5</v>
      </c>
      <c r="J138" s="18" t="s">
        <v>687</v>
      </c>
      <c r="K138" s="18" t="s">
        <v>247</v>
      </c>
      <c r="L138" s="19" t="n">
        <v>46218</v>
      </c>
      <c r="M138" s="21" t="str">
        <f aca="false">IFERROR(INDEX(Resources!$B$2:$B$500,MATCH(K138,Resources!$A$2:$A$500,0)),"")</f>
        <v>Arjun Baptiste</v>
      </c>
      <c r="N138" s="15" t="n">
        <f aca="false">IF(J138="High",Contingency_High,IF(J138="Medium",Contingency_Medium,Contingency_Low))</f>
        <v>0.1</v>
      </c>
      <c r="O138" s="14" t="n">
        <f aca="false">H138*I138</f>
        <v>79659</v>
      </c>
      <c r="P138" s="14" t="n">
        <f aca="false">O138*N138</f>
        <v>7965.9</v>
      </c>
      <c r="Q138" s="14" t="n">
        <f aca="false">O138+P138</f>
        <v>87624.9</v>
      </c>
    </row>
    <row r="139" customFormat="false" ht="15" hidden="false" customHeight="false" outlineLevel="0" collapsed="false">
      <c r="A139" s="18" t="s">
        <v>830</v>
      </c>
      <c r="B139" s="18" t="s">
        <v>281</v>
      </c>
      <c r="C139" s="18" t="s">
        <v>703</v>
      </c>
      <c r="D139" s="18" t="s">
        <v>513</v>
      </c>
      <c r="E139" s="18" t="s">
        <v>685</v>
      </c>
      <c r="F139" s="18" t="s">
        <v>686</v>
      </c>
      <c r="G139" s="18" t="s">
        <v>327</v>
      </c>
      <c r="H139" s="22" t="n">
        <v>2809</v>
      </c>
      <c r="I139" s="28" t="n">
        <v>79.5</v>
      </c>
      <c r="J139" s="18" t="s">
        <v>697</v>
      </c>
      <c r="K139" s="18" t="s">
        <v>247</v>
      </c>
      <c r="L139" s="19" t="n">
        <v>46218</v>
      </c>
      <c r="M139" s="21" t="str">
        <f aca="false">IFERROR(INDEX(Resources!$B$2:$B$500,MATCH(K139,Resources!$A$2:$A$500,0)),"")</f>
        <v>Arjun Baptiste</v>
      </c>
      <c r="N139" s="15" t="n">
        <f aca="false">IF(J139="High",Contingency_High,IF(J139="Medium",Contingency_Medium,Contingency_Low))</f>
        <v>0.15</v>
      </c>
      <c r="O139" s="14" t="n">
        <f aca="false">H139*I139</f>
        <v>223315.5</v>
      </c>
      <c r="P139" s="14" t="n">
        <f aca="false">O139*N139</f>
        <v>33497.325</v>
      </c>
      <c r="Q139" s="14" t="n">
        <f aca="false">O139+P139</f>
        <v>256812.825</v>
      </c>
    </row>
    <row r="140" customFormat="false" ht="15" hidden="false" customHeight="false" outlineLevel="0" collapsed="false">
      <c r="A140" s="18" t="s">
        <v>831</v>
      </c>
      <c r="B140" s="18" t="s">
        <v>281</v>
      </c>
      <c r="C140" s="18" t="s">
        <v>703</v>
      </c>
      <c r="D140" s="18" t="s">
        <v>513</v>
      </c>
      <c r="E140" s="18" t="s">
        <v>689</v>
      </c>
      <c r="F140" s="18" t="s">
        <v>690</v>
      </c>
      <c r="G140" s="18" t="s">
        <v>691</v>
      </c>
      <c r="H140" s="22" t="n">
        <v>1242</v>
      </c>
      <c r="I140" s="28" t="n">
        <v>79.5</v>
      </c>
      <c r="J140" s="18" t="s">
        <v>697</v>
      </c>
      <c r="K140" s="18" t="s">
        <v>247</v>
      </c>
      <c r="L140" s="19" t="n">
        <v>46218</v>
      </c>
      <c r="M140" s="21" t="str">
        <f aca="false">IFERROR(INDEX(Resources!$B$2:$B$500,MATCH(K140,Resources!$A$2:$A$500,0)),"")</f>
        <v>Arjun Baptiste</v>
      </c>
      <c r="N140" s="15" t="n">
        <f aca="false">IF(J140="High",Contingency_High,IF(J140="Medium",Contingency_Medium,Contingency_Low))</f>
        <v>0.15</v>
      </c>
      <c r="O140" s="14" t="n">
        <f aca="false">H140*I140</f>
        <v>98739</v>
      </c>
      <c r="P140" s="14" t="n">
        <f aca="false">O140*N140</f>
        <v>14810.85</v>
      </c>
      <c r="Q140" s="14" t="n">
        <f aca="false">O140+P140</f>
        <v>113549.85</v>
      </c>
    </row>
    <row r="141" customFormat="false" ht="15" hidden="false" customHeight="false" outlineLevel="0" collapsed="false">
      <c r="A141" s="18" t="s">
        <v>832</v>
      </c>
      <c r="B141" s="18" t="s">
        <v>281</v>
      </c>
      <c r="C141" s="18" t="s">
        <v>703</v>
      </c>
      <c r="D141" s="18" t="s">
        <v>513</v>
      </c>
      <c r="E141" s="18" t="s">
        <v>693</v>
      </c>
      <c r="F141" s="18" t="s">
        <v>694</v>
      </c>
      <c r="G141" s="18" t="s">
        <v>695</v>
      </c>
      <c r="H141" s="22" t="n">
        <v>570</v>
      </c>
      <c r="I141" s="28" t="n">
        <v>79.5</v>
      </c>
      <c r="J141" s="18" t="s">
        <v>697</v>
      </c>
      <c r="K141" s="18" t="s">
        <v>247</v>
      </c>
      <c r="L141" s="19" t="n">
        <v>46218</v>
      </c>
      <c r="M141" s="21" t="str">
        <f aca="false">IFERROR(INDEX(Resources!$B$2:$B$500,MATCH(K141,Resources!$A$2:$A$500,0)),"")</f>
        <v>Arjun Baptiste</v>
      </c>
      <c r="N141" s="15" t="n">
        <f aca="false">IF(J141="High",Contingency_High,IF(J141="Medium",Contingency_Medium,Contingency_Low))</f>
        <v>0.15</v>
      </c>
      <c r="O141" s="14" t="n">
        <f aca="false">H141*I141</f>
        <v>45315</v>
      </c>
      <c r="P141" s="14" t="n">
        <f aca="false">O141*N141</f>
        <v>6797.25</v>
      </c>
      <c r="Q141" s="14" t="n">
        <f aca="false">O141+P141</f>
        <v>52112.25</v>
      </c>
    </row>
    <row r="142" customFormat="false" ht="15" hidden="false" customHeight="false" outlineLevel="0" collapsed="false">
      <c r="A142" s="18" t="s">
        <v>833</v>
      </c>
      <c r="B142" s="18" t="s">
        <v>283</v>
      </c>
      <c r="C142" s="18" t="s">
        <v>676</v>
      </c>
      <c r="D142" s="18" t="s">
        <v>513</v>
      </c>
      <c r="E142" s="18" t="s">
        <v>677</v>
      </c>
      <c r="F142" s="18" t="s">
        <v>678</v>
      </c>
      <c r="G142" s="18" t="s">
        <v>679</v>
      </c>
      <c r="H142" s="22" t="n">
        <v>328</v>
      </c>
      <c r="I142" s="28" t="n">
        <v>91.2</v>
      </c>
      <c r="J142" s="18" t="s">
        <v>680</v>
      </c>
      <c r="K142" s="18" t="s">
        <v>226</v>
      </c>
      <c r="L142" s="19" t="n">
        <v>45906</v>
      </c>
      <c r="M142" s="21" t="str">
        <f aca="false">IFERROR(INDEX(Resources!$B$2:$B$500,MATCH(K142,Resources!$A$2:$A$500,0)),"")</f>
        <v>Noah Rahimi</v>
      </c>
      <c r="N142" s="15" t="n">
        <f aca="false">IF(J142="High",Contingency_High,IF(J142="Medium",Contingency_Medium,Contingency_Low))</f>
        <v>0.05</v>
      </c>
      <c r="O142" s="14" t="n">
        <f aca="false">H142*I142</f>
        <v>29913.6</v>
      </c>
      <c r="P142" s="14" t="n">
        <f aca="false">O142*N142</f>
        <v>1495.68</v>
      </c>
      <c r="Q142" s="14" t="n">
        <f aca="false">O142+P142</f>
        <v>31409.28</v>
      </c>
    </row>
    <row r="143" customFormat="false" ht="15" hidden="false" customHeight="false" outlineLevel="0" collapsed="false">
      <c r="A143" s="18" t="s">
        <v>834</v>
      </c>
      <c r="B143" s="18" t="s">
        <v>283</v>
      </c>
      <c r="C143" s="18" t="s">
        <v>676</v>
      </c>
      <c r="D143" s="18" t="s">
        <v>513</v>
      </c>
      <c r="E143" s="18" t="s">
        <v>682</v>
      </c>
      <c r="F143" s="18" t="s">
        <v>382</v>
      </c>
      <c r="G143" s="18" t="s">
        <v>683</v>
      </c>
      <c r="H143" s="22" t="n">
        <v>537</v>
      </c>
      <c r="I143" s="28" t="n">
        <v>91.2</v>
      </c>
      <c r="J143" s="18" t="s">
        <v>680</v>
      </c>
      <c r="K143" s="18" t="s">
        <v>226</v>
      </c>
      <c r="L143" s="19" t="n">
        <v>45906</v>
      </c>
      <c r="M143" s="21" t="str">
        <f aca="false">IFERROR(INDEX(Resources!$B$2:$B$500,MATCH(K143,Resources!$A$2:$A$500,0)),"")</f>
        <v>Noah Rahimi</v>
      </c>
      <c r="N143" s="15" t="n">
        <f aca="false">IF(J143="High",Contingency_High,IF(J143="Medium",Contingency_Medium,Contingency_Low))</f>
        <v>0.05</v>
      </c>
      <c r="O143" s="14" t="n">
        <f aca="false">H143*I143</f>
        <v>48974.4</v>
      </c>
      <c r="P143" s="14" t="n">
        <f aca="false">O143*N143</f>
        <v>2448.72</v>
      </c>
      <c r="Q143" s="14" t="n">
        <f aca="false">O143+P143</f>
        <v>51423.12</v>
      </c>
    </row>
    <row r="144" customFormat="false" ht="15" hidden="false" customHeight="false" outlineLevel="0" collapsed="false">
      <c r="A144" s="18" t="s">
        <v>835</v>
      </c>
      <c r="B144" s="18" t="s">
        <v>283</v>
      </c>
      <c r="C144" s="18" t="s">
        <v>676</v>
      </c>
      <c r="D144" s="18" t="s">
        <v>513</v>
      </c>
      <c r="E144" s="18" t="s">
        <v>685</v>
      </c>
      <c r="F144" s="18" t="s">
        <v>686</v>
      </c>
      <c r="G144" s="18" t="s">
        <v>327</v>
      </c>
      <c r="H144" s="22" t="n">
        <v>1690</v>
      </c>
      <c r="I144" s="28" t="n">
        <v>91.2</v>
      </c>
      <c r="J144" s="18" t="s">
        <v>687</v>
      </c>
      <c r="K144" s="18" t="s">
        <v>226</v>
      </c>
      <c r="L144" s="19" t="n">
        <v>45906</v>
      </c>
      <c r="M144" s="21" t="str">
        <f aca="false">IFERROR(INDEX(Resources!$B$2:$B$500,MATCH(K144,Resources!$A$2:$A$500,0)),"")</f>
        <v>Noah Rahimi</v>
      </c>
      <c r="N144" s="15" t="n">
        <f aca="false">IF(J144="High",Contingency_High,IF(J144="Medium",Contingency_Medium,Contingency_Low))</f>
        <v>0.1</v>
      </c>
      <c r="O144" s="14" t="n">
        <f aca="false">H144*I144</f>
        <v>154128</v>
      </c>
      <c r="P144" s="14" t="n">
        <f aca="false">O144*N144</f>
        <v>15412.8</v>
      </c>
      <c r="Q144" s="14" t="n">
        <f aca="false">O144+P144</f>
        <v>169540.8</v>
      </c>
    </row>
    <row r="145" customFormat="false" ht="15" hidden="false" customHeight="false" outlineLevel="0" collapsed="false">
      <c r="A145" s="18" t="s">
        <v>836</v>
      </c>
      <c r="B145" s="18" t="s">
        <v>283</v>
      </c>
      <c r="C145" s="18" t="s">
        <v>676</v>
      </c>
      <c r="D145" s="18" t="s">
        <v>513</v>
      </c>
      <c r="E145" s="18" t="s">
        <v>689</v>
      </c>
      <c r="F145" s="18" t="s">
        <v>690</v>
      </c>
      <c r="G145" s="18" t="s">
        <v>691</v>
      </c>
      <c r="H145" s="22" t="n">
        <v>747</v>
      </c>
      <c r="I145" s="28" t="n">
        <v>91.2</v>
      </c>
      <c r="J145" s="18" t="s">
        <v>680</v>
      </c>
      <c r="K145" s="18" t="s">
        <v>226</v>
      </c>
      <c r="L145" s="19" t="n">
        <v>45906</v>
      </c>
      <c r="M145" s="21" t="str">
        <f aca="false">IFERROR(INDEX(Resources!$B$2:$B$500,MATCH(K145,Resources!$A$2:$A$500,0)),"")</f>
        <v>Noah Rahimi</v>
      </c>
      <c r="N145" s="15" t="n">
        <f aca="false">IF(J145="High",Contingency_High,IF(J145="Medium",Contingency_Medium,Contingency_Low))</f>
        <v>0.05</v>
      </c>
      <c r="O145" s="14" t="n">
        <f aca="false">H145*I145</f>
        <v>68126.4</v>
      </c>
      <c r="P145" s="14" t="n">
        <f aca="false">O145*N145</f>
        <v>3406.32</v>
      </c>
      <c r="Q145" s="14" t="n">
        <f aca="false">O145+P145</f>
        <v>71532.72</v>
      </c>
    </row>
    <row r="146" customFormat="false" ht="15" hidden="false" customHeight="false" outlineLevel="0" collapsed="false">
      <c r="A146" s="18" t="s">
        <v>837</v>
      </c>
      <c r="B146" s="18" t="s">
        <v>283</v>
      </c>
      <c r="C146" s="18" t="s">
        <v>676</v>
      </c>
      <c r="D146" s="18" t="s">
        <v>513</v>
      </c>
      <c r="E146" s="18" t="s">
        <v>693</v>
      </c>
      <c r="F146" s="18" t="s">
        <v>694</v>
      </c>
      <c r="G146" s="18" t="s">
        <v>695</v>
      </c>
      <c r="H146" s="22" t="n">
        <v>342</v>
      </c>
      <c r="I146" s="28" t="n">
        <v>91.2</v>
      </c>
      <c r="J146" s="18" t="s">
        <v>680</v>
      </c>
      <c r="K146" s="18" t="s">
        <v>226</v>
      </c>
      <c r="L146" s="19" t="n">
        <v>45906</v>
      </c>
      <c r="M146" s="21" t="str">
        <f aca="false">IFERROR(INDEX(Resources!$B$2:$B$500,MATCH(K146,Resources!$A$2:$A$500,0)),"")</f>
        <v>Noah Rahimi</v>
      </c>
      <c r="N146" s="15" t="n">
        <f aca="false">IF(J146="High",Contingency_High,IF(J146="Medium",Contingency_Medium,Contingency_Low))</f>
        <v>0.05</v>
      </c>
      <c r="O146" s="14" t="n">
        <f aca="false">H146*I146</f>
        <v>31190.4</v>
      </c>
      <c r="P146" s="14" t="n">
        <f aca="false">O146*N146</f>
        <v>1559.52</v>
      </c>
      <c r="Q146" s="14" t="n">
        <f aca="false">O146+P146</f>
        <v>32749.92</v>
      </c>
    </row>
    <row r="147" customFormat="false" ht="15" hidden="false" customHeight="false" outlineLevel="0" collapsed="false">
      <c r="A147" s="18" t="s">
        <v>838</v>
      </c>
      <c r="B147" s="18" t="s">
        <v>285</v>
      </c>
      <c r="C147" s="18" t="s">
        <v>676</v>
      </c>
      <c r="D147" s="18" t="s">
        <v>513</v>
      </c>
      <c r="E147" s="18" t="s">
        <v>677</v>
      </c>
      <c r="F147" s="18" t="s">
        <v>678</v>
      </c>
      <c r="G147" s="18" t="s">
        <v>679</v>
      </c>
      <c r="H147" s="22" t="n">
        <v>427</v>
      </c>
      <c r="I147" s="28" t="n">
        <v>73.96</v>
      </c>
      <c r="J147" s="18" t="s">
        <v>687</v>
      </c>
      <c r="K147" s="18" t="s">
        <v>247</v>
      </c>
      <c r="L147" s="19" t="n">
        <v>46042</v>
      </c>
      <c r="M147" s="21" t="str">
        <f aca="false">IFERROR(INDEX(Resources!$B$2:$B$500,MATCH(K147,Resources!$A$2:$A$500,0)),"")</f>
        <v>Arjun Baptiste</v>
      </c>
      <c r="N147" s="15" t="n">
        <f aca="false">IF(J147="High",Contingency_High,IF(J147="Medium",Contingency_Medium,Contingency_Low))</f>
        <v>0.1</v>
      </c>
      <c r="O147" s="14" t="n">
        <f aca="false">H147*I147</f>
        <v>31580.92</v>
      </c>
      <c r="P147" s="14" t="n">
        <f aca="false">O147*N147</f>
        <v>3158.092</v>
      </c>
      <c r="Q147" s="14" t="n">
        <f aca="false">O147+P147</f>
        <v>34739.012</v>
      </c>
    </row>
    <row r="148" customFormat="false" ht="15" hidden="false" customHeight="false" outlineLevel="0" collapsed="false">
      <c r="A148" s="18" t="s">
        <v>839</v>
      </c>
      <c r="B148" s="18" t="s">
        <v>285</v>
      </c>
      <c r="C148" s="18" t="s">
        <v>676</v>
      </c>
      <c r="D148" s="18" t="s">
        <v>513</v>
      </c>
      <c r="E148" s="18" t="s">
        <v>682</v>
      </c>
      <c r="F148" s="18" t="s">
        <v>382</v>
      </c>
      <c r="G148" s="18" t="s">
        <v>683</v>
      </c>
      <c r="H148" s="22" t="n">
        <v>606</v>
      </c>
      <c r="I148" s="28" t="n">
        <v>73.96</v>
      </c>
      <c r="J148" s="18" t="s">
        <v>687</v>
      </c>
      <c r="K148" s="18" t="s">
        <v>247</v>
      </c>
      <c r="L148" s="19" t="n">
        <v>46042</v>
      </c>
      <c r="M148" s="21" t="str">
        <f aca="false">IFERROR(INDEX(Resources!$B$2:$B$500,MATCH(K148,Resources!$A$2:$A$500,0)),"")</f>
        <v>Arjun Baptiste</v>
      </c>
      <c r="N148" s="15" t="n">
        <f aca="false">IF(J148="High",Contingency_High,IF(J148="Medium",Contingency_Medium,Contingency_Low))</f>
        <v>0.1</v>
      </c>
      <c r="O148" s="14" t="n">
        <f aca="false">H148*I148</f>
        <v>44819.76</v>
      </c>
      <c r="P148" s="14" t="n">
        <f aca="false">O148*N148</f>
        <v>4481.976</v>
      </c>
      <c r="Q148" s="14" t="n">
        <f aca="false">O148+P148</f>
        <v>49301.736</v>
      </c>
    </row>
    <row r="149" customFormat="false" ht="15" hidden="false" customHeight="false" outlineLevel="0" collapsed="false">
      <c r="A149" s="18" t="s">
        <v>840</v>
      </c>
      <c r="B149" s="18" t="s">
        <v>285</v>
      </c>
      <c r="C149" s="18" t="s">
        <v>676</v>
      </c>
      <c r="D149" s="18" t="s">
        <v>513</v>
      </c>
      <c r="E149" s="18" t="s">
        <v>685</v>
      </c>
      <c r="F149" s="18" t="s">
        <v>686</v>
      </c>
      <c r="G149" s="18" t="s">
        <v>327</v>
      </c>
      <c r="H149" s="22" t="n">
        <v>1977</v>
      </c>
      <c r="I149" s="28" t="n">
        <v>73.96</v>
      </c>
      <c r="J149" s="18" t="s">
        <v>687</v>
      </c>
      <c r="K149" s="18" t="s">
        <v>247</v>
      </c>
      <c r="L149" s="19" t="n">
        <v>46042</v>
      </c>
      <c r="M149" s="21" t="str">
        <f aca="false">IFERROR(INDEX(Resources!$B$2:$B$500,MATCH(K149,Resources!$A$2:$A$500,0)),"")</f>
        <v>Arjun Baptiste</v>
      </c>
      <c r="N149" s="15" t="n">
        <f aca="false">IF(J149="High",Contingency_High,IF(J149="Medium",Contingency_Medium,Contingency_Low))</f>
        <v>0.1</v>
      </c>
      <c r="O149" s="14" t="n">
        <f aca="false">H149*I149</f>
        <v>146218.92</v>
      </c>
      <c r="P149" s="14" t="n">
        <f aca="false">O149*N149</f>
        <v>14621.892</v>
      </c>
      <c r="Q149" s="14" t="n">
        <f aca="false">O149+P149</f>
        <v>160840.812</v>
      </c>
    </row>
    <row r="150" customFormat="false" ht="15" hidden="false" customHeight="false" outlineLevel="0" collapsed="false">
      <c r="A150" s="18" t="s">
        <v>841</v>
      </c>
      <c r="B150" s="18" t="s">
        <v>285</v>
      </c>
      <c r="C150" s="18" t="s">
        <v>676</v>
      </c>
      <c r="D150" s="18" t="s">
        <v>513</v>
      </c>
      <c r="E150" s="18" t="s">
        <v>689</v>
      </c>
      <c r="F150" s="18" t="s">
        <v>690</v>
      </c>
      <c r="G150" s="18" t="s">
        <v>691</v>
      </c>
      <c r="H150" s="22" t="n">
        <v>767</v>
      </c>
      <c r="I150" s="28" t="n">
        <v>73.96</v>
      </c>
      <c r="J150" s="18" t="s">
        <v>687</v>
      </c>
      <c r="K150" s="18" t="s">
        <v>247</v>
      </c>
      <c r="L150" s="19" t="n">
        <v>46042</v>
      </c>
      <c r="M150" s="21" t="str">
        <f aca="false">IFERROR(INDEX(Resources!$B$2:$B$500,MATCH(K150,Resources!$A$2:$A$500,0)),"")</f>
        <v>Arjun Baptiste</v>
      </c>
      <c r="N150" s="15" t="n">
        <f aca="false">IF(J150="High",Contingency_High,IF(J150="Medium",Contingency_Medium,Contingency_Low))</f>
        <v>0.1</v>
      </c>
      <c r="O150" s="14" t="n">
        <f aca="false">H150*I150</f>
        <v>56727.32</v>
      </c>
      <c r="P150" s="14" t="n">
        <f aca="false">O150*N150</f>
        <v>5672.732</v>
      </c>
      <c r="Q150" s="14" t="n">
        <f aca="false">O150+P150</f>
        <v>62400.052</v>
      </c>
    </row>
    <row r="151" customFormat="false" ht="15" hidden="false" customHeight="false" outlineLevel="0" collapsed="false">
      <c r="A151" s="18" t="s">
        <v>842</v>
      </c>
      <c r="B151" s="18" t="s">
        <v>285</v>
      </c>
      <c r="C151" s="18" t="s">
        <v>676</v>
      </c>
      <c r="D151" s="18" t="s">
        <v>513</v>
      </c>
      <c r="E151" s="18" t="s">
        <v>693</v>
      </c>
      <c r="F151" s="18" t="s">
        <v>694</v>
      </c>
      <c r="G151" s="18" t="s">
        <v>695</v>
      </c>
      <c r="H151" s="22" t="n">
        <v>377</v>
      </c>
      <c r="I151" s="28" t="n">
        <v>73.96</v>
      </c>
      <c r="J151" s="18" t="s">
        <v>687</v>
      </c>
      <c r="K151" s="18" t="s">
        <v>247</v>
      </c>
      <c r="L151" s="19" t="n">
        <v>46042</v>
      </c>
      <c r="M151" s="21" t="str">
        <f aca="false">IFERROR(INDEX(Resources!$B$2:$B$500,MATCH(K151,Resources!$A$2:$A$500,0)),"")</f>
        <v>Arjun Baptiste</v>
      </c>
      <c r="N151" s="15" t="n">
        <f aca="false">IF(J151="High",Contingency_High,IF(J151="Medium",Contingency_Medium,Contingency_Low))</f>
        <v>0.1</v>
      </c>
      <c r="O151" s="14" t="n">
        <f aca="false">H151*I151</f>
        <v>27882.92</v>
      </c>
      <c r="P151" s="14" t="n">
        <f aca="false">O151*N151</f>
        <v>2788.292</v>
      </c>
      <c r="Q151" s="14" t="n">
        <f aca="false">O151+P151</f>
        <v>30671.212</v>
      </c>
    </row>
    <row r="152" customFormat="false" ht="15" hidden="false" customHeight="false" outlineLevel="0" collapsed="false">
      <c r="A152" s="18" t="s">
        <v>843</v>
      </c>
      <c r="B152" s="18" t="s">
        <v>288</v>
      </c>
      <c r="C152" s="18" t="s">
        <v>676</v>
      </c>
      <c r="D152" s="18" t="s">
        <v>513</v>
      </c>
      <c r="E152" s="18" t="s">
        <v>677</v>
      </c>
      <c r="F152" s="18" t="s">
        <v>678</v>
      </c>
      <c r="G152" s="18" t="s">
        <v>679</v>
      </c>
      <c r="H152" s="22" t="n">
        <v>345</v>
      </c>
      <c r="I152" s="28" t="n">
        <v>76.9</v>
      </c>
      <c r="J152" s="18" t="s">
        <v>687</v>
      </c>
      <c r="K152" s="18" t="s">
        <v>201</v>
      </c>
      <c r="L152" s="19" t="n">
        <v>46255</v>
      </c>
      <c r="M152" s="21" t="str">
        <f aca="false">IFERROR(INDEX(Resources!$B$2:$B$500,MATCH(K152,Resources!$A$2:$A$500,0)),"")</f>
        <v>Aisha Tremblay</v>
      </c>
      <c r="N152" s="15" t="n">
        <f aca="false">IF(J152="High",Contingency_High,IF(J152="Medium",Contingency_Medium,Contingency_Low))</f>
        <v>0.1</v>
      </c>
      <c r="O152" s="14" t="n">
        <f aca="false">H152*I152</f>
        <v>26530.5</v>
      </c>
      <c r="P152" s="14" t="n">
        <f aca="false">O152*N152</f>
        <v>2653.05</v>
      </c>
      <c r="Q152" s="14" t="n">
        <f aca="false">O152+P152</f>
        <v>29183.55</v>
      </c>
    </row>
    <row r="153" customFormat="false" ht="15" hidden="false" customHeight="false" outlineLevel="0" collapsed="false">
      <c r="A153" s="18" t="s">
        <v>844</v>
      </c>
      <c r="B153" s="18" t="s">
        <v>288</v>
      </c>
      <c r="C153" s="18" t="s">
        <v>676</v>
      </c>
      <c r="D153" s="18" t="s">
        <v>513</v>
      </c>
      <c r="E153" s="18" t="s">
        <v>682</v>
      </c>
      <c r="F153" s="18" t="s">
        <v>382</v>
      </c>
      <c r="G153" s="18" t="s">
        <v>683</v>
      </c>
      <c r="H153" s="22" t="n">
        <v>550</v>
      </c>
      <c r="I153" s="28" t="n">
        <v>76.9</v>
      </c>
      <c r="J153" s="18" t="s">
        <v>687</v>
      </c>
      <c r="K153" s="18" t="s">
        <v>201</v>
      </c>
      <c r="L153" s="19" t="n">
        <v>46255</v>
      </c>
      <c r="M153" s="21" t="str">
        <f aca="false">IFERROR(INDEX(Resources!$B$2:$B$500,MATCH(K153,Resources!$A$2:$A$500,0)),"")</f>
        <v>Aisha Tremblay</v>
      </c>
      <c r="N153" s="15" t="n">
        <f aca="false">IF(J153="High",Contingency_High,IF(J153="Medium",Contingency_Medium,Contingency_Low))</f>
        <v>0.1</v>
      </c>
      <c r="O153" s="14" t="n">
        <f aca="false">H153*I153</f>
        <v>42295</v>
      </c>
      <c r="P153" s="14" t="n">
        <f aca="false">O153*N153</f>
        <v>4229.5</v>
      </c>
      <c r="Q153" s="14" t="n">
        <f aca="false">O153+P153</f>
        <v>46524.5</v>
      </c>
    </row>
    <row r="154" customFormat="false" ht="15" hidden="false" customHeight="false" outlineLevel="0" collapsed="false">
      <c r="A154" s="18" t="s">
        <v>845</v>
      </c>
      <c r="B154" s="18" t="s">
        <v>288</v>
      </c>
      <c r="C154" s="18" t="s">
        <v>676</v>
      </c>
      <c r="D154" s="18" t="s">
        <v>513</v>
      </c>
      <c r="E154" s="18" t="s">
        <v>685</v>
      </c>
      <c r="F154" s="18" t="s">
        <v>686</v>
      </c>
      <c r="G154" s="18" t="s">
        <v>327</v>
      </c>
      <c r="H154" s="22" t="n">
        <v>1411</v>
      </c>
      <c r="I154" s="28" t="n">
        <v>76.9</v>
      </c>
      <c r="J154" s="18" t="s">
        <v>687</v>
      </c>
      <c r="K154" s="18" t="s">
        <v>201</v>
      </c>
      <c r="L154" s="19" t="n">
        <v>46255</v>
      </c>
      <c r="M154" s="21" t="str">
        <f aca="false">IFERROR(INDEX(Resources!$B$2:$B$500,MATCH(K154,Resources!$A$2:$A$500,0)),"")</f>
        <v>Aisha Tremblay</v>
      </c>
      <c r="N154" s="15" t="n">
        <f aca="false">IF(J154="High",Contingency_High,IF(J154="Medium",Contingency_Medium,Contingency_Low))</f>
        <v>0.1</v>
      </c>
      <c r="O154" s="14" t="n">
        <f aca="false">H154*I154</f>
        <v>108505.9</v>
      </c>
      <c r="P154" s="14" t="n">
        <f aca="false">O154*N154</f>
        <v>10850.59</v>
      </c>
      <c r="Q154" s="14" t="n">
        <f aca="false">O154+P154</f>
        <v>119356.49</v>
      </c>
    </row>
    <row r="155" customFormat="false" ht="15" hidden="false" customHeight="false" outlineLevel="0" collapsed="false">
      <c r="A155" s="18" t="s">
        <v>846</v>
      </c>
      <c r="B155" s="18" t="s">
        <v>288</v>
      </c>
      <c r="C155" s="18" t="s">
        <v>676</v>
      </c>
      <c r="D155" s="18" t="s">
        <v>513</v>
      </c>
      <c r="E155" s="18" t="s">
        <v>689</v>
      </c>
      <c r="F155" s="18" t="s">
        <v>690</v>
      </c>
      <c r="G155" s="18" t="s">
        <v>691</v>
      </c>
      <c r="H155" s="22" t="n">
        <v>718</v>
      </c>
      <c r="I155" s="28" t="n">
        <v>76.9</v>
      </c>
      <c r="J155" s="18" t="s">
        <v>687</v>
      </c>
      <c r="K155" s="18" t="s">
        <v>201</v>
      </c>
      <c r="L155" s="19" t="n">
        <v>46255</v>
      </c>
      <c r="M155" s="21" t="str">
        <f aca="false">IFERROR(INDEX(Resources!$B$2:$B$500,MATCH(K155,Resources!$A$2:$A$500,0)),"")</f>
        <v>Aisha Tremblay</v>
      </c>
      <c r="N155" s="15" t="n">
        <f aca="false">IF(J155="High",Contingency_High,IF(J155="Medium",Contingency_Medium,Contingency_Low))</f>
        <v>0.1</v>
      </c>
      <c r="O155" s="14" t="n">
        <f aca="false">H155*I155</f>
        <v>55214.2</v>
      </c>
      <c r="P155" s="14" t="n">
        <f aca="false">O155*N155</f>
        <v>5521.42</v>
      </c>
      <c r="Q155" s="14" t="n">
        <f aca="false">O155+P155</f>
        <v>60735.62</v>
      </c>
    </row>
    <row r="156" customFormat="false" ht="15" hidden="false" customHeight="false" outlineLevel="0" collapsed="false">
      <c r="A156" s="18" t="s">
        <v>847</v>
      </c>
      <c r="B156" s="18" t="s">
        <v>288</v>
      </c>
      <c r="C156" s="18" t="s">
        <v>676</v>
      </c>
      <c r="D156" s="18" t="s">
        <v>513</v>
      </c>
      <c r="E156" s="18" t="s">
        <v>693</v>
      </c>
      <c r="F156" s="18" t="s">
        <v>694</v>
      </c>
      <c r="G156" s="18" t="s">
        <v>695</v>
      </c>
      <c r="H156" s="22" t="n">
        <v>378</v>
      </c>
      <c r="I156" s="28" t="n">
        <v>76.9</v>
      </c>
      <c r="J156" s="18" t="s">
        <v>687</v>
      </c>
      <c r="K156" s="18" t="s">
        <v>201</v>
      </c>
      <c r="L156" s="19" t="n">
        <v>46255</v>
      </c>
      <c r="M156" s="21" t="str">
        <f aca="false">IFERROR(INDEX(Resources!$B$2:$B$500,MATCH(K156,Resources!$A$2:$A$500,0)),"")</f>
        <v>Aisha Tremblay</v>
      </c>
      <c r="N156" s="15" t="n">
        <f aca="false">IF(J156="High",Contingency_High,IF(J156="Medium",Contingency_Medium,Contingency_Low))</f>
        <v>0.1</v>
      </c>
      <c r="O156" s="14" t="n">
        <f aca="false">H156*I156</f>
        <v>29068.2</v>
      </c>
      <c r="P156" s="14" t="n">
        <f aca="false">O156*N156</f>
        <v>2906.82</v>
      </c>
      <c r="Q156" s="14" t="n">
        <f aca="false">O156+P156</f>
        <v>31975.02</v>
      </c>
    </row>
    <row r="157" customFormat="false" ht="15" hidden="false" customHeight="false" outlineLevel="0" collapsed="false">
      <c r="A157" s="18" t="s">
        <v>848</v>
      </c>
      <c r="B157" s="18" t="s">
        <v>292</v>
      </c>
      <c r="C157" s="18" t="s">
        <v>676</v>
      </c>
      <c r="D157" s="18" t="s">
        <v>513</v>
      </c>
      <c r="E157" s="18" t="s">
        <v>677</v>
      </c>
      <c r="F157" s="18" t="s">
        <v>678</v>
      </c>
      <c r="G157" s="18" t="s">
        <v>679</v>
      </c>
      <c r="H157" s="22" t="n">
        <v>284</v>
      </c>
      <c r="I157" s="28" t="n">
        <v>94.84</v>
      </c>
      <c r="J157" s="18" t="s">
        <v>687</v>
      </c>
      <c r="K157" s="18" t="s">
        <v>211</v>
      </c>
      <c r="L157" s="19" t="n">
        <v>46295</v>
      </c>
      <c r="M157" s="21" t="str">
        <f aca="false">IFERROR(INDEX(Resources!$B$2:$B$500,MATCH(K157,Resources!$A$2:$A$500,0)),"")</f>
        <v>Liam Roy</v>
      </c>
      <c r="N157" s="15" t="n">
        <f aca="false">IF(J157="High",Contingency_High,IF(J157="Medium",Contingency_Medium,Contingency_Low))</f>
        <v>0.1</v>
      </c>
      <c r="O157" s="14" t="n">
        <f aca="false">H157*I157</f>
        <v>26934.56</v>
      </c>
      <c r="P157" s="14" t="n">
        <f aca="false">O157*N157</f>
        <v>2693.456</v>
      </c>
      <c r="Q157" s="14" t="n">
        <f aca="false">O157+P157</f>
        <v>29628.016</v>
      </c>
    </row>
    <row r="158" customFormat="false" ht="15" hidden="false" customHeight="false" outlineLevel="0" collapsed="false">
      <c r="A158" s="18" t="s">
        <v>849</v>
      </c>
      <c r="B158" s="18" t="s">
        <v>292</v>
      </c>
      <c r="C158" s="18" t="s">
        <v>676</v>
      </c>
      <c r="D158" s="18" t="s">
        <v>513</v>
      </c>
      <c r="E158" s="18" t="s">
        <v>682</v>
      </c>
      <c r="F158" s="18" t="s">
        <v>382</v>
      </c>
      <c r="G158" s="18" t="s">
        <v>683</v>
      </c>
      <c r="H158" s="22" t="n">
        <v>467</v>
      </c>
      <c r="I158" s="28" t="n">
        <v>94.84</v>
      </c>
      <c r="J158" s="18" t="s">
        <v>687</v>
      </c>
      <c r="K158" s="18" t="s">
        <v>211</v>
      </c>
      <c r="L158" s="19" t="n">
        <v>46295</v>
      </c>
      <c r="M158" s="21" t="str">
        <f aca="false">IFERROR(INDEX(Resources!$B$2:$B$500,MATCH(K158,Resources!$A$2:$A$500,0)),"")</f>
        <v>Liam Roy</v>
      </c>
      <c r="N158" s="15" t="n">
        <f aca="false">IF(J158="High",Contingency_High,IF(J158="Medium",Contingency_Medium,Contingency_Low))</f>
        <v>0.1</v>
      </c>
      <c r="O158" s="14" t="n">
        <f aca="false">H158*I158</f>
        <v>44290.28</v>
      </c>
      <c r="P158" s="14" t="n">
        <f aca="false">O158*N158</f>
        <v>4429.028</v>
      </c>
      <c r="Q158" s="14" t="n">
        <f aca="false">O158+P158</f>
        <v>48719.308</v>
      </c>
    </row>
    <row r="159" customFormat="false" ht="15" hidden="false" customHeight="false" outlineLevel="0" collapsed="false">
      <c r="A159" s="18" t="s">
        <v>850</v>
      </c>
      <c r="B159" s="18" t="s">
        <v>292</v>
      </c>
      <c r="C159" s="18" t="s">
        <v>676</v>
      </c>
      <c r="D159" s="18" t="s">
        <v>513</v>
      </c>
      <c r="E159" s="18" t="s">
        <v>685</v>
      </c>
      <c r="F159" s="18" t="s">
        <v>686</v>
      </c>
      <c r="G159" s="18" t="s">
        <v>327</v>
      </c>
      <c r="H159" s="22" t="n">
        <v>1250</v>
      </c>
      <c r="I159" s="28" t="n">
        <v>94.84</v>
      </c>
      <c r="J159" s="18" t="s">
        <v>687</v>
      </c>
      <c r="K159" s="18" t="s">
        <v>211</v>
      </c>
      <c r="L159" s="19" t="n">
        <v>46295</v>
      </c>
      <c r="M159" s="21" t="str">
        <f aca="false">IFERROR(INDEX(Resources!$B$2:$B$500,MATCH(K159,Resources!$A$2:$A$500,0)),"")</f>
        <v>Liam Roy</v>
      </c>
      <c r="N159" s="15" t="n">
        <f aca="false">IF(J159="High",Contingency_High,IF(J159="Medium",Contingency_Medium,Contingency_Low))</f>
        <v>0.1</v>
      </c>
      <c r="O159" s="14" t="n">
        <f aca="false">H159*I159</f>
        <v>118550</v>
      </c>
      <c r="P159" s="14" t="n">
        <f aca="false">O159*N159</f>
        <v>11855</v>
      </c>
      <c r="Q159" s="14" t="n">
        <f aca="false">O159+P159</f>
        <v>130405</v>
      </c>
    </row>
    <row r="160" customFormat="false" ht="15" hidden="false" customHeight="false" outlineLevel="0" collapsed="false">
      <c r="A160" s="18" t="s">
        <v>851</v>
      </c>
      <c r="B160" s="18" t="s">
        <v>292</v>
      </c>
      <c r="C160" s="18" t="s">
        <v>676</v>
      </c>
      <c r="D160" s="18" t="s">
        <v>513</v>
      </c>
      <c r="E160" s="18" t="s">
        <v>689</v>
      </c>
      <c r="F160" s="18" t="s">
        <v>690</v>
      </c>
      <c r="G160" s="18" t="s">
        <v>691</v>
      </c>
      <c r="H160" s="22" t="n">
        <v>583</v>
      </c>
      <c r="I160" s="28" t="n">
        <v>94.84</v>
      </c>
      <c r="J160" s="18" t="s">
        <v>687</v>
      </c>
      <c r="K160" s="18" t="s">
        <v>211</v>
      </c>
      <c r="L160" s="19" t="n">
        <v>46295</v>
      </c>
      <c r="M160" s="21" t="str">
        <f aca="false">IFERROR(INDEX(Resources!$B$2:$B$500,MATCH(K160,Resources!$A$2:$A$500,0)),"")</f>
        <v>Liam Roy</v>
      </c>
      <c r="N160" s="15" t="n">
        <f aca="false">IF(J160="High",Contingency_High,IF(J160="Medium",Contingency_Medium,Contingency_Low))</f>
        <v>0.1</v>
      </c>
      <c r="O160" s="14" t="n">
        <f aca="false">H160*I160</f>
        <v>55291.72</v>
      </c>
      <c r="P160" s="14" t="n">
        <f aca="false">O160*N160</f>
        <v>5529.172</v>
      </c>
      <c r="Q160" s="14" t="n">
        <f aca="false">O160+P160</f>
        <v>60820.892</v>
      </c>
    </row>
    <row r="161" customFormat="false" ht="15" hidden="false" customHeight="false" outlineLevel="0" collapsed="false">
      <c r="A161" s="18" t="s">
        <v>852</v>
      </c>
      <c r="B161" s="18" t="s">
        <v>292</v>
      </c>
      <c r="C161" s="18" t="s">
        <v>676</v>
      </c>
      <c r="D161" s="18" t="s">
        <v>513</v>
      </c>
      <c r="E161" s="18" t="s">
        <v>693</v>
      </c>
      <c r="F161" s="18" t="s">
        <v>694</v>
      </c>
      <c r="G161" s="18" t="s">
        <v>695</v>
      </c>
      <c r="H161" s="22" t="n">
        <v>271</v>
      </c>
      <c r="I161" s="28" t="n">
        <v>94.84</v>
      </c>
      <c r="J161" s="18" t="s">
        <v>687</v>
      </c>
      <c r="K161" s="18" t="s">
        <v>211</v>
      </c>
      <c r="L161" s="19" t="n">
        <v>46295</v>
      </c>
      <c r="M161" s="21" t="str">
        <f aca="false">IFERROR(INDEX(Resources!$B$2:$B$500,MATCH(K161,Resources!$A$2:$A$500,0)),"")</f>
        <v>Liam Roy</v>
      </c>
      <c r="N161" s="15" t="n">
        <f aca="false">IF(J161="High",Contingency_High,IF(J161="Medium",Contingency_Medium,Contingency_Low))</f>
        <v>0.1</v>
      </c>
      <c r="O161" s="14" t="n">
        <f aca="false">H161*I161</f>
        <v>25701.64</v>
      </c>
      <c r="P161" s="14" t="n">
        <f aca="false">O161*N161</f>
        <v>2570.164</v>
      </c>
      <c r="Q161" s="14" t="n">
        <f aca="false">O161+P161</f>
        <v>28271.804</v>
      </c>
    </row>
    <row r="162" customFormat="false" ht="15" hidden="false" customHeight="false" outlineLevel="0" collapsed="false">
      <c r="A162" s="18" t="s">
        <v>853</v>
      </c>
      <c r="B162" s="18" t="s">
        <v>294</v>
      </c>
      <c r="C162" s="18" t="s">
        <v>676</v>
      </c>
      <c r="D162" s="18" t="s">
        <v>513</v>
      </c>
      <c r="E162" s="18" t="s">
        <v>677</v>
      </c>
      <c r="F162" s="18" t="s">
        <v>678</v>
      </c>
      <c r="G162" s="18" t="s">
        <v>679</v>
      </c>
      <c r="H162" s="22" t="n">
        <v>575</v>
      </c>
      <c r="I162" s="28" t="n">
        <v>83.86</v>
      </c>
      <c r="J162" s="18" t="s">
        <v>687</v>
      </c>
      <c r="K162" s="18" t="s">
        <v>218</v>
      </c>
      <c r="L162" s="19" t="n">
        <v>46360</v>
      </c>
      <c r="M162" s="21" t="str">
        <f aca="false">IFERROR(INDEX(Resources!$B$2:$B$500,MATCH(K162,Resources!$A$2:$A$500,0)),"")</f>
        <v>Mei Fraser</v>
      </c>
      <c r="N162" s="15" t="n">
        <f aca="false">IF(J162="High",Contingency_High,IF(J162="Medium",Contingency_Medium,Contingency_Low))</f>
        <v>0.1</v>
      </c>
      <c r="O162" s="14" t="n">
        <f aca="false">H162*I162</f>
        <v>48219.5</v>
      </c>
      <c r="P162" s="14" t="n">
        <f aca="false">O162*N162</f>
        <v>4821.95</v>
      </c>
      <c r="Q162" s="14" t="n">
        <f aca="false">O162+P162</f>
        <v>53041.45</v>
      </c>
    </row>
    <row r="163" customFormat="false" ht="15" hidden="false" customHeight="false" outlineLevel="0" collapsed="false">
      <c r="A163" s="18" t="s">
        <v>854</v>
      </c>
      <c r="B163" s="18" t="s">
        <v>294</v>
      </c>
      <c r="C163" s="18" t="s">
        <v>676</v>
      </c>
      <c r="D163" s="18" t="s">
        <v>513</v>
      </c>
      <c r="E163" s="18" t="s">
        <v>682</v>
      </c>
      <c r="F163" s="18" t="s">
        <v>382</v>
      </c>
      <c r="G163" s="18" t="s">
        <v>683</v>
      </c>
      <c r="H163" s="22" t="n">
        <v>1064</v>
      </c>
      <c r="I163" s="28" t="n">
        <v>83.86</v>
      </c>
      <c r="J163" s="18" t="s">
        <v>687</v>
      </c>
      <c r="K163" s="18" t="s">
        <v>218</v>
      </c>
      <c r="L163" s="19" t="n">
        <v>46360</v>
      </c>
      <c r="M163" s="21" t="str">
        <f aca="false">IFERROR(INDEX(Resources!$B$2:$B$500,MATCH(K163,Resources!$A$2:$A$500,0)),"")</f>
        <v>Mei Fraser</v>
      </c>
      <c r="N163" s="15" t="n">
        <f aca="false">IF(J163="High",Contingency_High,IF(J163="Medium",Contingency_Medium,Contingency_Low))</f>
        <v>0.1</v>
      </c>
      <c r="O163" s="14" t="n">
        <f aca="false">H163*I163</f>
        <v>89227.04</v>
      </c>
      <c r="P163" s="14" t="n">
        <f aca="false">O163*N163</f>
        <v>8922.704</v>
      </c>
      <c r="Q163" s="14" t="n">
        <f aca="false">O163+P163</f>
        <v>98149.744</v>
      </c>
    </row>
    <row r="164" customFormat="false" ht="15" hidden="false" customHeight="false" outlineLevel="0" collapsed="false">
      <c r="A164" s="18" t="s">
        <v>855</v>
      </c>
      <c r="B164" s="18" t="s">
        <v>294</v>
      </c>
      <c r="C164" s="18" t="s">
        <v>676</v>
      </c>
      <c r="D164" s="18" t="s">
        <v>513</v>
      </c>
      <c r="E164" s="18" t="s">
        <v>685</v>
      </c>
      <c r="F164" s="18" t="s">
        <v>686</v>
      </c>
      <c r="G164" s="18" t="s">
        <v>327</v>
      </c>
      <c r="H164" s="22" t="n">
        <v>2711</v>
      </c>
      <c r="I164" s="28" t="n">
        <v>83.86</v>
      </c>
      <c r="J164" s="18" t="s">
        <v>687</v>
      </c>
      <c r="K164" s="18" t="s">
        <v>218</v>
      </c>
      <c r="L164" s="19" t="n">
        <v>46360</v>
      </c>
      <c r="M164" s="21" t="str">
        <f aca="false">IFERROR(INDEX(Resources!$B$2:$B$500,MATCH(K164,Resources!$A$2:$A$500,0)),"")</f>
        <v>Mei Fraser</v>
      </c>
      <c r="N164" s="15" t="n">
        <f aca="false">IF(J164="High",Contingency_High,IF(J164="Medium",Contingency_Medium,Contingency_Low))</f>
        <v>0.1</v>
      </c>
      <c r="O164" s="14" t="n">
        <f aca="false">H164*I164</f>
        <v>227344.46</v>
      </c>
      <c r="P164" s="14" t="n">
        <f aca="false">O164*N164</f>
        <v>22734.446</v>
      </c>
      <c r="Q164" s="14" t="n">
        <f aca="false">O164+P164</f>
        <v>250078.906</v>
      </c>
    </row>
    <row r="165" customFormat="false" ht="15" hidden="false" customHeight="false" outlineLevel="0" collapsed="false">
      <c r="A165" s="18" t="s">
        <v>856</v>
      </c>
      <c r="B165" s="18" t="s">
        <v>294</v>
      </c>
      <c r="C165" s="18" t="s">
        <v>676</v>
      </c>
      <c r="D165" s="18" t="s">
        <v>513</v>
      </c>
      <c r="E165" s="18" t="s">
        <v>689</v>
      </c>
      <c r="F165" s="18" t="s">
        <v>690</v>
      </c>
      <c r="G165" s="18" t="s">
        <v>691</v>
      </c>
      <c r="H165" s="22" t="n">
        <v>1187</v>
      </c>
      <c r="I165" s="28" t="n">
        <v>83.86</v>
      </c>
      <c r="J165" s="18" t="s">
        <v>687</v>
      </c>
      <c r="K165" s="18" t="s">
        <v>218</v>
      </c>
      <c r="L165" s="19" t="n">
        <v>46360</v>
      </c>
      <c r="M165" s="21" t="str">
        <f aca="false">IFERROR(INDEX(Resources!$B$2:$B$500,MATCH(K165,Resources!$A$2:$A$500,0)),"")</f>
        <v>Mei Fraser</v>
      </c>
      <c r="N165" s="15" t="n">
        <f aca="false">IF(J165="High",Contingency_High,IF(J165="Medium",Contingency_Medium,Contingency_Low))</f>
        <v>0.1</v>
      </c>
      <c r="O165" s="14" t="n">
        <f aca="false">H165*I165</f>
        <v>99541.82</v>
      </c>
      <c r="P165" s="14" t="n">
        <f aca="false">O165*N165</f>
        <v>9954.182</v>
      </c>
      <c r="Q165" s="14" t="n">
        <f aca="false">O165+P165</f>
        <v>109496.002</v>
      </c>
    </row>
    <row r="166" customFormat="false" ht="15" hidden="false" customHeight="false" outlineLevel="0" collapsed="false">
      <c r="A166" s="18" t="s">
        <v>857</v>
      </c>
      <c r="B166" s="18" t="s">
        <v>294</v>
      </c>
      <c r="C166" s="18" t="s">
        <v>676</v>
      </c>
      <c r="D166" s="18" t="s">
        <v>513</v>
      </c>
      <c r="E166" s="18" t="s">
        <v>693</v>
      </c>
      <c r="F166" s="18" t="s">
        <v>694</v>
      </c>
      <c r="G166" s="18" t="s">
        <v>695</v>
      </c>
      <c r="H166" s="22" t="n">
        <v>613</v>
      </c>
      <c r="I166" s="28" t="n">
        <v>83.86</v>
      </c>
      <c r="J166" s="18" t="s">
        <v>687</v>
      </c>
      <c r="K166" s="18" t="s">
        <v>218</v>
      </c>
      <c r="L166" s="19" t="n">
        <v>46360</v>
      </c>
      <c r="M166" s="21" t="str">
        <f aca="false">IFERROR(INDEX(Resources!$B$2:$B$500,MATCH(K166,Resources!$A$2:$A$500,0)),"")</f>
        <v>Mei Fraser</v>
      </c>
      <c r="N166" s="15" t="n">
        <f aca="false">IF(J166="High",Contingency_High,IF(J166="Medium",Contingency_Medium,Contingency_Low))</f>
        <v>0.1</v>
      </c>
      <c r="O166" s="14" t="n">
        <f aca="false">H166*I166</f>
        <v>51406.18</v>
      </c>
      <c r="P166" s="14" t="n">
        <f aca="false">O166*N166</f>
        <v>5140.618</v>
      </c>
      <c r="Q166" s="14" t="n">
        <f aca="false">O166+P166</f>
        <v>56546.798</v>
      </c>
    </row>
  </sheetData>
  <dataValidations count="2">
    <dataValidation allowBlank="true" error="Pick a value from the list." errorStyle="stop" errorTitle="Invalid value" operator="between" showDropDown="false" showErrorMessage="true" showInputMessage="false" sqref="J2:J1166" type="list">
      <formula1>"High,Medium,Low"</formula1>
      <formula2>0</formula2>
    </dataValidation>
    <dataValidation allowBlank="true" error="Pick a value from the list." errorStyle="stop" errorTitle="Invalid value" operator="between" showDropDown="false" showErrorMessage="true" showInputMessage="false" sqref="D2:D116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L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28"/>
    <col collapsed="false" customWidth="true" hidden="false" outlineLevel="0" max="10" min="9" style="0" width="12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20" t="s">
        <v>858</v>
      </c>
      <c r="B1" s="20" t="s">
        <v>41</v>
      </c>
      <c r="C1" s="20" t="s">
        <v>147</v>
      </c>
      <c r="D1" s="20" t="s">
        <v>859</v>
      </c>
      <c r="E1" s="20" t="s">
        <v>860</v>
      </c>
      <c r="F1" s="20" t="s">
        <v>861</v>
      </c>
      <c r="G1" s="20" t="s">
        <v>862</v>
      </c>
      <c r="H1" s="20" t="s">
        <v>863</v>
      </c>
      <c r="I1" s="20" t="s">
        <v>864</v>
      </c>
      <c r="J1" s="20" t="s">
        <v>865</v>
      </c>
      <c r="K1" s="20" t="s">
        <v>866</v>
      </c>
      <c r="L1" s="20" t="s">
        <v>867</v>
      </c>
    </row>
    <row r="2" customFormat="false" ht="15" hidden="false" customHeight="false" outlineLevel="0" collapsed="false">
      <c r="A2" s="18" t="s">
        <v>868</v>
      </c>
      <c r="B2" s="18" t="s">
        <v>197</v>
      </c>
      <c r="C2" s="21" t="str">
        <f aca="false">IFERROR(INDEX(Projects!$B$2:$B$500,MATCH(B2,Projects!$A$2:$A$500,0)),"")</f>
        <v>Patient Portal Modernization</v>
      </c>
      <c r="D2" s="18" t="s">
        <v>869</v>
      </c>
      <c r="E2" s="23" t="n">
        <v>583200</v>
      </c>
      <c r="F2" s="19" t="n">
        <v>45939</v>
      </c>
      <c r="G2" s="18" t="s">
        <v>325</v>
      </c>
      <c r="H2" s="18" t="s">
        <v>870</v>
      </c>
      <c r="I2" s="14" t="n">
        <f aca="false">SUMIFS(Actuals!$J$2:$J$6000,Actuals!$C$2:$C$6000,B2,Actuals!$D$2:$D$6000,D2)</f>
        <v>487314.13</v>
      </c>
      <c r="J2" s="14" t="n">
        <f aca="false">E2-I2</f>
        <v>95885.87</v>
      </c>
      <c r="K2" s="15" t="n">
        <f aca="false">IF(E2=0,0,I2/E2)</f>
        <v>0.83558664266118</v>
      </c>
      <c r="L2" s="12" t="str">
        <f aca="false">IF(D2="Contingency","Reserve",IF(K2&gt;1,"Overspent",IF(K2&gt;=BudgetNearLimit,"Near limit","Within budget")))</f>
        <v>Within budget</v>
      </c>
    </row>
    <row r="3" customFormat="false" ht="15" hidden="false" customHeight="false" outlineLevel="0" collapsed="false">
      <c r="A3" s="18" t="s">
        <v>871</v>
      </c>
      <c r="B3" s="18" t="s">
        <v>197</v>
      </c>
      <c r="C3" s="21" t="str">
        <f aca="false">IFERROR(INDEX(Projects!$B$2:$B$500,MATCH(B3,Projects!$A$2:$A$500,0)),"")</f>
        <v>Patient Portal Modernization</v>
      </c>
      <c r="D3" s="18" t="s">
        <v>872</v>
      </c>
      <c r="E3" s="23" t="n">
        <v>36100</v>
      </c>
      <c r="F3" s="19" t="n">
        <v>45939</v>
      </c>
      <c r="G3" s="18" t="s">
        <v>325</v>
      </c>
      <c r="H3" s="18"/>
      <c r="I3" s="14" t="n">
        <f aca="false">SUMIFS(Actuals!$J$2:$J$6000,Actuals!$C$2:$C$6000,B3,Actuals!$D$2:$D$6000,D3)</f>
        <v>29669.4</v>
      </c>
      <c r="J3" s="14" t="n">
        <f aca="false">E3-I3</f>
        <v>6430.6</v>
      </c>
      <c r="K3" s="15" t="n">
        <f aca="false">IF(E3=0,0,I3/E3)</f>
        <v>0.82186703601108</v>
      </c>
      <c r="L3" s="12" t="str">
        <f aca="false">IF(D3="Contingency","Reserve",IF(K3&gt;1,"Overspent",IF(K3&gt;=BudgetNearLimit,"Near limit","Within budget")))</f>
        <v>Within budget</v>
      </c>
    </row>
    <row r="4" customFormat="false" ht="15" hidden="false" customHeight="false" outlineLevel="0" collapsed="false">
      <c r="A4" s="18" t="s">
        <v>873</v>
      </c>
      <c r="B4" s="18" t="s">
        <v>197</v>
      </c>
      <c r="C4" s="21" t="str">
        <f aca="false">IFERROR(INDEX(Projects!$B$2:$B$500,MATCH(B4,Projects!$A$2:$A$500,0)),"")</f>
        <v>Patient Portal Modernization</v>
      </c>
      <c r="D4" s="18" t="s">
        <v>874</v>
      </c>
      <c r="E4" s="23" t="n">
        <v>53200</v>
      </c>
      <c r="F4" s="19" t="n">
        <v>45939</v>
      </c>
      <c r="G4" s="18" t="s">
        <v>325</v>
      </c>
      <c r="H4" s="18"/>
      <c r="I4" s="14" t="n">
        <f aca="false">SUMIFS(Actuals!$J$2:$J$6000,Actuals!$C$2:$C$6000,B4,Actuals!$D$2:$D$6000,D4)</f>
        <v>42535.38</v>
      </c>
      <c r="J4" s="14" t="n">
        <f aca="false">E4-I4</f>
        <v>10664.62</v>
      </c>
      <c r="K4" s="15" t="n">
        <f aca="false">IF(E4=0,0,I4/E4)</f>
        <v>0.799537218045113</v>
      </c>
      <c r="L4" s="12" t="str">
        <f aca="false">IF(D4="Contingency","Reserve",IF(K4&gt;1,"Overspent",IF(K4&gt;=BudgetNearLimit,"Near limit","Within budget")))</f>
        <v>Within budget</v>
      </c>
    </row>
    <row r="5" customFormat="false" ht="15" hidden="false" customHeight="false" outlineLevel="0" collapsed="false">
      <c r="A5" s="18" t="s">
        <v>875</v>
      </c>
      <c r="B5" s="18" t="s">
        <v>197</v>
      </c>
      <c r="C5" s="21" t="str">
        <f aca="false">IFERROR(INDEX(Projects!$B$2:$B$500,MATCH(B5,Projects!$A$2:$A$500,0)),"")</f>
        <v>Patient Portal Modernization</v>
      </c>
      <c r="D5" s="18" t="s">
        <v>876</v>
      </c>
      <c r="E5" s="23" t="n">
        <v>11900</v>
      </c>
      <c r="F5" s="19" t="n">
        <v>45939</v>
      </c>
      <c r="G5" s="18" t="s">
        <v>325</v>
      </c>
      <c r="H5" s="18"/>
      <c r="I5" s="14" t="n">
        <f aca="false">SUMIFS(Actuals!$J$2:$J$6000,Actuals!$C$2:$C$6000,B5,Actuals!$D$2:$D$6000,D5)</f>
        <v>10170.37</v>
      </c>
      <c r="J5" s="14" t="n">
        <f aca="false">E5-I5</f>
        <v>1729.63</v>
      </c>
      <c r="K5" s="15" t="n">
        <f aca="false">IF(E5=0,0,I5/E5)</f>
        <v>0.854652941176471</v>
      </c>
      <c r="L5" s="12" t="str">
        <f aca="false">IF(D5="Contingency","Reserve",IF(K5&gt;1,"Overspent",IF(K5&gt;=BudgetNearLimit,"Near limit","Within budget")))</f>
        <v>Within budget</v>
      </c>
    </row>
    <row r="6" customFormat="false" ht="15" hidden="false" customHeight="false" outlineLevel="0" collapsed="false">
      <c r="A6" s="18" t="s">
        <v>877</v>
      </c>
      <c r="B6" s="18" t="s">
        <v>197</v>
      </c>
      <c r="C6" s="21" t="str">
        <f aca="false">IFERROR(INDEX(Projects!$B$2:$B$500,MATCH(B6,Projects!$A$2:$A$500,0)),"")</f>
        <v>Patient Portal Modernization</v>
      </c>
      <c r="D6" s="18" t="s">
        <v>878</v>
      </c>
      <c r="E6" s="23" t="n">
        <v>42100</v>
      </c>
      <c r="F6" s="19" t="n">
        <v>45939</v>
      </c>
      <c r="G6" s="18" t="s">
        <v>325</v>
      </c>
      <c r="H6" s="18" t="s">
        <v>879</v>
      </c>
      <c r="I6" s="14" t="n">
        <f aca="false">SUMIFS(Actuals!$J$2:$J$6000,Actuals!$C$2:$C$6000,B6,Actuals!$D$2:$D$6000,D6)</f>
        <v>0</v>
      </c>
      <c r="J6" s="14" t="n">
        <f aca="false">E6-I6</f>
        <v>42100</v>
      </c>
      <c r="K6" s="15" t="n">
        <f aca="false">IF(E6=0,0,I6/E6)</f>
        <v>0</v>
      </c>
      <c r="L6" s="12" t="str">
        <f aca="false">IF(D6="Contingency","Reserve",IF(K6&gt;1,"Overspent",IF(K6&gt;=BudgetNearLimit,"Near limit","Within budget")))</f>
        <v>Reserve</v>
      </c>
    </row>
    <row r="7" customFormat="false" ht="15" hidden="false" customHeight="false" outlineLevel="0" collapsed="false">
      <c r="A7" s="18" t="s">
        <v>880</v>
      </c>
      <c r="B7" s="18" t="s">
        <v>207</v>
      </c>
      <c r="C7" s="21" t="str">
        <f aca="false">IFERROR(INDEX(Projects!$B$2:$B$500,MATCH(B7,Projects!$A$2:$A$500,0)),"")</f>
        <v>Claims Automation Engine</v>
      </c>
      <c r="D7" s="18" t="s">
        <v>869</v>
      </c>
      <c r="E7" s="23" t="n">
        <v>351300</v>
      </c>
      <c r="F7" s="19" t="n">
        <v>46002</v>
      </c>
      <c r="G7" s="18" t="s">
        <v>317</v>
      </c>
      <c r="H7" s="18" t="s">
        <v>870</v>
      </c>
      <c r="I7" s="14" t="n">
        <f aca="false">SUMIFS(Actuals!$J$2:$J$6000,Actuals!$C$2:$C$6000,B7,Actuals!$D$2:$D$6000,D7)</f>
        <v>320785.27</v>
      </c>
      <c r="J7" s="14" t="n">
        <f aca="false">E7-I7</f>
        <v>30514.73</v>
      </c>
      <c r="K7" s="15" t="n">
        <f aca="false">IF(E7=0,0,I7/E7)</f>
        <v>0.913137688585255</v>
      </c>
      <c r="L7" s="12" t="str">
        <f aca="false">IF(D7="Contingency","Reserve",IF(K7&gt;1,"Overspent",IF(K7&gt;=BudgetNearLimit,"Near limit","Within budget")))</f>
        <v>Near limit</v>
      </c>
    </row>
    <row r="8" customFormat="false" ht="15" hidden="false" customHeight="false" outlineLevel="0" collapsed="false">
      <c r="A8" s="18" t="s">
        <v>881</v>
      </c>
      <c r="B8" s="18" t="s">
        <v>207</v>
      </c>
      <c r="C8" s="21" t="str">
        <f aca="false">IFERROR(INDEX(Projects!$B$2:$B$500,MATCH(B8,Projects!$A$2:$A$500,0)),"")</f>
        <v>Claims Automation Engine</v>
      </c>
      <c r="D8" s="18" t="s">
        <v>882</v>
      </c>
      <c r="E8" s="23" t="n">
        <v>28300</v>
      </c>
      <c r="F8" s="19" t="n">
        <v>46002</v>
      </c>
      <c r="G8" s="18" t="s">
        <v>317</v>
      </c>
      <c r="H8" s="18"/>
      <c r="I8" s="14" t="n">
        <f aca="false">SUMIFS(Actuals!$J$2:$J$6000,Actuals!$C$2:$C$6000,B8,Actuals!$D$2:$D$6000,D8)</f>
        <v>35530.14</v>
      </c>
      <c r="J8" s="14" t="n">
        <f aca="false">E8-I8</f>
        <v>-7230.14</v>
      </c>
      <c r="K8" s="15" t="n">
        <f aca="false">IF(E8=0,0,I8/E8)</f>
        <v>1.25548197879859</v>
      </c>
      <c r="L8" s="12" t="str">
        <f aca="false">IF(D8="Contingency","Reserve",IF(K8&gt;1,"Overspent",IF(K8&gt;=BudgetNearLimit,"Near limit","Within budget")))</f>
        <v>Overspent</v>
      </c>
    </row>
    <row r="9" customFormat="false" ht="15" hidden="false" customHeight="false" outlineLevel="0" collapsed="false">
      <c r="A9" s="18" t="s">
        <v>883</v>
      </c>
      <c r="B9" s="18" t="s">
        <v>207</v>
      </c>
      <c r="C9" s="21" t="str">
        <f aca="false">IFERROR(INDEX(Projects!$B$2:$B$500,MATCH(B9,Projects!$A$2:$A$500,0)),"")</f>
        <v>Claims Automation Engine</v>
      </c>
      <c r="D9" s="18" t="s">
        <v>872</v>
      </c>
      <c r="E9" s="23" t="n">
        <v>18200</v>
      </c>
      <c r="F9" s="19" t="n">
        <v>46002</v>
      </c>
      <c r="G9" s="18" t="s">
        <v>317</v>
      </c>
      <c r="H9" s="18"/>
      <c r="I9" s="14" t="n">
        <f aca="false">SUMIFS(Actuals!$J$2:$J$6000,Actuals!$C$2:$C$6000,B9,Actuals!$D$2:$D$6000,D9)</f>
        <v>14042.27</v>
      </c>
      <c r="J9" s="14" t="n">
        <f aca="false">E9-I9</f>
        <v>4157.73</v>
      </c>
      <c r="K9" s="15" t="n">
        <f aca="false">IF(E9=0,0,I9/E9)</f>
        <v>0.771553296703297</v>
      </c>
      <c r="L9" s="12" t="str">
        <f aca="false">IF(D9="Contingency","Reserve",IF(K9&gt;1,"Overspent",IF(K9&gt;=BudgetNearLimit,"Near limit","Within budget")))</f>
        <v>Within budget</v>
      </c>
    </row>
    <row r="10" customFormat="false" ht="15" hidden="false" customHeight="false" outlineLevel="0" collapsed="false">
      <c r="A10" s="18" t="s">
        <v>884</v>
      </c>
      <c r="B10" s="18" t="s">
        <v>207</v>
      </c>
      <c r="C10" s="21" t="str">
        <f aca="false">IFERROR(INDEX(Projects!$B$2:$B$500,MATCH(B10,Projects!$A$2:$A$500,0)),"")</f>
        <v>Claims Automation Engine</v>
      </c>
      <c r="D10" s="18" t="s">
        <v>495</v>
      </c>
      <c r="E10" s="23" t="n">
        <v>9000</v>
      </c>
      <c r="F10" s="19" t="n">
        <v>46002</v>
      </c>
      <c r="G10" s="18" t="s">
        <v>317</v>
      </c>
      <c r="H10" s="18"/>
      <c r="I10" s="14" t="n">
        <f aca="false">SUMIFS(Actuals!$J$2:$J$6000,Actuals!$C$2:$C$6000,B10,Actuals!$D$2:$D$6000,D10)</f>
        <v>7170.74</v>
      </c>
      <c r="J10" s="14" t="n">
        <f aca="false">E10-I10</f>
        <v>1829.26</v>
      </c>
      <c r="K10" s="15" t="n">
        <f aca="false">IF(E10=0,0,I10/E10)</f>
        <v>0.796748888888889</v>
      </c>
      <c r="L10" s="12" t="str">
        <f aca="false">IF(D10="Contingency","Reserve",IF(K10&gt;1,"Overspent",IF(K10&gt;=BudgetNearLimit,"Near limit","Within budget")))</f>
        <v>Within budget</v>
      </c>
    </row>
    <row r="11" customFormat="false" ht="15" hidden="false" customHeight="false" outlineLevel="0" collapsed="false">
      <c r="A11" s="18" t="s">
        <v>885</v>
      </c>
      <c r="B11" s="18" t="s">
        <v>207</v>
      </c>
      <c r="C11" s="21" t="str">
        <f aca="false">IFERROR(INDEX(Projects!$B$2:$B$500,MATCH(B11,Projects!$A$2:$A$500,0)),"")</f>
        <v>Claims Automation Engine</v>
      </c>
      <c r="D11" s="18" t="s">
        <v>876</v>
      </c>
      <c r="E11" s="23" t="n">
        <v>6600</v>
      </c>
      <c r="F11" s="19" t="n">
        <v>46002</v>
      </c>
      <c r="G11" s="18" t="s">
        <v>317</v>
      </c>
      <c r="H11" s="18"/>
      <c r="I11" s="14" t="n">
        <f aca="false">SUMIFS(Actuals!$J$2:$J$6000,Actuals!$C$2:$C$6000,B11,Actuals!$D$2:$D$6000,D11)</f>
        <v>5026.16</v>
      </c>
      <c r="J11" s="14" t="n">
        <f aca="false">E11-I11</f>
        <v>1573.84</v>
      </c>
      <c r="K11" s="15" t="n">
        <f aca="false">IF(E11=0,0,I11/E11)</f>
        <v>0.761539393939394</v>
      </c>
      <c r="L11" s="12" t="str">
        <f aca="false">IF(D11="Contingency","Reserve",IF(K11&gt;1,"Overspent",IF(K11&gt;=BudgetNearLimit,"Near limit","Within budget")))</f>
        <v>Within budget</v>
      </c>
    </row>
    <row r="12" customFormat="false" ht="15" hidden="false" customHeight="false" outlineLevel="0" collapsed="false">
      <c r="A12" s="18" t="s">
        <v>886</v>
      </c>
      <c r="B12" s="18" t="s">
        <v>207</v>
      </c>
      <c r="C12" s="21" t="str">
        <f aca="false">IFERROR(INDEX(Projects!$B$2:$B$500,MATCH(B12,Projects!$A$2:$A$500,0)),"")</f>
        <v>Claims Automation Engine</v>
      </c>
      <c r="D12" s="18" t="s">
        <v>878</v>
      </c>
      <c r="E12" s="23" t="n">
        <v>52700</v>
      </c>
      <c r="F12" s="19" t="n">
        <v>46002</v>
      </c>
      <c r="G12" s="18" t="s">
        <v>317</v>
      </c>
      <c r="H12" s="18" t="s">
        <v>879</v>
      </c>
      <c r="I12" s="14" t="n">
        <f aca="false">SUMIFS(Actuals!$J$2:$J$6000,Actuals!$C$2:$C$6000,B12,Actuals!$D$2:$D$6000,D12)</f>
        <v>0</v>
      </c>
      <c r="J12" s="14" t="n">
        <f aca="false">E12-I12</f>
        <v>52700</v>
      </c>
      <c r="K12" s="15" t="n">
        <f aca="false">IF(E12=0,0,I12/E12)</f>
        <v>0</v>
      </c>
      <c r="L12" s="12" t="str">
        <f aca="false">IF(D12="Contingency","Reserve",IF(K12&gt;1,"Overspent",IF(K12&gt;=BudgetNearLimit,"Near limit","Within budget")))</f>
        <v>Reserve</v>
      </c>
    </row>
    <row r="13" customFormat="false" ht="15" hidden="false" customHeight="false" outlineLevel="0" collapsed="false">
      <c r="A13" s="18" t="s">
        <v>887</v>
      </c>
      <c r="B13" s="18" t="s">
        <v>215</v>
      </c>
      <c r="C13" s="21" t="str">
        <f aca="false">IFERROR(INDEX(Projects!$B$2:$B$500,MATCH(B13,Projects!$A$2:$A$500,0)),"")</f>
        <v>Enterprise Data Lakehouse</v>
      </c>
      <c r="D13" s="18" t="s">
        <v>869</v>
      </c>
      <c r="E13" s="23" t="n">
        <v>576600</v>
      </c>
      <c r="F13" s="19" t="n">
        <v>45884</v>
      </c>
      <c r="G13" s="18" t="s">
        <v>325</v>
      </c>
      <c r="H13" s="18" t="s">
        <v>870</v>
      </c>
      <c r="I13" s="14" t="n">
        <f aca="false">SUMIFS(Actuals!$J$2:$J$6000,Actuals!$C$2:$C$6000,B13,Actuals!$D$2:$D$6000,D13)</f>
        <v>526031.85</v>
      </c>
      <c r="J13" s="14" t="n">
        <f aca="false">E13-I13</f>
        <v>50568.15</v>
      </c>
      <c r="K13" s="15" t="n">
        <f aca="false">IF(E13=0,0,I13/E13)</f>
        <v>0.912299427679501</v>
      </c>
      <c r="L13" s="12" t="str">
        <f aca="false">IF(D13="Contingency","Reserve",IF(K13&gt;1,"Overspent",IF(K13&gt;=BudgetNearLimit,"Near limit","Within budget")))</f>
        <v>Near limit</v>
      </c>
    </row>
    <row r="14" customFormat="false" ht="15" hidden="false" customHeight="false" outlineLevel="0" collapsed="false">
      <c r="A14" s="18" t="s">
        <v>888</v>
      </c>
      <c r="B14" s="18" t="s">
        <v>215</v>
      </c>
      <c r="C14" s="21" t="str">
        <f aca="false">IFERROR(INDEX(Projects!$B$2:$B$500,MATCH(B14,Projects!$A$2:$A$500,0)),"")</f>
        <v>Enterprise Data Lakehouse</v>
      </c>
      <c r="D14" s="18" t="s">
        <v>889</v>
      </c>
      <c r="E14" s="23" t="n">
        <v>59300</v>
      </c>
      <c r="F14" s="19" t="n">
        <v>45884</v>
      </c>
      <c r="G14" s="18" t="s">
        <v>325</v>
      </c>
      <c r="H14" s="18"/>
      <c r="I14" s="14" t="n">
        <f aca="false">SUMIFS(Actuals!$J$2:$J$6000,Actuals!$C$2:$C$6000,B14,Actuals!$D$2:$D$6000,D14)</f>
        <v>49511.47</v>
      </c>
      <c r="J14" s="14" t="n">
        <f aca="false">E14-I14</f>
        <v>9788.53</v>
      </c>
      <c r="K14" s="15" t="n">
        <f aca="false">IF(E14=0,0,I14/E14)</f>
        <v>0.834932040472175</v>
      </c>
      <c r="L14" s="12" t="str">
        <f aca="false">IF(D14="Contingency","Reserve",IF(K14&gt;1,"Overspent",IF(K14&gt;=BudgetNearLimit,"Near limit","Within budget")))</f>
        <v>Within budget</v>
      </c>
    </row>
    <row r="15" customFormat="false" ht="15" hidden="false" customHeight="false" outlineLevel="0" collapsed="false">
      <c r="A15" s="18" t="s">
        <v>890</v>
      </c>
      <c r="B15" s="18" t="s">
        <v>215</v>
      </c>
      <c r="C15" s="21" t="str">
        <f aca="false">IFERROR(INDEX(Projects!$B$2:$B$500,MATCH(B15,Projects!$A$2:$A$500,0)),"")</f>
        <v>Enterprise Data Lakehouse</v>
      </c>
      <c r="D15" s="18" t="s">
        <v>872</v>
      </c>
      <c r="E15" s="23" t="n">
        <v>39100</v>
      </c>
      <c r="F15" s="19" t="n">
        <v>45884</v>
      </c>
      <c r="G15" s="18" t="s">
        <v>325</v>
      </c>
      <c r="H15" s="18"/>
      <c r="I15" s="14" t="n">
        <f aca="false">SUMIFS(Actuals!$J$2:$J$6000,Actuals!$C$2:$C$6000,B15,Actuals!$D$2:$D$6000,D15)</f>
        <v>32748.66</v>
      </c>
      <c r="J15" s="14" t="n">
        <f aca="false">E15-I15</f>
        <v>6351.34</v>
      </c>
      <c r="K15" s="15" t="n">
        <f aca="false">IF(E15=0,0,I15/E15)</f>
        <v>0.837561636828645</v>
      </c>
      <c r="L15" s="12" t="str">
        <f aca="false">IF(D15="Contingency","Reserve",IF(K15&gt;1,"Overspent",IF(K15&gt;=BudgetNearLimit,"Near limit","Within budget")))</f>
        <v>Within budget</v>
      </c>
    </row>
    <row r="16" customFormat="false" ht="15" hidden="false" customHeight="false" outlineLevel="0" collapsed="false">
      <c r="A16" s="18" t="s">
        <v>891</v>
      </c>
      <c r="B16" s="18" t="s">
        <v>215</v>
      </c>
      <c r="C16" s="21" t="str">
        <f aca="false">IFERROR(INDEX(Projects!$B$2:$B$500,MATCH(B16,Projects!$A$2:$A$500,0)),"")</f>
        <v>Enterprise Data Lakehouse</v>
      </c>
      <c r="D16" s="18" t="s">
        <v>876</v>
      </c>
      <c r="E16" s="23" t="n">
        <v>8100</v>
      </c>
      <c r="F16" s="19" t="n">
        <v>45884</v>
      </c>
      <c r="G16" s="18" t="s">
        <v>325</v>
      </c>
      <c r="H16" s="18"/>
      <c r="I16" s="14" t="n">
        <f aca="false">SUMIFS(Actuals!$J$2:$J$6000,Actuals!$C$2:$C$6000,B16,Actuals!$D$2:$D$6000,D16)</f>
        <v>6516.17</v>
      </c>
      <c r="J16" s="14" t="n">
        <f aca="false">E16-I16</f>
        <v>1583.83</v>
      </c>
      <c r="K16" s="15" t="n">
        <f aca="false">IF(E16=0,0,I16/E16)</f>
        <v>0.804465432098765</v>
      </c>
      <c r="L16" s="12" t="str">
        <f aca="false">IF(D16="Contingency","Reserve",IF(K16&gt;1,"Overspent",IF(K16&gt;=BudgetNearLimit,"Near limit","Within budget")))</f>
        <v>Within budget</v>
      </c>
    </row>
    <row r="17" customFormat="false" ht="15" hidden="false" customHeight="false" outlineLevel="0" collapsed="false">
      <c r="A17" s="18" t="s">
        <v>892</v>
      </c>
      <c r="B17" s="18" t="s">
        <v>215</v>
      </c>
      <c r="C17" s="21" t="str">
        <f aca="false">IFERROR(INDEX(Projects!$B$2:$B$500,MATCH(B17,Projects!$A$2:$A$500,0)),"")</f>
        <v>Enterprise Data Lakehouse</v>
      </c>
      <c r="D17" s="18" t="s">
        <v>878</v>
      </c>
      <c r="E17" s="23" t="n">
        <v>86500</v>
      </c>
      <c r="F17" s="19" t="n">
        <v>45884</v>
      </c>
      <c r="G17" s="18" t="s">
        <v>325</v>
      </c>
      <c r="H17" s="18" t="s">
        <v>879</v>
      </c>
      <c r="I17" s="14" t="n">
        <f aca="false">SUMIFS(Actuals!$J$2:$J$6000,Actuals!$C$2:$C$6000,B17,Actuals!$D$2:$D$6000,D17)</f>
        <v>0</v>
      </c>
      <c r="J17" s="14" t="n">
        <f aca="false">E17-I17</f>
        <v>86500</v>
      </c>
      <c r="K17" s="15" t="n">
        <f aca="false">IF(E17=0,0,I17/E17)</f>
        <v>0</v>
      </c>
      <c r="L17" s="12" t="str">
        <f aca="false">IF(D17="Contingency","Reserve",IF(K17&gt;1,"Overspent",IF(K17&gt;=BudgetNearLimit,"Near limit","Within budget")))</f>
        <v>Reserve</v>
      </c>
    </row>
    <row r="18" customFormat="false" ht="15" hidden="false" customHeight="false" outlineLevel="0" collapsed="false">
      <c r="A18" s="18" t="s">
        <v>893</v>
      </c>
      <c r="B18" s="18" t="s">
        <v>222</v>
      </c>
      <c r="C18" s="21" t="str">
        <f aca="false">IFERROR(INDEX(Projects!$B$2:$B$500,MATCH(B18,Projects!$A$2:$A$500,0)),"")</f>
        <v>Cloud Migration Wave 2</v>
      </c>
      <c r="D18" s="18" t="s">
        <v>869</v>
      </c>
      <c r="E18" s="23" t="n">
        <v>524600</v>
      </c>
      <c r="F18" s="19" t="n">
        <v>46029</v>
      </c>
      <c r="G18" s="18" t="s">
        <v>325</v>
      </c>
      <c r="H18" s="18" t="s">
        <v>870</v>
      </c>
      <c r="I18" s="14" t="n">
        <f aca="false">SUMIFS(Actuals!$J$2:$J$6000,Actuals!$C$2:$C$6000,B18,Actuals!$D$2:$D$6000,D18)</f>
        <v>316771</v>
      </c>
      <c r="J18" s="14" t="n">
        <f aca="false">E18-I18</f>
        <v>207829</v>
      </c>
      <c r="K18" s="15" t="n">
        <f aca="false">IF(E18=0,0,I18/E18)</f>
        <v>0.603833396873809</v>
      </c>
      <c r="L18" s="12" t="str">
        <f aca="false">IF(D18="Contingency","Reserve",IF(K18&gt;1,"Overspent",IF(K18&gt;=BudgetNearLimit,"Near limit","Within budget")))</f>
        <v>Within budget</v>
      </c>
    </row>
    <row r="19" customFormat="false" ht="15" hidden="false" customHeight="false" outlineLevel="0" collapsed="false">
      <c r="A19" s="18" t="s">
        <v>894</v>
      </c>
      <c r="B19" s="18" t="s">
        <v>222</v>
      </c>
      <c r="C19" s="21" t="str">
        <f aca="false">IFERROR(INDEX(Projects!$B$2:$B$500,MATCH(B19,Projects!$A$2:$A$500,0)),"")</f>
        <v>Cloud Migration Wave 2</v>
      </c>
      <c r="D19" s="18" t="s">
        <v>889</v>
      </c>
      <c r="E19" s="23" t="n">
        <v>80300</v>
      </c>
      <c r="F19" s="19" t="n">
        <v>46029</v>
      </c>
      <c r="G19" s="18" t="s">
        <v>325</v>
      </c>
      <c r="H19" s="18"/>
      <c r="I19" s="14" t="n">
        <f aca="false">SUMIFS(Actuals!$J$2:$J$6000,Actuals!$C$2:$C$6000,B19,Actuals!$D$2:$D$6000,D19)</f>
        <v>46125.84</v>
      </c>
      <c r="J19" s="14" t="n">
        <f aca="false">E19-I19</f>
        <v>34174.16</v>
      </c>
      <c r="K19" s="15" t="n">
        <f aca="false">IF(E19=0,0,I19/E19)</f>
        <v>0.574418929016189</v>
      </c>
      <c r="L19" s="12" t="str">
        <f aca="false">IF(D19="Contingency","Reserve",IF(K19&gt;1,"Overspent",IF(K19&gt;=BudgetNearLimit,"Near limit","Within budget")))</f>
        <v>Within budget</v>
      </c>
    </row>
    <row r="20" customFormat="false" ht="15" hidden="false" customHeight="false" outlineLevel="0" collapsed="false">
      <c r="A20" s="18" t="s">
        <v>895</v>
      </c>
      <c r="B20" s="18" t="s">
        <v>222</v>
      </c>
      <c r="C20" s="21" t="str">
        <f aca="false">IFERROR(INDEX(Projects!$B$2:$B$500,MATCH(B20,Projects!$A$2:$A$500,0)),"")</f>
        <v>Cloud Migration Wave 2</v>
      </c>
      <c r="D20" s="18" t="s">
        <v>882</v>
      </c>
      <c r="E20" s="23" t="n">
        <v>55800</v>
      </c>
      <c r="F20" s="19" t="n">
        <v>46029</v>
      </c>
      <c r="G20" s="18" t="s">
        <v>325</v>
      </c>
      <c r="H20" s="18"/>
      <c r="I20" s="14" t="n">
        <f aca="false">SUMIFS(Actuals!$J$2:$J$6000,Actuals!$C$2:$C$6000,B20,Actuals!$D$2:$D$6000,D20)</f>
        <v>54839.11</v>
      </c>
      <c r="J20" s="14" t="n">
        <f aca="false">E20-I20</f>
        <v>960.889999999999</v>
      </c>
      <c r="K20" s="15" t="n">
        <f aca="false">IF(E20=0,0,I20/E20)</f>
        <v>0.982779749103943</v>
      </c>
      <c r="L20" s="12" t="str">
        <f aca="false">IF(D20="Contingency","Reserve",IF(K20&gt;1,"Overspent",IF(K20&gt;=BudgetNearLimit,"Near limit","Within budget")))</f>
        <v>Near limit</v>
      </c>
    </row>
    <row r="21" customFormat="false" ht="15" hidden="false" customHeight="false" outlineLevel="0" collapsed="false">
      <c r="A21" s="18" t="s">
        <v>896</v>
      </c>
      <c r="B21" s="18" t="s">
        <v>222</v>
      </c>
      <c r="C21" s="21" t="str">
        <f aca="false">IFERROR(INDEX(Projects!$B$2:$B$500,MATCH(B21,Projects!$A$2:$A$500,0)),"")</f>
        <v>Cloud Migration Wave 2</v>
      </c>
      <c r="D21" s="18" t="s">
        <v>872</v>
      </c>
      <c r="E21" s="23" t="n">
        <v>29500</v>
      </c>
      <c r="F21" s="19" t="n">
        <v>46029</v>
      </c>
      <c r="G21" s="18" t="s">
        <v>325</v>
      </c>
      <c r="H21" s="18"/>
      <c r="I21" s="14" t="n">
        <f aca="false">SUMIFS(Actuals!$J$2:$J$6000,Actuals!$C$2:$C$6000,B21,Actuals!$D$2:$D$6000,D21)</f>
        <v>16733.21</v>
      </c>
      <c r="J21" s="14" t="n">
        <f aca="false">E21-I21</f>
        <v>12766.79</v>
      </c>
      <c r="K21" s="15" t="n">
        <f aca="false">IF(E21=0,0,I21/E21)</f>
        <v>0.567227457627119</v>
      </c>
      <c r="L21" s="12" t="str">
        <f aca="false">IF(D21="Contingency","Reserve",IF(K21&gt;1,"Overspent",IF(K21&gt;=BudgetNearLimit,"Near limit","Within budget")))</f>
        <v>Within budget</v>
      </c>
    </row>
    <row r="22" customFormat="false" ht="15" hidden="false" customHeight="false" outlineLevel="0" collapsed="false">
      <c r="A22" s="18" t="s">
        <v>897</v>
      </c>
      <c r="B22" s="18" t="s">
        <v>222</v>
      </c>
      <c r="C22" s="21" t="str">
        <f aca="false">IFERROR(INDEX(Projects!$B$2:$B$500,MATCH(B22,Projects!$A$2:$A$500,0)),"")</f>
        <v>Cloud Migration Wave 2</v>
      </c>
      <c r="D22" s="18" t="s">
        <v>876</v>
      </c>
      <c r="E22" s="23" t="n">
        <v>10800</v>
      </c>
      <c r="F22" s="19" t="n">
        <v>46029</v>
      </c>
      <c r="G22" s="18" t="s">
        <v>325</v>
      </c>
      <c r="H22" s="18"/>
      <c r="I22" s="14" t="n">
        <f aca="false">SUMIFS(Actuals!$J$2:$J$6000,Actuals!$C$2:$C$6000,B22,Actuals!$D$2:$D$6000,D22)</f>
        <v>6368.56</v>
      </c>
      <c r="J22" s="14" t="n">
        <f aca="false">E22-I22</f>
        <v>4431.44</v>
      </c>
      <c r="K22" s="15" t="n">
        <f aca="false">IF(E22=0,0,I22/E22)</f>
        <v>0.589681481481482</v>
      </c>
      <c r="L22" s="12" t="str">
        <f aca="false">IF(D22="Contingency","Reserve",IF(K22&gt;1,"Overspent",IF(K22&gt;=BudgetNearLimit,"Near limit","Within budget")))</f>
        <v>Within budget</v>
      </c>
    </row>
    <row r="23" customFormat="false" ht="15" hidden="false" customHeight="false" outlineLevel="0" collapsed="false">
      <c r="A23" s="18" t="s">
        <v>898</v>
      </c>
      <c r="B23" s="18" t="s">
        <v>222</v>
      </c>
      <c r="C23" s="21" t="str">
        <f aca="false">IFERROR(INDEX(Projects!$B$2:$B$500,MATCH(B23,Projects!$A$2:$A$500,0)),"")</f>
        <v>Cloud Migration Wave 2</v>
      </c>
      <c r="D23" s="18" t="s">
        <v>878</v>
      </c>
      <c r="E23" s="23" t="n">
        <v>37500</v>
      </c>
      <c r="F23" s="19" t="n">
        <v>46029</v>
      </c>
      <c r="G23" s="18" t="s">
        <v>325</v>
      </c>
      <c r="H23" s="18" t="s">
        <v>879</v>
      </c>
      <c r="I23" s="14" t="n">
        <f aca="false">SUMIFS(Actuals!$J$2:$J$6000,Actuals!$C$2:$C$6000,B23,Actuals!$D$2:$D$6000,D23)</f>
        <v>0</v>
      </c>
      <c r="J23" s="14" t="n">
        <f aca="false">E23-I23</f>
        <v>37500</v>
      </c>
      <c r="K23" s="15" t="n">
        <f aca="false">IF(E23=0,0,I23/E23)</f>
        <v>0</v>
      </c>
      <c r="L23" s="12" t="str">
        <f aca="false">IF(D23="Contingency","Reserve",IF(K23&gt;1,"Overspent",IF(K23&gt;=BudgetNearLimit,"Near limit","Within budget")))</f>
        <v>Reserve</v>
      </c>
    </row>
    <row r="24" customFormat="false" ht="15" hidden="false" customHeight="false" outlineLevel="0" collapsed="false">
      <c r="A24" s="18" t="s">
        <v>899</v>
      </c>
      <c r="B24" s="18" t="s">
        <v>228</v>
      </c>
      <c r="C24" s="21" t="str">
        <f aca="false">IFERROR(INDEX(Projects!$B$2:$B$500,MATCH(B24,Projects!$A$2:$A$500,0)),"")</f>
        <v>Fraud Detection ML Platform</v>
      </c>
      <c r="D24" s="18" t="s">
        <v>869</v>
      </c>
      <c r="E24" s="23" t="n">
        <v>363500</v>
      </c>
      <c r="F24" s="19" t="n">
        <v>46073</v>
      </c>
      <c r="G24" s="18" t="s">
        <v>317</v>
      </c>
      <c r="H24" s="18" t="s">
        <v>870</v>
      </c>
      <c r="I24" s="14" t="n">
        <f aca="false">SUMIFS(Actuals!$J$2:$J$6000,Actuals!$C$2:$C$6000,B24,Actuals!$D$2:$D$6000,D24)</f>
        <v>255129.66</v>
      </c>
      <c r="J24" s="14" t="n">
        <f aca="false">E24-I24</f>
        <v>108370.34</v>
      </c>
      <c r="K24" s="15" t="n">
        <f aca="false">IF(E24=0,0,I24/E24)</f>
        <v>0.701869766162311</v>
      </c>
      <c r="L24" s="12" t="str">
        <f aca="false">IF(D24="Contingency","Reserve",IF(K24&gt;1,"Overspent",IF(K24&gt;=BudgetNearLimit,"Near limit","Within budget")))</f>
        <v>Within budget</v>
      </c>
    </row>
    <row r="25" customFormat="false" ht="15" hidden="false" customHeight="false" outlineLevel="0" collapsed="false">
      <c r="A25" s="18" t="s">
        <v>900</v>
      </c>
      <c r="B25" s="18" t="s">
        <v>228</v>
      </c>
      <c r="C25" s="21" t="str">
        <f aca="false">IFERROR(INDEX(Projects!$B$2:$B$500,MATCH(B25,Projects!$A$2:$A$500,0)),"")</f>
        <v>Fraud Detection ML Platform</v>
      </c>
      <c r="D25" s="18" t="s">
        <v>889</v>
      </c>
      <c r="E25" s="23" t="n">
        <v>32500</v>
      </c>
      <c r="F25" s="19" t="n">
        <v>46073</v>
      </c>
      <c r="G25" s="18" t="s">
        <v>317</v>
      </c>
      <c r="H25" s="18"/>
      <c r="I25" s="14" t="n">
        <f aca="false">SUMIFS(Actuals!$J$2:$J$6000,Actuals!$C$2:$C$6000,B25,Actuals!$D$2:$D$6000,D25)</f>
        <v>18578.25</v>
      </c>
      <c r="J25" s="14" t="n">
        <f aca="false">E25-I25</f>
        <v>13921.75</v>
      </c>
      <c r="K25" s="15" t="n">
        <f aca="false">IF(E25=0,0,I25/E25)</f>
        <v>0.571638461538462</v>
      </c>
      <c r="L25" s="12" t="str">
        <f aca="false">IF(D25="Contingency","Reserve",IF(K25&gt;1,"Overspent",IF(K25&gt;=BudgetNearLimit,"Near limit","Within budget")))</f>
        <v>Within budget</v>
      </c>
    </row>
    <row r="26" customFormat="false" ht="15" hidden="false" customHeight="false" outlineLevel="0" collapsed="false">
      <c r="A26" s="18" t="s">
        <v>901</v>
      </c>
      <c r="B26" s="18" t="s">
        <v>228</v>
      </c>
      <c r="C26" s="21" t="str">
        <f aca="false">IFERROR(INDEX(Projects!$B$2:$B$500,MATCH(B26,Projects!$A$2:$A$500,0)),"")</f>
        <v>Fraud Detection ML Platform</v>
      </c>
      <c r="D26" s="18" t="s">
        <v>872</v>
      </c>
      <c r="E26" s="23" t="n">
        <v>21800</v>
      </c>
      <c r="F26" s="19" t="n">
        <v>46073</v>
      </c>
      <c r="G26" s="18" t="s">
        <v>317</v>
      </c>
      <c r="H26" s="18"/>
      <c r="I26" s="14" t="n">
        <f aca="false">SUMIFS(Actuals!$J$2:$J$6000,Actuals!$C$2:$C$6000,B26,Actuals!$D$2:$D$6000,D26)</f>
        <v>12550.75</v>
      </c>
      <c r="J26" s="14" t="n">
        <f aca="false">E26-I26</f>
        <v>9249.25</v>
      </c>
      <c r="K26" s="15" t="n">
        <f aca="false">IF(E26=0,0,I26/E26)</f>
        <v>0.57572247706422</v>
      </c>
      <c r="L26" s="12" t="str">
        <f aca="false">IF(D26="Contingency","Reserve",IF(K26&gt;1,"Overspent",IF(K26&gt;=BudgetNearLimit,"Near limit","Within budget")))</f>
        <v>Within budget</v>
      </c>
    </row>
    <row r="27" customFormat="false" ht="15" hidden="false" customHeight="false" outlineLevel="0" collapsed="false">
      <c r="A27" s="18" t="s">
        <v>902</v>
      </c>
      <c r="B27" s="18" t="s">
        <v>228</v>
      </c>
      <c r="C27" s="21" t="str">
        <f aca="false">IFERROR(INDEX(Projects!$B$2:$B$500,MATCH(B27,Projects!$A$2:$A$500,0)),"")</f>
        <v>Fraud Detection ML Platform</v>
      </c>
      <c r="D27" s="18" t="s">
        <v>876</v>
      </c>
      <c r="E27" s="23" t="n">
        <v>5000</v>
      </c>
      <c r="F27" s="19" t="n">
        <v>46073</v>
      </c>
      <c r="G27" s="18" t="s">
        <v>317</v>
      </c>
      <c r="H27" s="18"/>
      <c r="I27" s="14" t="n">
        <f aca="false">SUMIFS(Actuals!$J$2:$J$6000,Actuals!$C$2:$C$6000,B27,Actuals!$D$2:$D$6000,D27)</f>
        <v>3045.04</v>
      </c>
      <c r="J27" s="14" t="n">
        <f aca="false">E27-I27</f>
        <v>1954.96</v>
      </c>
      <c r="K27" s="15" t="n">
        <f aca="false">IF(E27=0,0,I27/E27)</f>
        <v>0.609008</v>
      </c>
      <c r="L27" s="12" t="str">
        <f aca="false">IF(D27="Contingency","Reserve",IF(K27&gt;1,"Overspent",IF(K27&gt;=BudgetNearLimit,"Near limit","Within budget")))</f>
        <v>Within budget</v>
      </c>
    </row>
    <row r="28" customFormat="false" ht="15" hidden="false" customHeight="false" outlineLevel="0" collapsed="false">
      <c r="A28" s="18" t="s">
        <v>903</v>
      </c>
      <c r="B28" s="18" t="s">
        <v>228</v>
      </c>
      <c r="C28" s="21" t="str">
        <f aca="false">IFERROR(INDEX(Projects!$B$2:$B$500,MATCH(B28,Projects!$A$2:$A$500,0)),"")</f>
        <v>Fraud Detection ML Platform</v>
      </c>
      <c r="D28" s="18" t="s">
        <v>878</v>
      </c>
      <c r="E28" s="23" t="n">
        <v>36400</v>
      </c>
      <c r="F28" s="19" t="n">
        <v>46073</v>
      </c>
      <c r="G28" s="18" t="s">
        <v>317</v>
      </c>
      <c r="H28" s="18" t="s">
        <v>879</v>
      </c>
      <c r="I28" s="14" t="n">
        <f aca="false">SUMIFS(Actuals!$J$2:$J$6000,Actuals!$C$2:$C$6000,B28,Actuals!$D$2:$D$6000,D28)</f>
        <v>0</v>
      </c>
      <c r="J28" s="14" t="n">
        <f aca="false">E28-I28</f>
        <v>36400</v>
      </c>
      <c r="K28" s="15" t="n">
        <f aca="false">IF(E28=0,0,I28/E28)</f>
        <v>0</v>
      </c>
      <c r="L28" s="12" t="str">
        <f aca="false">IF(D28="Contingency","Reserve",IF(K28&gt;1,"Overspent",IF(K28&gt;=BudgetNearLimit,"Near limit","Within budget")))</f>
        <v>Reserve</v>
      </c>
    </row>
    <row r="29" customFormat="false" ht="15" hidden="false" customHeight="false" outlineLevel="0" collapsed="false">
      <c r="A29" s="18" t="s">
        <v>904</v>
      </c>
      <c r="B29" s="18" t="s">
        <v>233</v>
      </c>
      <c r="C29" s="21" t="str">
        <f aca="false">IFERROR(INDEX(Projects!$B$2:$B$500,MATCH(B29,Projects!$A$2:$A$500,0)),"")</f>
        <v>Omnichannel Commerce Replatform</v>
      </c>
      <c r="D29" s="18" t="s">
        <v>869</v>
      </c>
      <c r="E29" s="23" t="n">
        <v>456100</v>
      </c>
      <c r="F29" s="19" t="n">
        <v>45917</v>
      </c>
      <c r="G29" s="18" t="s">
        <v>325</v>
      </c>
      <c r="H29" s="18" t="s">
        <v>870</v>
      </c>
      <c r="I29" s="14" t="n">
        <f aca="false">SUMIFS(Actuals!$J$2:$J$6000,Actuals!$C$2:$C$6000,B29,Actuals!$D$2:$D$6000,D29)</f>
        <v>541027.58</v>
      </c>
      <c r="J29" s="14" t="n">
        <f aca="false">E29-I29</f>
        <v>-84927.58</v>
      </c>
      <c r="K29" s="15" t="n">
        <f aca="false">IF(E29=0,0,I29/E29)</f>
        <v>1.18620385880289</v>
      </c>
      <c r="L29" s="12" t="str">
        <f aca="false">IF(D29="Contingency","Reserve",IF(K29&gt;1,"Overspent",IF(K29&gt;=BudgetNearLimit,"Near limit","Within budget")))</f>
        <v>Overspent</v>
      </c>
    </row>
    <row r="30" customFormat="false" ht="15" hidden="false" customHeight="false" outlineLevel="0" collapsed="false">
      <c r="A30" s="18" t="s">
        <v>905</v>
      </c>
      <c r="B30" s="18" t="s">
        <v>233</v>
      </c>
      <c r="C30" s="21" t="str">
        <f aca="false">IFERROR(INDEX(Projects!$B$2:$B$500,MATCH(B30,Projects!$A$2:$A$500,0)),"")</f>
        <v>Omnichannel Commerce Replatform</v>
      </c>
      <c r="D30" s="18" t="s">
        <v>872</v>
      </c>
      <c r="E30" s="23" t="n">
        <v>27700</v>
      </c>
      <c r="F30" s="19" t="n">
        <v>45917</v>
      </c>
      <c r="G30" s="18" t="s">
        <v>325</v>
      </c>
      <c r="H30" s="18"/>
      <c r="I30" s="14" t="n">
        <f aca="false">SUMIFS(Actuals!$J$2:$J$6000,Actuals!$C$2:$C$6000,B30,Actuals!$D$2:$D$6000,D30)</f>
        <v>27669.73</v>
      </c>
      <c r="J30" s="14" t="n">
        <f aca="false">E30-I30</f>
        <v>30.2700000000004</v>
      </c>
      <c r="K30" s="15" t="n">
        <f aca="false">IF(E30=0,0,I30/E30)</f>
        <v>0.998907220216607</v>
      </c>
      <c r="L30" s="12" t="str">
        <f aca="false">IF(D30="Contingency","Reserve",IF(K30&gt;1,"Overspent",IF(K30&gt;=BudgetNearLimit,"Near limit","Within budget")))</f>
        <v>Near limit</v>
      </c>
    </row>
    <row r="31" customFormat="false" ht="15" hidden="false" customHeight="false" outlineLevel="0" collapsed="false">
      <c r="A31" s="18" t="s">
        <v>906</v>
      </c>
      <c r="B31" s="18" t="s">
        <v>233</v>
      </c>
      <c r="C31" s="21" t="str">
        <f aca="false">IFERROR(INDEX(Projects!$B$2:$B$500,MATCH(B31,Projects!$A$2:$A$500,0)),"")</f>
        <v>Omnichannel Commerce Replatform</v>
      </c>
      <c r="D31" s="18" t="s">
        <v>874</v>
      </c>
      <c r="E31" s="23" t="n">
        <v>44700</v>
      </c>
      <c r="F31" s="19" t="n">
        <v>45917</v>
      </c>
      <c r="G31" s="18" t="s">
        <v>325</v>
      </c>
      <c r="H31" s="18"/>
      <c r="I31" s="14" t="n">
        <f aca="false">SUMIFS(Actuals!$J$2:$J$6000,Actuals!$C$2:$C$6000,B31,Actuals!$D$2:$D$6000,D31)</f>
        <v>45403.06</v>
      </c>
      <c r="J31" s="14" t="n">
        <f aca="false">E31-I31</f>
        <v>-703.059999999998</v>
      </c>
      <c r="K31" s="15" t="n">
        <f aca="false">IF(E31=0,0,I31/E31)</f>
        <v>1.01572841163311</v>
      </c>
      <c r="L31" s="12" t="str">
        <f aca="false">IF(D31="Contingency","Reserve",IF(K31&gt;1,"Overspent",IF(K31&gt;=BudgetNearLimit,"Near limit","Within budget")))</f>
        <v>Overspent</v>
      </c>
    </row>
    <row r="32" customFormat="false" ht="15" hidden="false" customHeight="false" outlineLevel="0" collapsed="false">
      <c r="A32" s="18" t="s">
        <v>907</v>
      </c>
      <c r="B32" s="18" t="s">
        <v>233</v>
      </c>
      <c r="C32" s="21" t="str">
        <f aca="false">IFERROR(INDEX(Projects!$B$2:$B$500,MATCH(B32,Projects!$A$2:$A$500,0)),"")</f>
        <v>Omnichannel Commerce Replatform</v>
      </c>
      <c r="D32" s="18" t="s">
        <v>876</v>
      </c>
      <c r="E32" s="23" t="n">
        <v>8200</v>
      </c>
      <c r="F32" s="19" t="n">
        <v>45917</v>
      </c>
      <c r="G32" s="18" t="s">
        <v>325</v>
      </c>
      <c r="H32" s="18"/>
      <c r="I32" s="14" t="n">
        <f aca="false">SUMIFS(Actuals!$J$2:$J$6000,Actuals!$C$2:$C$6000,B32,Actuals!$D$2:$D$6000,D32)</f>
        <v>8297.12</v>
      </c>
      <c r="J32" s="14" t="n">
        <f aca="false">E32-I32</f>
        <v>-97.1200000000008</v>
      </c>
      <c r="K32" s="15" t="n">
        <f aca="false">IF(E32=0,0,I32/E32)</f>
        <v>1.01184390243902</v>
      </c>
      <c r="L32" s="12" t="str">
        <f aca="false">IF(D32="Contingency","Reserve",IF(K32&gt;1,"Overspent",IF(K32&gt;=BudgetNearLimit,"Near limit","Within budget")))</f>
        <v>Overspent</v>
      </c>
    </row>
    <row r="33" customFormat="false" ht="15" hidden="false" customHeight="false" outlineLevel="0" collapsed="false">
      <c r="A33" s="18" t="s">
        <v>908</v>
      </c>
      <c r="B33" s="18" t="s">
        <v>233</v>
      </c>
      <c r="C33" s="21" t="str">
        <f aca="false">IFERROR(INDEX(Projects!$B$2:$B$500,MATCH(B33,Projects!$A$2:$A$500,0)),"")</f>
        <v>Omnichannel Commerce Replatform</v>
      </c>
      <c r="D33" s="18" t="s">
        <v>878</v>
      </c>
      <c r="E33" s="23" t="n">
        <v>45600</v>
      </c>
      <c r="F33" s="19" t="n">
        <v>45917</v>
      </c>
      <c r="G33" s="18" t="s">
        <v>325</v>
      </c>
      <c r="H33" s="18" t="s">
        <v>879</v>
      </c>
      <c r="I33" s="14" t="n">
        <f aca="false">SUMIFS(Actuals!$J$2:$J$6000,Actuals!$C$2:$C$6000,B33,Actuals!$D$2:$D$6000,D33)</f>
        <v>0</v>
      </c>
      <c r="J33" s="14" t="n">
        <f aca="false">E33-I33</f>
        <v>45600</v>
      </c>
      <c r="K33" s="15" t="n">
        <f aca="false">IF(E33=0,0,I33/E33)</f>
        <v>0</v>
      </c>
      <c r="L33" s="12" t="str">
        <f aca="false">IF(D33="Contingency","Reserve",IF(K33&gt;1,"Overspent",IF(K33&gt;=BudgetNearLimit,"Near limit","Within budget")))</f>
        <v>Reserve</v>
      </c>
    </row>
    <row r="34" customFormat="false" ht="15" hidden="false" customHeight="false" outlineLevel="0" collapsed="false">
      <c r="A34" s="18" t="s">
        <v>909</v>
      </c>
      <c r="B34" s="18" t="s">
        <v>239</v>
      </c>
      <c r="C34" s="21" t="str">
        <f aca="false">IFERROR(INDEX(Projects!$B$2:$B$500,MATCH(B34,Projects!$A$2:$A$500,0)),"")</f>
        <v>Student Information System Upgrade</v>
      </c>
      <c r="D34" s="18" t="s">
        <v>869</v>
      </c>
      <c r="E34" s="23" t="n">
        <v>479100</v>
      </c>
      <c r="F34" s="19" t="n">
        <v>46083</v>
      </c>
      <c r="G34" s="18" t="s">
        <v>325</v>
      </c>
      <c r="H34" s="18" t="s">
        <v>870</v>
      </c>
      <c r="I34" s="14" t="n">
        <f aca="false">SUMIFS(Actuals!$J$2:$J$6000,Actuals!$C$2:$C$6000,B34,Actuals!$D$2:$D$6000,D34)</f>
        <v>197864.45</v>
      </c>
      <c r="J34" s="14" t="n">
        <f aca="false">E34-I34</f>
        <v>281235.55</v>
      </c>
      <c r="K34" s="15" t="n">
        <f aca="false">IF(E34=0,0,I34/E34)</f>
        <v>0.412991964099353</v>
      </c>
      <c r="L34" s="12" t="str">
        <f aca="false">IF(D34="Contingency","Reserve",IF(K34&gt;1,"Overspent",IF(K34&gt;=BudgetNearLimit,"Near limit","Within budget")))</f>
        <v>Within budget</v>
      </c>
    </row>
    <row r="35" customFormat="false" ht="15" hidden="false" customHeight="false" outlineLevel="0" collapsed="false">
      <c r="A35" s="18" t="s">
        <v>910</v>
      </c>
      <c r="B35" s="18" t="s">
        <v>239</v>
      </c>
      <c r="C35" s="21" t="str">
        <f aca="false">IFERROR(INDEX(Projects!$B$2:$B$500,MATCH(B35,Projects!$A$2:$A$500,0)),"")</f>
        <v>Student Information System Upgrade</v>
      </c>
      <c r="D35" s="18" t="s">
        <v>872</v>
      </c>
      <c r="E35" s="23" t="n">
        <v>42800</v>
      </c>
      <c r="F35" s="19" t="n">
        <v>46083</v>
      </c>
      <c r="G35" s="18" t="s">
        <v>325</v>
      </c>
      <c r="H35" s="18"/>
      <c r="I35" s="14" t="n">
        <f aca="false">SUMIFS(Actuals!$J$2:$J$6000,Actuals!$C$2:$C$6000,B35,Actuals!$D$2:$D$6000,D35)</f>
        <v>18377.24</v>
      </c>
      <c r="J35" s="14" t="n">
        <f aca="false">E35-I35</f>
        <v>24422.76</v>
      </c>
      <c r="K35" s="15" t="n">
        <f aca="false">IF(E35=0,0,I35/E35)</f>
        <v>0.42937476635514</v>
      </c>
      <c r="L35" s="12" t="str">
        <f aca="false">IF(D35="Contingency","Reserve",IF(K35&gt;1,"Overspent",IF(K35&gt;=BudgetNearLimit,"Near limit","Within budget")))</f>
        <v>Within budget</v>
      </c>
    </row>
    <row r="36" customFormat="false" ht="15" hidden="false" customHeight="false" outlineLevel="0" collapsed="false">
      <c r="A36" s="18" t="s">
        <v>911</v>
      </c>
      <c r="B36" s="18" t="s">
        <v>239</v>
      </c>
      <c r="C36" s="21" t="str">
        <f aca="false">IFERROR(INDEX(Projects!$B$2:$B$500,MATCH(B36,Projects!$A$2:$A$500,0)),"")</f>
        <v>Student Information System Upgrade</v>
      </c>
      <c r="D36" s="18" t="s">
        <v>874</v>
      </c>
      <c r="E36" s="23" t="n">
        <v>57600</v>
      </c>
      <c r="F36" s="19" t="n">
        <v>46083</v>
      </c>
      <c r="G36" s="18" t="s">
        <v>325</v>
      </c>
      <c r="H36" s="18"/>
      <c r="I36" s="14" t="n">
        <f aca="false">SUMIFS(Actuals!$J$2:$J$6000,Actuals!$C$2:$C$6000,B36,Actuals!$D$2:$D$6000,D36)</f>
        <v>23055.89</v>
      </c>
      <c r="J36" s="14" t="n">
        <f aca="false">E36-I36</f>
        <v>34544.11</v>
      </c>
      <c r="K36" s="15" t="n">
        <f aca="false">IF(E36=0,0,I36/E36)</f>
        <v>0.400275868055556</v>
      </c>
      <c r="L36" s="12" t="str">
        <f aca="false">IF(D36="Contingency","Reserve",IF(K36&gt;1,"Overspent",IF(K36&gt;=BudgetNearLimit,"Near limit","Within budget")))</f>
        <v>Within budget</v>
      </c>
    </row>
    <row r="37" customFormat="false" ht="15" hidden="false" customHeight="false" outlineLevel="0" collapsed="false">
      <c r="A37" s="18" t="s">
        <v>912</v>
      </c>
      <c r="B37" s="18" t="s">
        <v>239</v>
      </c>
      <c r="C37" s="21" t="str">
        <f aca="false">IFERROR(INDEX(Projects!$B$2:$B$500,MATCH(B37,Projects!$A$2:$A$500,0)),"")</f>
        <v>Student Information System Upgrade</v>
      </c>
      <c r="D37" s="18" t="s">
        <v>495</v>
      </c>
      <c r="E37" s="23" t="n">
        <v>15400</v>
      </c>
      <c r="F37" s="19" t="n">
        <v>46083</v>
      </c>
      <c r="G37" s="18" t="s">
        <v>325</v>
      </c>
      <c r="H37" s="18"/>
      <c r="I37" s="14" t="n">
        <f aca="false">SUMIFS(Actuals!$J$2:$J$6000,Actuals!$C$2:$C$6000,B37,Actuals!$D$2:$D$6000,D37)</f>
        <v>6712.26</v>
      </c>
      <c r="J37" s="14" t="n">
        <f aca="false">E37-I37</f>
        <v>8687.74</v>
      </c>
      <c r="K37" s="15" t="n">
        <f aca="false">IF(E37=0,0,I37/E37)</f>
        <v>0.435861038961039</v>
      </c>
      <c r="L37" s="12" t="str">
        <f aca="false">IF(D37="Contingency","Reserve",IF(K37&gt;1,"Overspent",IF(K37&gt;=BudgetNearLimit,"Near limit","Within budget")))</f>
        <v>Within budget</v>
      </c>
    </row>
    <row r="38" customFormat="false" ht="15" hidden="false" customHeight="false" outlineLevel="0" collapsed="false">
      <c r="A38" s="18" t="s">
        <v>913</v>
      </c>
      <c r="B38" s="18" t="s">
        <v>239</v>
      </c>
      <c r="C38" s="21" t="str">
        <f aca="false">IFERROR(INDEX(Projects!$B$2:$B$500,MATCH(B38,Projects!$A$2:$A$500,0)),"")</f>
        <v>Student Information System Upgrade</v>
      </c>
      <c r="D38" s="18" t="s">
        <v>876</v>
      </c>
      <c r="E38" s="23" t="n">
        <v>9700</v>
      </c>
      <c r="F38" s="19" t="n">
        <v>46083</v>
      </c>
      <c r="G38" s="18" t="s">
        <v>325</v>
      </c>
      <c r="H38" s="18"/>
      <c r="I38" s="14" t="n">
        <f aca="false">SUMIFS(Actuals!$J$2:$J$6000,Actuals!$C$2:$C$6000,B38,Actuals!$D$2:$D$6000,D38)</f>
        <v>3944.09</v>
      </c>
      <c r="J38" s="14" t="n">
        <f aca="false">E38-I38</f>
        <v>5755.91</v>
      </c>
      <c r="K38" s="15" t="n">
        <f aca="false">IF(E38=0,0,I38/E38)</f>
        <v>0.406607216494845</v>
      </c>
      <c r="L38" s="12" t="str">
        <f aca="false">IF(D38="Contingency","Reserve",IF(K38&gt;1,"Overspent",IF(K38&gt;=BudgetNearLimit,"Near limit","Within budget")))</f>
        <v>Within budget</v>
      </c>
    </row>
    <row r="39" customFormat="false" ht="15" hidden="false" customHeight="false" outlineLevel="0" collapsed="false">
      <c r="A39" s="18" t="s">
        <v>914</v>
      </c>
      <c r="B39" s="18" t="s">
        <v>239</v>
      </c>
      <c r="C39" s="21" t="str">
        <f aca="false">IFERROR(INDEX(Projects!$B$2:$B$500,MATCH(B39,Projects!$A$2:$A$500,0)),"")</f>
        <v>Student Information System Upgrade</v>
      </c>
      <c r="D39" s="18" t="s">
        <v>878</v>
      </c>
      <c r="E39" s="23" t="n">
        <v>34800</v>
      </c>
      <c r="F39" s="19" t="n">
        <v>46083</v>
      </c>
      <c r="G39" s="18" t="s">
        <v>325</v>
      </c>
      <c r="H39" s="18" t="s">
        <v>879</v>
      </c>
      <c r="I39" s="14" t="n">
        <f aca="false">SUMIFS(Actuals!$J$2:$J$6000,Actuals!$C$2:$C$6000,B39,Actuals!$D$2:$D$6000,D39)</f>
        <v>0</v>
      </c>
      <c r="J39" s="14" t="n">
        <f aca="false">E39-I39</f>
        <v>34800</v>
      </c>
      <c r="K39" s="15" t="n">
        <f aca="false">IF(E39=0,0,I39/E39)</f>
        <v>0</v>
      </c>
      <c r="L39" s="12" t="str">
        <f aca="false">IF(D39="Contingency","Reserve",IF(K39&gt;1,"Overspent",IF(K39&gt;=BudgetNearLimit,"Near limit","Within budget")))</f>
        <v>Reserve</v>
      </c>
    </row>
    <row r="40" customFormat="false" ht="15" hidden="false" customHeight="false" outlineLevel="0" collapsed="false">
      <c r="A40" s="18" t="s">
        <v>915</v>
      </c>
      <c r="B40" s="18" t="s">
        <v>244</v>
      </c>
      <c r="C40" s="21" t="str">
        <f aca="false">IFERROR(INDEX(Projects!$B$2:$B$500,MATCH(B40,Projects!$A$2:$A$500,0)),"")</f>
        <v>Network Operations Centre Refresh</v>
      </c>
      <c r="D40" s="18" t="s">
        <v>869</v>
      </c>
      <c r="E40" s="23" t="n">
        <v>357000</v>
      </c>
      <c r="F40" s="19" t="n">
        <v>46019</v>
      </c>
      <c r="G40" s="18" t="s">
        <v>325</v>
      </c>
      <c r="H40" s="18" t="s">
        <v>870</v>
      </c>
      <c r="I40" s="14" t="n">
        <f aca="false">SUMIFS(Actuals!$J$2:$J$6000,Actuals!$C$2:$C$6000,B40,Actuals!$D$2:$D$6000,D40)</f>
        <v>365748.08</v>
      </c>
      <c r="J40" s="14" t="n">
        <f aca="false">E40-I40</f>
        <v>-8748.08000000002</v>
      </c>
      <c r="K40" s="15" t="n">
        <f aca="false">IF(E40=0,0,I40/E40)</f>
        <v>1.02450442577031</v>
      </c>
      <c r="L40" s="12" t="str">
        <f aca="false">IF(D40="Contingency","Reserve",IF(K40&gt;1,"Overspent",IF(K40&gt;=BudgetNearLimit,"Near limit","Within budget")))</f>
        <v>Overspent</v>
      </c>
    </row>
    <row r="41" customFormat="false" ht="15" hidden="false" customHeight="false" outlineLevel="0" collapsed="false">
      <c r="A41" s="18" t="s">
        <v>916</v>
      </c>
      <c r="B41" s="18" t="s">
        <v>244</v>
      </c>
      <c r="C41" s="21" t="str">
        <f aca="false">IFERROR(INDEX(Projects!$B$2:$B$500,MATCH(B41,Projects!$A$2:$A$500,0)),"")</f>
        <v>Network Operations Centre Refresh</v>
      </c>
      <c r="D41" s="18" t="s">
        <v>889</v>
      </c>
      <c r="E41" s="23" t="n">
        <v>47200</v>
      </c>
      <c r="F41" s="19" t="n">
        <v>46019</v>
      </c>
      <c r="G41" s="18" t="s">
        <v>325</v>
      </c>
      <c r="H41" s="18"/>
      <c r="I41" s="14" t="n">
        <f aca="false">SUMIFS(Actuals!$J$2:$J$6000,Actuals!$C$2:$C$6000,B41,Actuals!$D$2:$D$6000,D41)</f>
        <v>39491.94</v>
      </c>
      <c r="J41" s="14" t="n">
        <f aca="false">E41-I41</f>
        <v>7708.06</v>
      </c>
      <c r="K41" s="15" t="n">
        <f aca="false">IF(E41=0,0,I41/E41)</f>
        <v>0.836693644067797</v>
      </c>
      <c r="L41" s="12" t="str">
        <f aca="false">IF(D41="Contingency","Reserve",IF(K41&gt;1,"Overspent",IF(K41&gt;=BudgetNearLimit,"Near limit","Within budget")))</f>
        <v>Within budget</v>
      </c>
    </row>
    <row r="42" customFormat="false" ht="15" hidden="false" customHeight="false" outlineLevel="0" collapsed="false">
      <c r="A42" s="18" t="s">
        <v>917</v>
      </c>
      <c r="B42" s="18" t="s">
        <v>244</v>
      </c>
      <c r="C42" s="21" t="str">
        <f aca="false">IFERROR(INDEX(Projects!$B$2:$B$500,MATCH(B42,Projects!$A$2:$A$500,0)),"")</f>
        <v>Network Operations Centre Refresh</v>
      </c>
      <c r="D42" s="18" t="s">
        <v>882</v>
      </c>
      <c r="E42" s="23" t="n">
        <v>30700</v>
      </c>
      <c r="F42" s="19" t="n">
        <v>46019</v>
      </c>
      <c r="G42" s="18" t="s">
        <v>325</v>
      </c>
      <c r="H42" s="18"/>
      <c r="I42" s="14" t="n">
        <f aca="false">SUMIFS(Actuals!$J$2:$J$6000,Actuals!$C$2:$C$6000,B42,Actuals!$D$2:$D$6000,D42)</f>
        <v>34396.08</v>
      </c>
      <c r="J42" s="14" t="n">
        <f aca="false">E42-I42</f>
        <v>-3696.08</v>
      </c>
      <c r="K42" s="15" t="n">
        <f aca="false">IF(E42=0,0,I42/E42)</f>
        <v>1.12039348534202</v>
      </c>
      <c r="L42" s="12" t="str">
        <f aca="false">IF(D42="Contingency","Reserve",IF(K42&gt;1,"Overspent",IF(K42&gt;=BudgetNearLimit,"Near limit","Within budget")))</f>
        <v>Overspent</v>
      </c>
    </row>
    <row r="43" customFormat="false" ht="15" hidden="false" customHeight="false" outlineLevel="0" collapsed="false">
      <c r="A43" s="18" t="s">
        <v>918</v>
      </c>
      <c r="B43" s="18" t="s">
        <v>244</v>
      </c>
      <c r="C43" s="21" t="str">
        <f aca="false">IFERROR(INDEX(Projects!$B$2:$B$500,MATCH(B43,Projects!$A$2:$A$500,0)),"")</f>
        <v>Network Operations Centre Refresh</v>
      </c>
      <c r="D43" s="18" t="s">
        <v>872</v>
      </c>
      <c r="E43" s="23" t="n">
        <v>20000</v>
      </c>
      <c r="F43" s="19" t="n">
        <v>46019</v>
      </c>
      <c r="G43" s="18" t="s">
        <v>325</v>
      </c>
      <c r="H43" s="18"/>
      <c r="I43" s="14" t="n">
        <f aca="false">SUMIFS(Actuals!$J$2:$J$6000,Actuals!$C$2:$C$6000,B43,Actuals!$D$2:$D$6000,D43)</f>
        <v>17751.31</v>
      </c>
      <c r="J43" s="14" t="n">
        <f aca="false">E43-I43</f>
        <v>2248.69</v>
      </c>
      <c r="K43" s="15" t="n">
        <f aca="false">IF(E43=0,0,I43/E43)</f>
        <v>0.8875655</v>
      </c>
      <c r="L43" s="12" t="str">
        <f aca="false">IF(D43="Contingency","Reserve",IF(K43&gt;1,"Overspent",IF(K43&gt;=BudgetNearLimit,"Near limit","Within budget")))</f>
        <v>Within budget</v>
      </c>
    </row>
    <row r="44" customFormat="false" ht="15" hidden="false" customHeight="false" outlineLevel="0" collapsed="false">
      <c r="A44" s="18" t="s">
        <v>919</v>
      </c>
      <c r="B44" s="18" t="s">
        <v>244</v>
      </c>
      <c r="C44" s="21" t="str">
        <f aca="false">IFERROR(INDEX(Projects!$B$2:$B$500,MATCH(B44,Projects!$A$2:$A$500,0)),"")</f>
        <v>Network Operations Centre Refresh</v>
      </c>
      <c r="D44" s="18" t="s">
        <v>876</v>
      </c>
      <c r="E44" s="23" t="n">
        <v>7900</v>
      </c>
      <c r="F44" s="19" t="n">
        <v>46019</v>
      </c>
      <c r="G44" s="18" t="s">
        <v>325</v>
      </c>
      <c r="H44" s="18"/>
      <c r="I44" s="14" t="n">
        <f aca="false">SUMIFS(Actuals!$J$2:$J$6000,Actuals!$C$2:$C$6000,B44,Actuals!$D$2:$D$6000,D44)</f>
        <v>7062.45</v>
      </c>
      <c r="J44" s="14" t="n">
        <f aca="false">E44-I44</f>
        <v>837.55</v>
      </c>
      <c r="K44" s="15" t="n">
        <f aca="false">IF(E44=0,0,I44/E44)</f>
        <v>0.893981012658228</v>
      </c>
      <c r="L44" s="12" t="str">
        <f aca="false">IF(D44="Contingency","Reserve",IF(K44&gt;1,"Overspent",IF(K44&gt;=BudgetNearLimit,"Near limit","Within budget")))</f>
        <v>Within budget</v>
      </c>
    </row>
    <row r="45" customFormat="false" ht="15" hidden="false" customHeight="false" outlineLevel="0" collapsed="false">
      <c r="A45" s="18" t="s">
        <v>920</v>
      </c>
      <c r="B45" s="18" t="s">
        <v>244</v>
      </c>
      <c r="C45" s="21" t="str">
        <f aca="false">IFERROR(INDEX(Projects!$B$2:$B$500,MATCH(B45,Projects!$A$2:$A$500,0)),"")</f>
        <v>Network Operations Centre Refresh</v>
      </c>
      <c r="D45" s="18" t="s">
        <v>878</v>
      </c>
      <c r="E45" s="23" t="n">
        <v>35700</v>
      </c>
      <c r="F45" s="19" t="n">
        <v>46019</v>
      </c>
      <c r="G45" s="18" t="s">
        <v>325</v>
      </c>
      <c r="H45" s="18" t="s">
        <v>879</v>
      </c>
      <c r="I45" s="14" t="n">
        <f aca="false">SUMIFS(Actuals!$J$2:$J$6000,Actuals!$C$2:$C$6000,B45,Actuals!$D$2:$D$6000,D45)</f>
        <v>0</v>
      </c>
      <c r="J45" s="14" t="n">
        <f aca="false">E45-I45</f>
        <v>35700</v>
      </c>
      <c r="K45" s="15" t="n">
        <f aca="false">IF(E45=0,0,I45/E45)</f>
        <v>0</v>
      </c>
      <c r="L45" s="12" t="str">
        <f aca="false">IF(D45="Contingency","Reserve",IF(K45&gt;1,"Overspent",IF(K45&gt;=BudgetNearLimit,"Near limit","Within budget")))</f>
        <v>Reserve</v>
      </c>
    </row>
    <row r="46" customFormat="false" ht="15" hidden="false" customHeight="false" outlineLevel="0" collapsed="false">
      <c r="A46" s="18" t="s">
        <v>921</v>
      </c>
      <c r="B46" s="18" t="s">
        <v>249</v>
      </c>
      <c r="C46" s="21" t="str">
        <f aca="false">IFERROR(INDEX(Projects!$B$2:$B$500,MATCH(B46,Projects!$A$2:$A$500,0)),"")</f>
        <v>Smart Factory IoT Pilot</v>
      </c>
      <c r="D46" s="18" t="s">
        <v>869</v>
      </c>
      <c r="E46" s="23" t="n">
        <v>276500</v>
      </c>
      <c r="F46" s="19" t="n">
        <v>46133</v>
      </c>
      <c r="G46" s="18" t="s">
        <v>317</v>
      </c>
      <c r="H46" s="18" t="s">
        <v>870</v>
      </c>
      <c r="I46" s="14" t="n">
        <f aca="false">SUMIFS(Actuals!$J$2:$J$6000,Actuals!$C$2:$C$6000,B46,Actuals!$D$2:$D$6000,D46)</f>
        <v>135647.6</v>
      </c>
      <c r="J46" s="14" t="n">
        <f aca="false">E46-I46</f>
        <v>140852.4</v>
      </c>
      <c r="K46" s="15" t="n">
        <f aca="false">IF(E46=0,0,I46/E46)</f>
        <v>0.490588065099458</v>
      </c>
      <c r="L46" s="12" t="str">
        <f aca="false">IF(D46="Contingency","Reserve",IF(K46&gt;1,"Overspent",IF(K46&gt;=BudgetNearLimit,"Near limit","Within budget")))</f>
        <v>Within budget</v>
      </c>
    </row>
    <row r="47" customFormat="false" ht="15" hidden="false" customHeight="false" outlineLevel="0" collapsed="false">
      <c r="A47" s="18" t="s">
        <v>922</v>
      </c>
      <c r="B47" s="18" t="s">
        <v>249</v>
      </c>
      <c r="C47" s="21" t="str">
        <f aca="false">IFERROR(INDEX(Projects!$B$2:$B$500,MATCH(B47,Projects!$A$2:$A$500,0)),"")</f>
        <v>Smart Factory IoT Pilot</v>
      </c>
      <c r="D47" s="18" t="s">
        <v>882</v>
      </c>
      <c r="E47" s="23" t="n">
        <v>22100</v>
      </c>
      <c r="F47" s="19" t="n">
        <v>46133</v>
      </c>
      <c r="G47" s="18" t="s">
        <v>317</v>
      </c>
      <c r="H47" s="18"/>
      <c r="I47" s="14" t="n">
        <f aca="false">SUMIFS(Actuals!$J$2:$J$6000,Actuals!$C$2:$C$6000,B47,Actuals!$D$2:$D$6000,D47)</f>
        <v>13460.95</v>
      </c>
      <c r="J47" s="14" t="n">
        <f aca="false">E47-I47</f>
        <v>8639.05</v>
      </c>
      <c r="K47" s="15" t="n">
        <f aca="false">IF(E47=0,0,I47/E47)</f>
        <v>0.609092760180996</v>
      </c>
      <c r="L47" s="12" t="str">
        <f aca="false">IF(D47="Contingency","Reserve",IF(K47&gt;1,"Overspent",IF(K47&gt;=BudgetNearLimit,"Near limit","Within budget")))</f>
        <v>Within budget</v>
      </c>
    </row>
    <row r="48" customFormat="false" ht="15" hidden="false" customHeight="false" outlineLevel="0" collapsed="false">
      <c r="A48" s="18" t="s">
        <v>923</v>
      </c>
      <c r="B48" s="18" t="s">
        <v>249</v>
      </c>
      <c r="C48" s="21" t="str">
        <f aca="false">IFERROR(INDEX(Projects!$B$2:$B$500,MATCH(B48,Projects!$A$2:$A$500,0)),"")</f>
        <v>Smart Factory IoT Pilot</v>
      </c>
      <c r="D48" s="18" t="s">
        <v>872</v>
      </c>
      <c r="E48" s="23" t="n">
        <v>11800</v>
      </c>
      <c r="F48" s="19" t="n">
        <v>46133</v>
      </c>
      <c r="G48" s="18" t="s">
        <v>317</v>
      </c>
      <c r="H48" s="18"/>
      <c r="I48" s="14" t="n">
        <f aca="false">SUMIFS(Actuals!$J$2:$J$6000,Actuals!$C$2:$C$6000,B48,Actuals!$D$2:$D$6000,D48)</f>
        <v>5465.55</v>
      </c>
      <c r="J48" s="14" t="n">
        <f aca="false">E48-I48</f>
        <v>6334.45</v>
      </c>
      <c r="K48" s="15" t="n">
        <f aca="false">IF(E48=0,0,I48/E48)</f>
        <v>0.463182203389831</v>
      </c>
      <c r="L48" s="12" t="str">
        <f aca="false">IF(D48="Contingency","Reserve",IF(K48&gt;1,"Overspent",IF(K48&gt;=BudgetNearLimit,"Near limit","Within budget")))</f>
        <v>Within budget</v>
      </c>
    </row>
    <row r="49" customFormat="false" ht="15" hidden="false" customHeight="false" outlineLevel="0" collapsed="false">
      <c r="A49" s="18" t="s">
        <v>924</v>
      </c>
      <c r="B49" s="18" t="s">
        <v>249</v>
      </c>
      <c r="C49" s="21" t="str">
        <f aca="false">IFERROR(INDEX(Projects!$B$2:$B$500,MATCH(B49,Projects!$A$2:$A$500,0)),"")</f>
        <v>Smart Factory IoT Pilot</v>
      </c>
      <c r="D49" s="18" t="s">
        <v>495</v>
      </c>
      <c r="E49" s="23" t="n">
        <v>7100</v>
      </c>
      <c r="F49" s="19" t="n">
        <v>46133</v>
      </c>
      <c r="G49" s="18" t="s">
        <v>317</v>
      </c>
      <c r="H49" s="18"/>
      <c r="I49" s="14" t="n">
        <f aca="false">SUMIFS(Actuals!$J$2:$J$6000,Actuals!$C$2:$C$6000,B49,Actuals!$D$2:$D$6000,D49)</f>
        <v>3505.57</v>
      </c>
      <c r="J49" s="14" t="n">
        <f aca="false">E49-I49</f>
        <v>3594.43</v>
      </c>
      <c r="K49" s="15" t="n">
        <f aca="false">IF(E49=0,0,I49/E49)</f>
        <v>0.493742253521127</v>
      </c>
      <c r="L49" s="12" t="str">
        <f aca="false">IF(D49="Contingency","Reserve",IF(K49&gt;1,"Overspent",IF(K49&gt;=BudgetNearLimit,"Near limit","Within budget")))</f>
        <v>Within budget</v>
      </c>
    </row>
    <row r="50" customFormat="false" ht="15" hidden="false" customHeight="false" outlineLevel="0" collapsed="false">
      <c r="A50" s="18" t="s">
        <v>925</v>
      </c>
      <c r="B50" s="18" t="s">
        <v>249</v>
      </c>
      <c r="C50" s="21" t="str">
        <f aca="false">IFERROR(INDEX(Projects!$B$2:$B$500,MATCH(B50,Projects!$A$2:$A$500,0)),"")</f>
        <v>Smart Factory IoT Pilot</v>
      </c>
      <c r="D50" s="18" t="s">
        <v>876</v>
      </c>
      <c r="E50" s="23" t="n">
        <v>5600</v>
      </c>
      <c r="F50" s="19" t="n">
        <v>46133</v>
      </c>
      <c r="G50" s="18" t="s">
        <v>317</v>
      </c>
      <c r="H50" s="18"/>
      <c r="I50" s="14" t="n">
        <f aca="false">SUMIFS(Actuals!$J$2:$J$6000,Actuals!$C$2:$C$6000,B50,Actuals!$D$2:$D$6000,D50)</f>
        <v>2675.86</v>
      </c>
      <c r="J50" s="14" t="n">
        <f aca="false">E50-I50</f>
        <v>2924.14</v>
      </c>
      <c r="K50" s="15" t="n">
        <f aca="false">IF(E50=0,0,I50/E50)</f>
        <v>0.477832142857143</v>
      </c>
      <c r="L50" s="12" t="str">
        <f aca="false">IF(D50="Contingency","Reserve",IF(K50&gt;1,"Overspent",IF(K50&gt;=BudgetNearLimit,"Near limit","Within budget")))</f>
        <v>Within budget</v>
      </c>
    </row>
    <row r="51" customFormat="false" ht="15" hidden="false" customHeight="false" outlineLevel="0" collapsed="false">
      <c r="A51" s="18" t="s">
        <v>926</v>
      </c>
      <c r="B51" s="18" t="s">
        <v>249</v>
      </c>
      <c r="C51" s="21" t="str">
        <f aca="false">IFERROR(INDEX(Projects!$B$2:$B$500,MATCH(B51,Projects!$A$2:$A$500,0)),"")</f>
        <v>Smart Factory IoT Pilot</v>
      </c>
      <c r="D51" s="18" t="s">
        <v>878</v>
      </c>
      <c r="E51" s="23" t="n">
        <v>19600</v>
      </c>
      <c r="F51" s="19" t="n">
        <v>46133</v>
      </c>
      <c r="G51" s="18" t="s">
        <v>317</v>
      </c>
      <c r="H51" s="18" t="s">
        <v>879</v>
      </c>
      <c r="I51" s="14" t="n">
        <f aca="false">SUMIFS(Actuals!$J$2:$J$6000,Actuals!$C$2:$C$6000,B51,Actuals!$D$2:$D$6000,D51)</f>
        <v>0</v>
      </c>
      <c r="J51" s="14" t="n">
        <f aca="false">E51-I51</f>
        <v>19600</v>
      </c>
      <c r="K51" s="15" t="n">
        <f aca="false">IF(E51=0,0,I51/E51)</f>
        <v>0</v>
      </c>
      <c r="L51" s="12" t="str">
        <f aca="false">IF(D51="Contingency","Reserve",IF(K51&gt;1,"Overspent",IF(K51&gt;=BudgetNearLimit,"Near limit","Within budget")))</f>
        <v>Reserve</v>
      </c>
    </row>
    <row r="52" customFormat="false" ht="15" hidden="false" customHeight="false" outlineLevel="0" collapsed="false">
      <c r="A52" s="18" t="s">
        <v>927</v>
      </c>
      <c r="B52" s="18" t="s">
        <v>253</v>
      </c>
      <c r="C52" s="21" t="str">
        <f aca="false">IFERROR(INDEX(Projects!$B$2:$B$500,MATCH(B52,Projects!$A$2:$A$500,0)),"")</f>
        <v>311 Citizen Services App</v>
      </c>
      <c r="D52" s="18" t="s">
        <v>869</v>
      </c>
      <c r="E52" s="23" t="n">
        <v>353500</v>
      </c>
      <c r="F52" s="19" t="n">
        <v>45981</v>
      </c>
      <c r="G52" s="18" t="s">
        <v>317</v>
      </c>
      <c r="H52" s="18" t="s">
        <v>870</v>
      </c>
      <c r="I52" s="14" t="n">
        <f aca="false">SUMIFS(Actuals!$J$2:$J$6000,Actuals!$C$2:$C$6000,B52,Actuals!$D$2:$D$6000,D52)</f>
        <v>442230.06</v>
      </c>
      <c r="J52" s="14" t="n">
        <f aca="false">E52-I52</f>
        <v>-88730.06</v>
      </c>
      <c r="K52" s="15" t="n">
        <f aca="false">IF(E52=0,0,I52/E52)</f>
        <v>1.25100441301273</v>
      </c>
      <c r="L52" s="12" t="str">
        <f aca="false">IF(D52="Contingency","Reserve",IF(K52&gt;1,"Overspent",IF(K52&gt;=BudgetNearLimit,"Near limit","Within budget")))</f>
        <v>Overspent</v>
      </c>
    </row>
    <row r="53" customFormat="false" ht="15" hidden="false" customHeight="false" outlineLevel="0" collapsed="false">
      <c r="A53" s="18" t="s">
        <v>928</v>
      </c>
      <c r="B53" s="18" t="s">
        <v>253</v>
      </c>
      <c r="C53" s="21" t="str">
        <f aca="false">IFERROR(INDEX(Projects!$B$2:$B$500,MATCH(B53,Projects!$A$2:$A$500,0)),"")</f>
        <v>311 Citizen Services App</v>
      </c>
      <c r="D53" s="18" t="s">
        <v>872</v>
      </c>
      <c r="E53" s="23" t="n">
        <v>27700</v>
      </c>
      <c r="F53" s="19" t="n">
        <v>45981</v>
      </c>
      <c r="G53" s="18" t="s">
        <v>317</v>
      </c>
      <c r="H53" s="18"/>
      <c r="I53" s="14" t="n">
        <f aca="false">SUMIFS(Actuals!$J$2:$J$6000,Actuals!$C$2:$C$6000,B53,Actuals!$D$2:$D$6000,D53)</f>
        <v>29598.47</v>
      </c>
      <c r="J53" s="14" t="n">
        <f aca="false">E53-I53</f>
        <v>-1898.47</v>
      </c>
      <c r="K53" s="15" t="n">
        <f aca="false">IF(E53=0,0,I53/E53)</f>
        <v>1.06853682310469</v>
      </c>
      <c r="L53" s="12" t="str">
        <f aca="false">IF(D53="Contingency","Reserve",IF(K53&gt;1,"Overspent",IF(K53&gt;=BudgetNearLimit,"Near limit","Within budget")))</f>
        <v>Overspent</v>
      </c>
    </row>
    <row r="54" customFormat="false" ht="15" hidden="false" customHeight="false" outlineLevel="0" collapsed="false">
      <c r="A54" s="18" t="s">
        <v>929</v>
      </c>
      <c r="B54" s="18" t="s">
        <v>253</v>
      </c>
      <c r="C54" s="21" t="str">
        <f aca="false">IFERROR(INDEX(Projects!$B$2:$B$500,MATCH(B54,Projects!$A$2:$A$500,0)),"")</f>
        <v>311 Citizen Services App</v>
      </c>
      <c r="D54" s="18" t="s">
        <v>874</v>
      </c>
      <c r="E54" s="23" t="n">
        <v>31700</v>
      </c>
      <c r="F54" s="19" t="n">
        <v>45981</v>
      </c>
      <c r="G54" s="18" t="s">
        <v>317</v>
      </c>
      <c r="H54" s="18"/>
      <c r="I54" s="14" t="n">
        <f aca="false">SUMIFS(Actuals!$J$2:$J$6000,Actuals!$C$2:$C$6000,B54,Actuals!$D$2:$D$6000,D54)</f>
        <v>34686.34</v>
      </c>
      <c r="J54" s="14" t="n">
        <f aca="false">E54-I54</f>
        <v>-2986.34</v>
      </c>
      <c r="K54" s="15" t="n">
        <f aca="false">IF(E54=0,0,I54/E54)</f>
        <v>1.09420630914826</v>
      </c>
      <c r="L54" s="12" t="str">
        <f aca="false">IF(D54="Contingency","Reserve",IF(K54&gt;1,"Overspent",IF(K54&gt;=BudgetNearLimit,"Near limit","Within budget")))</f>
        <v>Overspent</v>
      </c>
    </row>
    <row r="55" customFormat="false" ht="15" hidden="false" customHeight="false" outlineLevel="0" collapsed="false">
      <c r="A55" s="18" t="s">
        <v>930</v>
      </c>
      <c r="B55" s="18" t="s">
        <v>253</v>
      </c>
      <c r="C55" s="21" t="str">
        <f aca="false">IFERROR(INDEX(Projects!$B$2:$B$500,MATCH(B55,Projects!$A$2:$A$500,0)),"")</f>
        <v>311 Citizen Services App</v>
      </c>
      <c r="D55" s="18" t="s">
        <v>876</v>
      </c>
      <c r="E55" s="23" t="n">
        <v>6800</v>
      </c>
      <c r="F55" s="19" t="n">
        <v>45981</v>
      </c>
      <c r="G55" s="18" t="s">
        <v>317</v>
      </c>
      <c r="H55" s="18"/>
      <c r="I55" s="14" t="n">
        <f aca="false">SUMIFS(Actuals!$J$2:$J$6000,Actuals!$C$2:$C$6000,B55,Actuals!$D$2:$D$6000,D55)</f>
        <v>7327.43</v>
      </c>
      <c r="J55" s="14" t="n">
        <f aca="false">E55-I55</f>
        <v>-527.43</v>
      </c>
      <c r="K55" s="15" t="n">
        <f aca="false">IF(E55=0,0,I55/E55)</f>
        <v>1.07756323529412</v>
      </c>
      <c r="L55" s="12" t="str">
        <f aca="false">IF(D55="Contingency","Reserve",IF(K55&gt;1,"Overspent",IF(K55&gt;=BudgetNearLimit,"Near limit","Within budget")))</f>
        <v>Overspent</v>
      </c>
    </row>
    <row r="56" customFormat="false" ht="15" hidden="false" customHeight="false" outlineLevel="0" collapsed="false">
      <c r="A56" s="18" t="s">
        <v>931</v>
      </c>
      <c r="B56" s="18" t="s">
        <v>253</v>
      </c>
      <c r="C56" s="21" t="str">
        <f aca="false">IFERROR(INDEX(Projects!$B$2:$B$500,MATCH(B56,Projects!$A$2:$A$500,0)),"")</f>
        <v>311 Citizen Services App</v>
      </c>
      <c r="D56" s="18" t="s">
        <v>878</v>
      </c>
      <c r="E56" s="23" t="n">
        <v>35300</v>
      </c>
      <c r="F56" s="19" t="n">
        <v>45981</v>
      </c>
      <c r="G56" s="18" t="s">
        <v>317</v>
      </c>
      <c r="H56" s="18" t="s">
        <v>879</v>
      </c>
      <c r="I56" s="14" t="n">
        <f aca="false">SUMIFS(Actuals!$J$2:$J$6000,Actuals!$C$2:$C$6000,B56,Actuals!$D$2:$D$6000,D56)</f>
        <v>0</v>
      </c>
      <c r="J56" s="14" t="n">
        <f aca="false">E56-I56</f>
        <v>35300</v>
      </c>
      <c r="K56" s="15" t="n">
        <f aca="false">IF(E56=0,0,I56/E56)</f>
        <v>0</v>
      </c>
      <c r="L56" s="12" t="str">
        <f aca="false">IF(D56="Contingency","Reserve",IF(K56&gt;1,"Overspent",IF(K56&gt;=BudgetNearLimit,"Near limit","Within budget")))</f>
        <v>Reserve</v>
      </c>
    </row>
    <row r="57" customFormat="false" ht="15" hidden="false" customHeight="false" outlineLevel="0" collapsed="false">
      <c r="A57" s="18" t="s">
        <v>932</v>
      </c>
      <c r="B57" s="18" t="s">
        <v>257</v>
      </c>
      <c r="C57" s="21" t="str">
        <f aca="false">IFERROR(INDEX(Projects!$B$2:$B$500,MATCH(B57,Projects!$A$2:$A$500,0)),"")</f>
        <v>Clinical Trials Data Hub</v>
      </c>
      <c r="D57" s="18" t="s">
        <v>869</v>
      </c>
      <c r="E57" s="23" t="n">
        <v>500100</v>
      </c>
      <c r="F57" s="19" t="n">
        <v>46039</v>
      </c>
      <c r="G57" s="18" t="s">
        <v>325</v>
      </c>
      <c r="H57" s="18" t="s">
        <v>870</v>
      </c>
      <c r="I57" s="14" t="n">
        <f aca="false">SUMIFS(Actuals!$J$2:$J$6000,Actuals!$C$2:$C$6000,B57,Actuals!$D$2:$D$6000,D57)</f>
        <v>209301.16</v>
      </c>
      <c r="J57" s="14" t="n">
        <f aca="false">E57-I57</f>
        <v>290798.84</v>
      </c>
      <c r="K57" s="15" t="n">
        <f aca="false">IF(E57=0,0,I57/E57)</f>
        <v>0.418518616276745</v>
      </c>
      <c r="L57" s="12" t="str">
        <f aca="false">IF(D57="Contingency","Reserve",IF(K57&gt;1,"Overspent",IF(K57&gt;=BudgetNearLimit,"Near limit","Within budget")))</f>
        <v>Within budget</v>
      </c>
    </row>
    <row r="58" customFormat="false" ht="15" hidden="false" customHeight="false" outlineLevel="0" collapsed="false">
      <c r="A58" s="18" t="s">
        <v>933</v>
      </c>
      <c r="B58" s="18" t="s">
        <v>257</v>
      </c>
      <c r="C58" s="21" t="str">
        <f aca="false">IFERROR(INDEX(Projects!$B$2:$B$500,MATCH(B58,Projects!$A$2:$A$500,0)),"")</f>
        <v>Clinical Trials Data Hub</v>
      </c>
      <c r="D58" s="18" t="s">
        <v>889</v>
      </c>
      <c r="E58" s="23" t="n">
        <v>43900</v>
      </c>
      <c r="F58" s="19" t="n">
        <v>46039</v>
      </c>
      <c r="G58" s="18" t="s">
        <v>325</v>
      </c>
      <c r="H58" s="18"/>
      <c r="I58" s="14" t="n">
        <f aca="false">SUMIFS(Actuals!$J$2:$J$6000,Actuals!$C$2:$C$6000,B58,Actuals!$D$2:$D$6000,D58)</f>
        <v>20246.91</v>
      </c>
      <c r="J58" s="14" t="n">
        <f aca="false">E58-I58</f>
        <v>23653.09</v>
      </c>
      <c r="K58" s="15" t="n">
        <f aca="false">IF(E58=0,0,I58/E58)</f>
        <v>0.461205239179954</v>
      </c>
      <c r="L58" s="12" t="str">
        <f aca="false">IF(D58="Contingency","Reserve",IF(K58&gt;1,"Overspent",IF(K58&gt;=BudgetNearLimit,"Near limit","Within budget")))</f>
        <v>Within budget</v>
      </c>
    </row>
    <row r="59" customFormat="false" ht="15" hidden="false" customHeight="false" outlineLevel="0" collapsed="false">
      <c r="A59" s="18" t="s">
        <v>934</v>
      </c>
      <c r="B59" s="18" t="s">
        <v>257</v>
      </c>
      <c r="C59" s="21" t="str">
        <f aca="false">IFERROR(INDEX(Projects!$B$2:$B$500,MATCH(B59,Projects!$A$2:$A$500,0)),"")</f>
        <v>Clinical Trials Data Hub</v>
      </c>
      <c r="D59" s="18" t="s">
        <v>872</v>
      </c>
      <c r="E59" s="23" t="n">
        <v>34200</v>
      </c>
      <c r="F59" s="19" t="n">
        <v>46039</v>
      </c>
      <c r="G59" s="18" t="s">
        <v>325</v>
      </c>
      <c r="H59" s="18"/>
      <c r="I59" s="14" t="n">
        <f aca="false">SUMIFS(Actuals!$J$2:$J$6000,Actuals!$C$2:$C$6000,B59,Actuals!$D$2:$D$6000,D59)</f>
        <v>15413.36</v>
      </c>
      <c r="J59" s="14" t="n">
        <f aca="false">E59-I59</f>
        <v>18786.64</v>
      </c>
      <c r="K59" s="15" t="n">
        <f aca="false">IF(E59=0,0,I59/E59)</f>
        <v>0.450683040935673</v>
      </c>
      <c r="L59" s="12" t="str">
        <f aca="false">IF(D59="Contingency","Reserve",IF(K59&gt;1,"Overspent",IF(K59&gt;=BudgetNearLimit,"Near limit","Within budget")))</f>
        <v>Within budget</v>
      </c>
    </row>
    <row r="60" customFormat="false" ht="15" hidden="false" customHeight="false" outlineLevel="0" collapsed="false">
      <c r="A60" s="18" t="s">
        <v>935</v>
      </c>
      <c r="B60" s="18" t="s">
        <v>257</v>
      </c>
      <c r="C60" s="21" t="str">
        <f aca="false">IFERROR(INDEX(Projects!$B$2:$B$500,MATCH(B60,Projects!$A$2:$A$500,0)),"")</f>
        <v>Clinical Trials Data Hub</v>
      </c>
      <c r="D60" s="18" t="s">
        <v>876</v>
      </c>
      <c r="E60" s="23" t="n">
        <v>7200</v>
      </c>
      <c r="F60" s="19" t="n">
        <v>46039</v>
      </c>
      <c r="G60" s="18" t="s">
        <v>325</v>
      </c>
      <c r="H60" s="18"/>
      <c r="I60" s="14" t="n">
        <f aca="false">SUMIFS(Actuals!$J$2:$J$6000,Actuals!$C$2:$C$6000,B60,Actuals!$D$2:$D$6000,D60)</f>
        <v>3335.98</v>
      </c>
      <c r="J60" s="14" t="n">
        <f aca="false">E60-I60</f>
        <v>3864.02</v>
      </c>
      <c r="K60" s="15" t="n">
        <f aca="false">IF(E60=0,0,I60/E60)</f>
        <v>0.463330555555556</v>
      </c>
      <c r="L60" s="12" t="str">
        <f aca="false">IF(D60="Contingency","Reserve",IF(K60&gt;1,"Overspent",IF(K60&gt;=BudgetNearLimit,"Near limit","Within budget")))</f>
        <v>Within budget</v>
      </c>
    </row>
    <row r="61" customFormat="false" ht="15" hidden="false" customHeight="false" outlineLevel="0" collapsed="false">
      <c r="A61" s="18" t="s">
        <v>936</v>
      </c>
      <c r="B61" s="18" t="s">
        <v>257</v>
      </c>
      <c r="C61" s="21" t="str">
        <f aca="false">IFERROR(INDEX(Projects!$B$2:$B$500,MATCH(B61,Projects!$A$2:$A$500,0)),"")</f>
        <v>Clinical Trials Data Hub</v>
      </c>
      <c r="D61" s="18" t="s">
        <v>878</v>
      </c>
      <c r="E61" s="23" t="n">
        <v>35300</v>
      </c>
      <c r="F61" s="19" t="n">
        <v>46039</v>
      </c>
      <c r="G61" s="18" t="s">
        <v>325</v>
      </c>
      <c r="H61" s="18" t="s">
        <v>879</v>
      </c>
      <c r="I61" s="14" t="n">
        <f aca="false">SUMIFS(Actuals!$J$2:$J$6000,Actuals!$C$2:$C$6000,B61,Actuals!$D$2:$D$6000,D61)</f>
        <v>0</v>
      </c>
      <c r="J61" s="14" t="n">
        <f aca="false">E61-I61</f>
        <v>35300</v>
      </c>
      <c r="K61" s="15" t="n">
        <f aca="false">IF(E61=0,0,I61/E61)</f>
        <v>0</v>
      </c>
      <c r="L61" s="12" t="str">
        <f aca="false">IF(D61="Contingency","Reserve",IF(K61&gt;1,"Overspent",IF(K61&gt;=BudgetNearLimit,"Near limit","Within budget")))</f>
        <v>Reserve</v>
      </c>
    </row>
    <row r="62" customFormat="false" ht="15" hidden="false" customHeight="false" outlineLevel="0" collapsed="false">
      <c r="A62" s="18" t="s">
        <v>937</v>
      </c>
      <c r="B62" s="18" t="s">
        <v>261</v>
      </c>
      <c r="C62" s="21" t="str">
        <f aca="false">IFERROR(INDEX(Projects!$B$2:$B$500,MATCH(B62,Projects!$A$2:$A$500,0)),"")</f>
        <v>Grid Analytics Dashboard</v>
      </c>
      <c r="D62" s="18" t="s">
        <v>869</v>
      </c>
      <c r="E62" s="23" t="n">
        <v>277700</v>
      </c>
      <c r="F62" s="19" t="n">
        <v>46148</v>
      </c>
      <c r="G62" s="18" t="s">
        <v>325</v>
      </c>
      <c r="H62" s="18" t="s">
        <v>870</v>
      </c>
      <c r="I62" s="14" t="n">
        <f aca="false">SUMIFS(Actuals!$J$2:$J$6000,Actuals!$C$2:$C$6000,B62,Actuals!$D$2:$D$6000,D62)</f>
        <v>121112.82</v>
      </c>
      <c r="J62" s="14" t="n">
        <f aca="false">E62-I62</f>
        <v>156587.18</v>
      </c>
      <c r="K62" s="15" t="n">
        <f aca="false">IF(E62=0,0,I62/E62)</f>
        <v>0.436128267915016</v>
      </c>
      <c r="L62" s="12" t="str">
        <f aca="false">IF(D62="Contingency","Reserve",IF(K62&gt;1,"Overspent",IF(K62&gt;=BudgetNearLimit,"Near limit","Within budget")))</f>
        <v>Within budget</v>
      </c>
    </row>
    <row r="63" customFormat="false" ht="15" hidden="false" customHeight="false" outlineLevel="0" collapsed="false">
      <c r="A63" s="18" t="s">
        <v>938</v>
      </c>
      <c r="B63" s="18" t="s">
        <v>261</v>
      </c>
      <c r="C63" s="21" t="str">
        <f aca="false">IFERROR(INDEX(Projects!$B$2:$B$500,MATCH(B63,Projects!$A$2:$A$500,0)),"")</f>
        <v>Grid Analytics Dashboard</v>
      </c>
      <c r="D63" s="18" t="s">
        <v>889</v>
      </c>
      <c r="E63" s="23" t="n">
        <v>28600</v>
      </c>
      <c r="F63" s="19" t="n">
        <v>46148</v>
      </c>
      <c r="G63" s="18" t="s">
        <v>325</v>
      </c>
      <c r="H63" s="18"/>
      <c r="I63" s="14" t="n">
        <f aca="false">SUMIFS(Actuals!$J$2:$J$6000,Actuals!$C$2:$C$6000,B63,Actuals!$D$2:$D$6000,D63)</f>
        <v>12344.9</v>
      </c>
      <c r="J63" s="14" t="n">
        <f aca="false">E63-I63</f>
        <v>16255.1</v>
      </c>
      <c r="K63" s="15" t="n">
        <f aca="false">IF(E63=0,0,I63/E63)</f>
        <v>0.43163986013986</v>
      </c>
      <c r="L63" s="12" t="str">
        <f aca="false">IF(D63="Contingency","Reserve",IF(K63&gt;1,"Overspent",IF(K63&gt;=BudgetNearLimit,"Near limit","Within budget")))</f>
        <v>Within budget</v>
      </c>
    </row>
    <row r="64" customFormat="false" ht="15" hidden="false" customHeight="false" outlineLevel="0" collapsed="false">
      <c r="A64" s="18" t="s">
        <v>939</v>
      </c>
      <c r="B64" s="18" t="s">
        <v>261</v>
      </c>
      <c r="C64" s="21" t="str">
        <f aca="false">IFERROR(INDEX(Projects!$B$2:$B$500,MATCH(B64,Projects!$A$2:$A$500,0)),"")</f>
        <v>Grid Analytics Dashboard</v>
      </c>
      <c r="D64" s="18" t="s">
        <v>872</v>
      </c>
      <c r="E64" s="23" t="n">
        <v>16100</v>
      </c>
      <c r="F64" s="19" t="n">
        <v>46148</v>
      </c>
      <c r="G64" s="18" t="s">
        <v>325</v>
      </c>
      <c r="H64" s="18"/>
      <c r="I64" s="14" t="n">
        <f aca="false">SUMIFS(Actuals!$J$2:$J$6000,Actuals!$C$2:$C$6000,B64,Actuals!$D$2:$D$6000,D64)</f>
        <v>7072.57</v>
      </c>
      <c r="J64" s="14" t="n">
        <f aca="false">E64-I64</f>
        <v>9027.43</v>
      </c>
      <c r="K64" s="15" t="n">
        <f aca="false">IF(E64=0,0,I64/E64)</f>
        <v>0.439290062111801</v>
      </c>
      <c r="L64" s="12" t="str">
        <f aca="false">IF(D64="Contingency","Reserve",IF(K64&gt;1,"Overspent",IF(K64&gt;=BudgetNearLimit,"Near limit","Within budget")))</f>
        <v>Within budget</v>
      </c>
    </row>
    <row r="65" customFormat="false" ht="15" hidden="false" customHeight="false" outlineLevel="0" collapsed="false">
      <c r="A65" s="18" t="s">
        <v>940</v>
      </c>
      <c r="B65" s="18" t="s">
        <v>261</v>
      </c>
      <c r="C65" s="21" t="str">
        <f aca="false">IFERROR(INDEX(Projects!$B$2:$B$500,MATCH(B65,Projects!$A$2:$A$500,0)),"")</f>
        <v>Grid Analytics Dashboard</v>
      </c>
      <c r="D65" s="18" t="s">
        <v>876</v>
      </c>
      <c r="E65" s="23" t="n">
        <v>4300</v>
      </c>
      <c r="F65" s="19" t="n">
        <v>46148</v>
      </c>
      <c r="G65" s="18" t="s">
        <v>325</v>
      </c>
      <c r="H65" s="18"/>
      <c r="I65" s="14" t="n">
        <f aca="false">SUMIFS(Actuals!$J$2:$J$6000,Actuals!$C$2:$C$6000,B65,Actuals!$D$2:$D$6000,D65)</f>
        <v>1730.53</v>
      </c>
      <c r="J65" s="14" t="n">
        <f aca="false">E65-I65</f>
        <v>2569.47</v>
      </c>
      <c r="K65" s="15" t="n">
        <f aca="false">IF(E65=0,0,I65/E65)</f>
        <v>0.402448837209302</v>
      </c>
      <c r="L65" s="12" t="str">
        <f aca="false">IF(D65="Contingency","Reserve",IF(K65&gt;1,"Overspent",IF(K65&gt;=BudgetNearLimit,"Near limit","Within budget")))</f>
        <v>Within budget</v>
      </c>
    </row>
    <row r="66" customFormat="false" ht="15" hidden="false" customHeight="false" outlineLevel="0" collapsed="false">
      <c r="A66" s="18" t="s">
        <v>941</v>
      </c>
      <c r="B66" s="18" t="s">
        <v>261</v>
      </c>
      <c r="C66" s="21" t="str">
        <f aca="false">IFERROR(INDEX(Projects!$B$2:$B$500,MATCH(B66,Projects!$A$2:$A$500,0)),"")</f>
        <v>Grid Analytics Dashboard</v>
      </c>
      <c r="D66" s="18" t="s">
        <v>878</v>
      </c>
      <c r="E66" s="23" t="n">
        <v>19800</v>
      </c>
      <c r="F66" s="19" t="n">
        <v>46148</v>
      </c>
      <c r="G66" s="18" t="s">
        <v>325</v>
      </c>
      <c r="H66" s="18" t="s">
        <v>879</v>
      </c>
      <c r="I66" s="14" t="n">
        <f aca="false">SUMIFS(Actuals!$J$2:$J$6000,Actuals!$C$2:$C$6000,B66,Actuals!$D$2:$D$6000,D66)</f>
        <v>0</v>
      </c>
      <c r="J66" s="14" t="n">
        <f aca="false">E66-I66</f>
        <v>19800</v>
      </c>
      <c r="K66" s="15" t="n">
        <f aca="false">IF(E66=0,0,I66/E66)</f>
        <v>0</v>
      </c>
      <c r="L66" s="12" t="str">
        <f aca="false">IF(D66="Contingency","Reserve",IF(K66&gt;1,"Overspent",IF(K66&gt;=BudgetNearLimit,"Near limit","Within budget")))</f>
        <v>Reserve</v>
      </c>
    </row>
    <row r="67" customFormat="false" ht="15" hidden="false" customHeight="false" outlineLevel="0" collapsed="false">
      <c r="A67" s="18" t="s">
        <v>942</v>
      </c>
      <c r="B67" s="18" t="s">
        <v>265</v>
      </c>
      <c r="C67" s="21" t="str">
        <f aca="false">IFERROR(INDEX(Projects!$B$2:$B$500,MATCH(B67,Projects!$A$2:$A$500,0)),"")</f>
        <v>Core Banking API Layer</v>
      </c>
      <c r="D67" s="18" t="s">
        <v>869</v>
      </c>
      <c r="E67" s="23" t="n">
        <v>667400</v>
      </c>
      <c r="F67" s="19" t="n">
        <v>45866</v>
      </c>
      <c r="G67" s="18" t="s">
        <v>325</v>
      </c>
      <c r="H67" s="18" t="s">
        <v>870</v>
      </c>
      <c r="I67" s="14" t="n">
        <f aca="false">SUMIFS(Actuals!$J$2:$J$6000,Actuals!$C$2:$C$6000,B67,Actuals!$D$2:$D$6000,D67)</f>
        <v>742205.97</v>
      </c>
      <c r="J67" s="14" t="n">
        <f aca="false">E67-I67</f>
        <v>-74805.97</v>
      </c>
      <c r="K67" s="15" t="n">
        <f aca="false">IF(E67=0,0,I67/E67)</f>
        <v>1.11208566077315</v>
      </c>
      <c r="L67" s="12" t="str">
        <f aca="false">IF(D67="Contingency","Reserve",IF(K67&gt;1,"Overspent",IF(K67&gt;=BudgetNearLimit,"Near limit","Within budget")))</f>
        <v>Overspent</v>
      </c>
    </row>
    <row r="68" customFormat="false" ht="15" hidden="false" customHeight="false" outlineLevel="0" collapsed="false">
      <c r="A68" s="18" t="s">
        <v>943</v>
      </c>
      <c r="B68" s="18" t="s">
        <v>265</v>
      </c>
      <c r="C68" s="21" t="str">
        <f aca="false">IFERROR(INDEX(Projects!$B$2:$B$500,MATCH(B68,Projects!$A$2:$A$500,0)),"")</f>
        <v>Core Banking API Layer</v>
      </c>
      <c r="D68" s="18" t="s">
        <v>872</v>
      </c>
      <c r="E68" s="23" t="n">
        <v>56000</v>
      </c>
      <c r="F68" s="19" t="n">
        <v>45866</v>
      </c>
      <c r="G68" s="18" t="s">
        <v>325</v>
      </c>
      <c r="H68" s="18"/>
      <c r="I68" s="14" t="n">
        <f aca="false">SUMIFS(Actuals!$J$2:$J$6000,Actuals!$C$2:$C$6000,B68,Actuals!$D$2:$D$6000,D68)</f>
        <v>52279.5</v>
      </c>
      <c r="J68" s="14" t="n">
        <f aca="false">E68-I68</f>
        <v>3720.5</v>
      </c>
      <c r="K68" s="15" t="n">
        <f aca="false">IF(E68=0,0,I68/E68)</f>
        <v>0.9335625</v>
      </c>
      <c r="L68" s="12" t="str">
        <f aca="false">IF(D68="Contingency","Reserve",IF(K68&gt;1,"Overspent",IF(K68&gt;=BudgetNearLimit,"Near limit","Within budget")))</f>
        <v>Near limit</v>
      </c>
    </row>
    <row r="69" customFormat="false" ht="15" hidden="false" customHeight="false" outlineLevel="0" collapsed="false">
      <c r="A69" s="18" t="s">
        <v>944</v>
      </c>
      <c r="B69" s="18" t="s">
        <v>265</v>
      </c>
      <c r="C69" s="21" t="str">
        <f aca="false">IFERROR(INDEX(Projects!$B$2:$B$500,MATCH(B69,Projects!$A$2:$A$500,0)),"")</f>
        <v>Core Banking API Layer</v>
      </c>
      <c r="D69" s="18" t="s">
        <v>874</v>
      </c>
      <c r="E69" s="23" t="n">
        <v>77000</v>
      </c>
      <c r="F69" s="19" t="n">
        <v>45866</v>
      </c>
      <c r="G69" s="18" t="s">
        <v>325</v>
      </c>
      <c r="H69" s="18"/>
      <c r="I69" s="14" t="n">
        <f aca="false">SUMIFS(Actuals!$J$2:$J$6000,Actuals!$C$2:$C$6000,B69,Actuals!$D$2:$D$6000,D69)</f>
        <v>72540.8</v>
      </c>
      <c r="J69" s="14" t="n">
        <f aca="false">E69-I69</f>
        <v>4459.2</v>
      </c>
      <c r="K69" s="15" t="n">
        <f aca="false">IF(E69=0,0,I69/E69)</f>
        <v>0.942088311688312</v>
      </c>
      <c r="L69" s="12" t="str">
        <f aca="false">IF(D69="Contingency","Reserve",IF(K69&gt;1,"Overspent",IF(K69&gt;=BudgetNearLimit,"Near limit","Within budget")))</f>
        <v>Near limit</v>
      </c>
    </row>
    <row r="70" customFormat="false" ht="15" hidden="false" customHeight="false" outlineLevel="0" collapsed="false">
      <c r="A70" s="18" t="s">
        <v>945</v>
      </c>
      <c r="B70" s="18" t="s">
        <v>265</v>
      </c>
      <c r="C70" s="21" t="str">
        <f aca="false">IFERROR(INDEX(Projects!$B$2:$B$500,MATCH(B70,Projects!$A$2:$A$500,0)),"")</f>
        <v>Core Banking API Layer</v>
      </c>
      <c r="D70" s="18" t="s">
        <v>495</v>
      </c>
      <c r="E70" s="23" t="n">
        <v>19500</v>
      </c>
      <c r="F70" s="19" t="n">
        <v>45866</v>
      </c>
      <c r="G70" s="18" t="s">
        <v>325</v>
      </c>
      <c r="H70" s="18"/>
      <c r="I70" s="14" t="n">
        <f aca="false">SUMIFS(Actuals!$J$2:$J$6000,Actuals!$C$2:$C$6000,B70,Actuals!$D$2:$D$6000,D70)</f>
        <v>18815.52</v>
      </c>
      <c r="J70" s="14" t="n">
        <f aca="false">E70-I70</f>
        <v>684.48</v>
      </c>
      <c r="K70" s="15" t="n">
        <f aca="false">IF(E70=0,0,I70/E70)</f>
        <v>0.964898461538462</v>
      </c>
      <c r="L70" s="12" t="str">
        <f aca="false">IF(D70="Contingency","Reserve",IF(K70&gt;1,"Overspent",IF(K70&gt;=BudgetNearLimit,"Near limit","Within budget")))</f>
        <v>Near limit</v>
      </c>
    </row>
    <row r="71" customFormat="false" ht="15" hidden="false" customHeight="false" outlineLevel="0" collapsed="false">
      <c r="A71" s="18" t="s">
        <v>946</v>
      </c>
      <c r="B71" s="18" t="s">
        <v>265</v>
      </c>
      <c r="C71" s="21" t="str">
        <f aca="false">IFERROR(INDEX(Projects!$B$2:$B$500,MATCH(B71,Projects!$A$2:$A$500,0)),"")</f>
        <v>Core Banking API Layer</v>
      </c>
      <c r="D71" s="18" t="s">
        <v>876</v>
      </c>
      <c r="E71" s="23" t="n">
        <v>14500</v>
      </c>
      <c r="F71" s="19" t="n">
        <v>45866</v>
      </c>
      <c r="G71" s="18" t="s">
        <v>325</v>
      </c>
      <c r="H71" s="18"/>
      <c r="I71" s="14" t="n">
        <f aca="false">SUMIFS(Actuals!$J$2:$J$6000,Actuals!$C$2:$C$6000,B71,Actuals!$D$2:$D$6000,D71)</f>
        <v>13958.69</v>
      </c>
      <c r="J71" s="14" t="n">
        <f aca="false">E71-I71</f>
        <v>541.31</v>
      </c>
      <c r="K71" s="15" t="n">
        <f aca="false">IF(E71=0,0,I71/E71)</f>
        <v>0.962668275862069</v>
      </c>
      <c r="L71" s="12" t="str">
        <f aca="false">IF(D71="Contingency","Reserve",IF(K71&gt;1,"Overspent",IF(K71&gt;=BudgetNearLimit,"Near limit","Within budget")))</f>
        <v>Near limit</v>
      </c>
    </row>
    <row r="72" customFormat="false" ht="15" hidden="false" customHeight="false" outlineLevel="0" collapsed="false">
      <c r="A72" s="18" t="s">
        <v>947</v>
      </c>
      <c r="B72" s="18" t="s">
        <v>265</v>
      </c>
      <c r="C72" s="21" t="str">
        <f aca="false">IFERROR(INDEX(Projects!$B$2:$B$500,MATCH(B72,Projects!$A$2:$A$500,0)),"")</f>
        <v>Core Banking API Layer</v>
      </c>
      <c r="D72" s="18" t="s">
        <v>878</v>
      </c>
      <c r="E72" s="23" t="n">
        <v>100100</v>
      </c>
      <c r="F72" s="19" t="n">
        <v>45866</v>
      </c>
      <c r="G72" s="18" t="s">
        <v>325</v>
      </c>
      <c r="H72" s="18" t="s">
        <v>879</v>
      </c>
      <c r="I72" s="14" t="n">
        <f aca="false">SUMIFS(Actuals!$J$2:$J$6000,Actuals!$C$2:$C$6000,B72,Actuals!$D$2:$D$6000,D72)</f>
        <v>0</v>
      </c>
      <c r="J72" s="14" t="n">
        <f aca="false">E72-I72</f>
        <v>100100</v>
      </c>
      <c r="K72" s="15" t="n">
        <f aca="false">IF(E72=0,0,I72/E72)</f>
        <v>0</v>
      </c>
      <c r="L72" s="12" t="str">
        <f aca="false">IF(D72="Contingency","Reserve",IF(K72&gt;1,"Overspent",IF(K72&gt;=BudgetNearLimit,"Near limit","Within budget")))</f>
        <v>Reserve</v>
      </c>
    </row>
    <row r="73" customFormat="false" ht="15" hidden="false" customHeight="false" outlineLevel="0" collapsed="false">
      <c r="A73" s="18" t="s">
        <v>948</v>
      </c>
      <c r="B73" s="18" t="s">
        <v>267</v>
      </c>
      <c r="C73" s="21" t="str">
        <f aca="false">IFERROR(INDEX(Projects!$B$2:$B$500,MATCH(B73,Projects!$A$2:$A$500,0)),"")</f>
        <v>Managed Cloud Operations</v>
      </c>
      <c r="D73" s="18" t="s">
        <v>869</v>
      </c>
      <c r="E73" s="23" t="n">
        <v>679300</v>
      </c>
      <c r="F73" s="19" t="n">
        <v>45820</v>
      </c>
      <c r="G73" s="18" t="s">
        <v>317</v>
      </c>
      <c r="H73" s="18" t="s">
        <v>870</v>
      </c>
      <c r="I73" s="14" t="n">
        <f aca="false">SUMIFS(Actuals!$J$2:$J$6000,Actuals!$C$2:$C$6000,B73,Actuals!$D$2:$D$6000,D73)</f>
        <v>543368.13</v>
      </c>
      <c r="J73" s="14" t="n">
        <f aca="false">E73-I73</f>
        <v>135931.87</v>
      </c>
      <c r="K73" s="15" t="n">
        <f aca="false">IF(E73=0,0,I73/E73)</f>
        <v>0.799894199911674</v>
      </c>
      <c r="L73" s="12" t="str">
        <f aca="false">IF(D73="Contingency","Reserve",IF(K73&gt;1,"Overspent",IF(K73&gt;=BudgetNearLimit,"Near limit","Within budget")))</f>
        <v>Within budget</v>
      </c>
    </row>
    <row r="74" customFormat="false" ht="15" hidden="false" customHeight="false" outlineLevel="0" collapsed="false">
      <c r="A74" s="18" t="s">
        <v>949</v>
      </c>
      <c r="B74" s="18" t="s">
        <v>267</v>
      </c>
      <c r="C74" s="21" t="str">
        <f aca="false">IFERROR(INDEX(Projects!$B$2:$B$500,MATCH(B74,Projects!$A$2:$A$500,0)),"")</f>
        <v>Managed Cloud Operations</v>
      </c>
      <c r="D74" s="18" t="s">
        <v>889</v>
      </c>
      <c r="E74" s="23" t="n">
        <v>93200</v>
      </c>
      <c r="F74" s="19" t="n">
        <v>45820</v>
      </c>
      <c r="G74" s="18" t="s">
        <v>317</v>
      </c>
      <c r="H74" s="18"/>
      <c r="I74" s="14" t="n">
        <f aca="false">SUMIFS(Actuals!$J$2:$J$6000,Actuals!$C$2:$C$6000,B74,Actuals!$D$2:$D$6000,D74)</f>
        <v>72602.16</v>
      </c>
      <c r="J74" s="14" t="n">
        <f aca="false">E74-I74</f>
        <v>20597.84</v>
      </c>
      <c r="K74" s="15" t="n">
        <f aca="false">IF(E74=0,0,I74/E74)</f>
        <v>0.77899313304721</v>
      </c>
      <c r="L74" s="12" t="str">
        <f aca="false">IF(D74="Contingency","Reserve",IF(K74&gt;1,"Overspent",IF(K74&gt;=BudgetNearLimit,"Near limit","Within budget")))</f>
        <v>Within budget</v>
      </c>
    </row>
    <row r="75" customFormat="false" ht="15" hidden="false" customHeight="false" outlineLevel="0" collapsed="false">
      <c r="A75" s="18" t="s">
        <v>950</v>
      </c>
      <c r="B75" s="18" t="s">
        <v>267</v>
      </c>
      <c r="C75" s="21" t="str">
        <f aca="false">IFERROR(INDEX(Projects!$B$2:$B$500,MATCH(B75,Projects!$A$2:$A$500,0)),"")</f>
        <v>Managed Cloud Operations</v>
      </c>
      <c r="D75" s="18" t="s">
        <v>882</v>
      </c>
      <c r="E75" s="23" t="n">
        <v>75600</v>
      </c>
      <c r="F75" s="19" t="n">
        <v>45820</v>
      </c>
      <c r="G75" s="18" t="s">
        <v>317</v>
      </c>
      <c r="H75" s="18"/>
      <c r="I75" s="14" t="n">
        <f aca="false">SUMIFS(Actuals!$J$2:$J$6000,Actuals!$C$2:$C$6000,B75,Actuals!$D$2:$D$6000,D75)</f>
        <v>75398.73</v>
      </c>
      <c r="J75" s="14" t="n">
        <f aca="false">E75-I75</f>
        <v>201.26999999999</v>
      </c>
      <c r="K75" s="15" t="n">
        <f aca="false">IF(E75=0,0,I75/E75)</f>
        <v>0.997337698412699</v>
      </c>
      <c r="L75" s="12" t="str">
        <f aca="false">IF(D75="Contingency","Reserve",IF(K75&gt;1,"Overspent",IF(K75&gt;=BudgetNearLimit,"Near limit","Within budget")))</f>
        <v>Near limit</v>
      </c>
    </row>
    <row r="76" customFormat="false" ht="15" hidden="false" customHeight="false" outlineLevel="0" collapsed="false">
      <c r="A76" s="18" t="s">
        <v>951</v>
      </c>
      <c r="B76" s="18" t="s">
        <v>267</v>
      </c>
      <c r="C76" s="21" t="str">
        <f aca="false">IFERROR(INDEX(Projects!$B$2:$B$500,MATCH(B76,Projects!$A$2:$A$500,0)),"")</f>
        <v>Managed Cloud Operations</v>
      </c>
      <c r="D76" s="18" t="s">
        <v>872</v>
      </c>
      <c r="E76" s="23" t="n">
        <v>33100</v>
      </c>
      <c r="F76" s="19" t="n">
        <v>45820</v>
      </c>
      <c r="G76" s="18" t="s">
        <v>317</v>
      </c>
      <c r="H76" s="18"/>
      <c r="I76" s="14" t="n">
        <f aca="false">SUMIFS(Actuals!$J$2:$J$6000,Actuals!$C$2:$C$6000,B76,Actuals!$D$2:$D$6000,D76)</f>
        <v>24630.91</v>
      </c>
      <c r="J76" s="14" t="n">
        <f aca="false">E76-I76</f>
        <v>8469.09</v>
      </c>
      <c r="K76" s="15" t="n">
        <f aca="false">IF(E76=0,0,I76/E76)</f>
        <v>0.744136253776435</v>
      </c>
      <c r="L76" s="12" t="str">
        <f aca="false">IF(D76="Contingency","Reserve",IF(K76&gt;1,"Overspent",IF(K76&gt;=BudgetNearLimit,"Near limit","Within budget")))</f>
        <v>Within budget</v>
      </c>
    </row>
    <row r="77" customFormat="false" ht="15" hidden="false" customHeight="false" outlineLevel="0" collapsed="false">
      <c r="A77" s="18" t="s">
        <v>952</v>
      </c>
      <c r="B77" s="18" t="s">
        <v>267</v>
      </c>
      <c r="C77" s="21" t="str">
        <f aca="false">IFERROR(INDEX(Projects!$B$2:$B$500,MATCH(B77,Projects!$A$2:$A$500,0)),"")</f>
        <v>Managed Cloud Operations</v>
      </c>
      <c r="D77" s="18" t="s">
        <v>876</v>
      </c>
      <c r="E77" s="23" t="n">
        <v>13400</v>
      </c>
      <c r="F77" s="19" t="n">
        <v>45820</v>
      </c>
      <c r="G77" s="18" t="s">
        <v>317</v>
      </c>
      <c r="H77" s="18"/>
      <c r="I77" s="14" t="n">
        <f aca="false">SUMIFS(Actuals!$J$2:$J$6000,Actuals!$C$2:$C$6000,B77,Actuals!$D$2:$D$6000,D77)</f>
        <v>10209.65</v>
      </c>
      <c r="J77" s="14" t="n">
        <f aca="false">E77-I77</f>
        <v>3190.35</v>
      </c>
      <c r="K77" s="15" t="n">
        <f aca="false">IF(E77=0,0,I77/E77)</f>
        <v>0.761914179104478</v>
      </c>
      <c r="L77" s="12" t="str">
        <f aca="false">IF(D77="Contingency","Reserve",IF(K77&gt;1,"Overspent",IF(K77&gt;=BudgetNearLimit,"Near limit","Within budget")))</f>
        <v>Within budget</v>
      </c>
    </row>
    <row r="78" customFormat="false" ht="15" hidden="false" customHeight="false" outlineLevel="0" collapsed="false">
      <c r="A78" s="18" t="s">
        <v>953</v>
      </c>
      <c r="B78" s="18" t="s">
        <v>267</v>
      </c>
      <c r="C78" s="21" t="str">
        <f aca="false">IFERROR(INDEX(Projects!$B$2:$B$500,MATCH(B78,Projects!$A$2:$A$500,0)),"")</f>
        <v>Managed Cloud Operations</v>
      </c>
      <c r="D78" s="18" t="s">
        <v>878</v>
      </c>
      <c r="E78" s="23" t="n">
        <v>49300</v>
      </c>
      <c r="F78" s="19" t="n">
        <v>45820</v>
      </c>
      <c r="G78" s="18" t="s">
        <v>317</v>
      </c>
      <c r="H78" s="18" t="s">
        <v>879</v>
      </c>
      <c r="I78" s="14" t="n">
        <f aca="false">SUMIFS(Actuals!$J$2:$J$6000,Actuals!$C$2:$C$6000,B78,Actuals!$D$2:$D$6000,D78)</f>
        <v>0</v>
      </c>
      <c r="J78" s="14" t="n">
        <f aca="false">E78-I78</f>
        <v>49300</v>
      </c>
      <c r="K78" s="15" t="n">
        <f aca="false">IF(E78=0,0,I78/E78)</f>
        <v>0</v>
      </c>
      <c r="L78" s="12" t="str">
        <f aca="false">IF(D78="Contingency","Reserve",IF(K78&gt;1,"Overspent",IF(K78&gt;=BudgetNearLimit,"Near limit","Within budget")))</f>
        <v>Reserve</v>
      </c>
    </row>
    <row r="79" customFormat="false" ht="15" hidden="false" customHeight="false" outlineLevel="0" collapsed="false">
      <c r="A79" s="18" t="s">
        <v>954</v>
      </c>
      <c r="B79" s="18" t="s">
        <v>270</v>
      </c>
      <c r="C79" s="21" t="str">
        <f aca="false">IFERROR(INDEX(Projects!$B$2:$B$500,MATCH(B79,Projects!$A$2:$A$500,0)),"")</f>
        <v>Policy Admin Consolidation</v>
      </c>
      <c r="D79" s="18" t="s">
        <v>869</v>
      </c>
      <c r="E79" s="23" t="n">
        <v>661800</v>
      </c>
      <c r="F79" s="19" t="n">
        <v>46084</v>
      </c>
      <c r="G79" s="18" t="s">
        <v>325</v>
      </c>
      <c r="H79" s="18" t="s">
        <v>870</v>
      </c>
      <c r="I79" s="14" t="n">
        <f aca="false">SUMIFS(Actuals!$J$2:$J$6000,Actuals!$C$2:$C$6000,B79,Actuals!$D$2:$D$6000,D79)</f>
        <v>272909.89</v>
      </c>
      <c r="J79" s="14" t="n">
        <f aca="false">E79-I79</f>
        <v>388890.11</v>
      </c>
      <c r="K79" s="15" t="n">
        <f aca="false">IF(E79=0,0,I79/E79)</f>
        <v>0.41237517376851</v>
      </c>
      <c r="L79" s="12" t="str">
        <f aca="false">IF(D79="Contingency","Reserve",IF(K79&gt;1,"Overspent",IF(K79&gt;=BudgetNearLimit,"Near limit","Within budget")))</f>
        <v>Within budget</v>
      </c>
    </row>
    <row r="80" customFormat="false" ht="15" hidden="false" customHeight="false" outlineLevel="0" collapsed="false">
      <c r="A80" s="18" t="s">
        <v>955</v>
      </c>
      <c r="B80" s="18" t="s">
        <v>270</v>
      </c>
      <c r="C80" s="21" t="str">
        <f aca="false">IFERROR(INDEX(Projects!$B$2:$B$500,MATCH(B80,Projects!$A$2:$A$500,0)),"")</f>
        <v>Policy Admin Consolidation</v>
      </c>
      <c r="D80" s="18" t="s">
        <v>872</v>
      </c>
      <c r="E80" s="23" t="n">
        <v>60200</v>
      </c>
      <c r="F80" s="19" t="n">
        <v>46084</v>
      </c>
      <c r="G80" s="18" t="s">
        <v>325</v>
      </c>
      <c r="H80" s="18"/>
      <c r="I80" s="14" t="n">
        <f aca="false">SUMIFS(Actuals!$J$2:$J$6000,Actuals!$C$2:$C$6000,B80,Actuals!$D$2:$D$6000,D80)</f>
        <v>24291.8</v>
      </c>
      <c r="J80" s="14" t="n">
        <f aca="false">E80-I80</f>
        <v>35908.2</v>
      </c>
      <c r="K80" s="15" t="n">
        <f aca="false">IF(E80=0,0,I80/E80)</f>
        <v>0.403518272425249</v>
      </c>
      <c r="L80" s="12" t="str">
        <f aca="false">IF(D80="Contingency","Reserve",IF(K80&gt;1,"Overspent",IF(K80&gt;=BudgetNearLimit,"Near limit","Within budget")))</f>
        <v>Within budget</v>
      </c>
    </row>
    <row r="81" customFormat="false" ht="15" hidden="false" customHeight="false" outlineLevel="0" collapsed="false">
      <c r="A81" s="18" t="s">
        <v>956</v>
      </c>
      <c r="B81" s="18" t="s">
        <v>270</v>
      </c>
      <c r="C81" s="21" t="str">
        <f aca="false">IFERROR(INDEX(Projects!$B$2:$B$500,MATCH(B81,Projects!$A$2:$A$500,0)),"")</f>
        <v>Policy Admin Consolidation</v>
      </c>
      <c r="D81" s="18" t="s">
        <v>874</v>
      </c>
      <c r="E81" s="23" t="n">
        <v>71100</v>
      </c>
      <c r="F81" s="19" t="n">
        <v>46084</v>
      </c>
      <c r="G81" s="18" t="s">
        <v>325</v>
      </c>
      <c r="H81" s="18"/>
      <c r="I81" s="14" t="n">
        <f aca="false">SUMIFS(Actuals!$J$2:$J$6000,Actuals!$C$2:$C$6000,B81,Actuals!$D$2:$D$6000,D81)</f>
        <v>28461.26</v>
      </c>
      <c r="J81" s="14" t="n">
        <f aca="false">E81-I81</f>
        <v>42638.74</v>
      </c>
      <c r="K81" s="15" t="n">
        <f aca="false">IF(E81=0,0,I81/E81)</f>
        <v>0.400299015471167</v>
      </c>
      <c r="L81" s="12" t="str">
        <f aca="false">IF(D81="Contingency","Reserve",IF(K81&gt;1,"Overspent",IF(K81&gt;=BudgetNearLimit,"Near limit","Within budget")))</f>
        <v>Within budget</v>
      </c>
    </row>
    <row r="82" customFormat="false" ht="15" hidden="false" customHeight="false" outlineLevel="0" collapsed="false">
      <c r="A82" s="18" t="s">
        <v>957</v>
      </c>
      <c r="B82" s="18" t="s">
        <v>270</v>
      </c>
      <c r="C82" s="21" t="str">
        <f aca="false">IFERROR(INDEX(Projects!$B$2:$B$500,MATCH(B82,Projects!$A$2:$A$500,0)),"")</f>
        <v>Policy Admin Consolidation</v>
      </c>
      <c r="D82" s="18" t="s">
        <v>495</v>
      </c>
      <c r="E82" s="23" t="n">
        <v>19100</v>
      </c>
      <c r="F82" s="19" t="n">
        <v>46084</v>
      </c>
      <c r="G82" s="18" t="s">
        <v>325</v>
      </c>
      <c r="H82" s="18"/>
      <c r="I82" s="14" t="n">
        <f aca="false">SUMIFS(Actuals!$J$2:$J$6000,Actuals!$C$2:$C$6000,B82,Actuals!$D$2:$D$6000,D82)</f>
        <v>8001.7</v>
      </c>
      <c r="J82" s="14" t="n">
        <f aca="false">E82-I82</f>
        <v>11098.3</v>
      </c>
      <c r="K82" s="15" t="n">
        <f aca="false">IF(E82=0,0,I82/E82)</f>
        <v>0.418937172774869</v>
      </c>
      <c r="L82" s="12" t="str">
        <f aca="false">IF(D82="Contingency","Reserve",IF(K82&gt;1,"Overspent",IF(K82&gt;=BudgetNearLimit,"Near limit","Within budget")))</f>
        <v>Within budget</v>
      </c>
    </row>
    <row r="83" customFormat="false" ht="15" hidden="false" customHeight="false" outlineLevel="0" collapsed="false">
      <c r="A83" s="18" t="s">
        <v>958</v>
      </c>
      <c r="B83" s="18" t="s">
        <v>270</v>
      </c>
      <c r="C83" s="21" t="str">
        <f aca="false">IFERROR(INDEX(Projects!$B$2:$B$500,MATCH(B83,Projects!$A$2:$A$500,0)),"")</f>
        <v>Policy Admin Consolidation</v>
      </c>
      <c r="D83" s="18" t="s">
        <v>876</v>
      </c>
      <c r="E83" s="23" t="n">
        <v>14400</v>
      </c>
      <c r="F83" s="19" t="n">
        <v>46084</v>
      </c>
      <c r="G83" s="18" t="s">
        <v>325</v>
      </c>
      <c r="H83" s="18"/>
      <c r="I83" s="14" t="n">
        <f aca="false">SUMIFS(Actuals!$J$2:$J$6000,Actuals!$C$2:$C$6000,B83,Actuals!$D$2:$D$6000,D83)</f>
        <v>6086.18</v>
      </c>
      <c r="J83" s="14" t="n">
        <f aca="false">E83-I83</f>
        <v>8313.82</v>
      </c>
      <c r="K83" s="15" t="n">
        <f aca="false">IF(E83=0,0,I83/E83)</f>
        <v>0.422651388888889</v>
      </c>
      <c r="L83" s="12" t="str">
        <f aca="false">IF(D83="Contingency","Reserve",IF(K83&gt;1,"Overspent",IF(K83&gt;=BudgetNearLimit,"Near limit","Within budget")))</f>
        <v>Within budget</v>
      </c>
    </row>
    <row r="84" customFormat="false" ht="15" hidden="false" customHeight="false" outlineLevel="0" collapsed="false">
      <c r="A84" s="18" t="s">
        <v>959</v>
      </c>
      <c r="B84" s="18" t="s">
        <v>270</v>
      </c>
      <c r="C84" s="21" t="str">
        <f aca="false">IFERROR(INDEX(Projects!$B$2:$B$500,MATCH(B84,Projects!$A$2:$A$500,0)),"")</f>
        <v>Policy Admin Consolidation</v>
      </c>
      <c r="D84" s="18" t="s">
        <v>878</v>
      </c>
      <c r="E84" s="23" t="n">
        <v>66200</v>
      </c>
      <c r="F84" s="19" t="n">
        <v>46084</v>
      </c>
      <c r="G84" s="18" t="s">
        <v>325</v>
      </c>
      <c r="H84" s="18" t="s">
        <v>879</v>
      </c>
      <c r="I84" s="14" t="n">
        <f aca="false">SUMIFS(Actuals!$J$2:$J$6000,Actuals!$C$2:$C$6000,B84,Actuals!$D$2:$D$6000,D84)</f>
        <v>0</v>
      </c>
      <c r="J84" s="14" t="n">
        <f aca="false">E84-I84</f>
        <v>66200</v>
      </c>
      <c r="K84" s="15" t="n">
        <f aca="false">IF(E84=0,0,I84/E84)</f>
        <v>0</v>
      </c>
      <c r="L84" s="12" t="str">
        <f aca="false">IF(D84="Contingency","Reserve",IF(K84&gt;1,"Overspent",IF(K84&gt;=BudgetNearLimit,"Near limit","Within budget")))</f>
        <v>Reserve</v>
      </c>
    </row>
    <row r="85" customFormat="false" ht="15" hidden="false" customHeight="false" outlineLevel="0" collapsed="false">
      <c r="A85" s="18" t="s">
        <v>960</v>
      </c>
      <c r="B85" s="18" t="s">
        <v>272</v>
      </c>
      <c r="C85" s="21" t="str">
        <f aca="false">IFERROR(INDEX(Projects!$B$2:$B$500,MATCH(B85,Projects!$A$2:$A$500,0)),"")</f>
        <v>Warehouse Robotics Integration</v>
      </c>
      <c r="D85" s="18" t="s">
        <v>869</v>
      </c>
      <c r="E85" s="23" t="n">
        <v>224900</v>
      </c>
      <c r="F85" s="19" t="n">
        <v>46106</v>
      </c>
      <c r="G85" s="18" t="s">
        <v>317</v>
      </c>
      <c r="H85" s="18" t="s">
        <v>870</v>
      </c>
      <c r="I85" s="14" t="n">
        <f aca="false">SUMIFS(Actuals!$J$2:$J$6000,Actuals!$C$2:$C$6000,B85,Actuals!$D$2:$D$6000,D85)</f>
        <v>134731.62</v>
      </c>
      <c r="J85" s="14" t="n">
        <f aca="false">E85-I85</f>
        <v>90168.38</v>
      </c>
      <c r="K85" s="15" t="n">
        <f aca="false">IF(E85=0,0,I85/E85)</f>
        <v>0.599073454868831</v>
      </c>
      <c r="L85" s="12" t="str">
        <f aca="false">IF(D85="Contingency","Reserve",IF(K85&gt;1,"Overspent",IF(K85&gt;=BudgetNearLimit,"Near limit","Within budget")))</f>
        <v>Within budget</v>
      </c>
    </row>
    <row r="86" customFormat="false" ht="15" hidden="false" customHeight="false" outlineLevel="0" collapsed="false">
      <c r="A86" s="18" t="s">
        <v>961</v>
      </c>
      <c r="B86" s="18" t="s">
        <v>272</v>
      </c>
      <c r="C86" s="21" t="str">
        <f aca="false">IFERROR(INDEX(Projects!$B$2:$B$500,MATCH(B86,Projects!$A$2:$A$500,0)),"")</f>
        <v>Warehouse Robotics Integration</v>
      </c>
      <c r="D86" s="18" t="s">
        <v>882</v>
      </c>
      <c r="E86" s="23" t="n">
        <v>20600</v>
      </c>
      <c r="F86" s="19" t="n">
        <v>46106</v>
      </c>
      <c r="G86" s="18" t="s">
        <v>317</v>
      </c>
      <c r="H86" s="18"/>
      <c r="I86" s="14" t="n">
        <f aca="false">SUMIFS(Actuals!$J$2:$J$6000,Actuals!$C$2:$C$6000,B86,Actuals!$D$2:$D$6000,D86)</f>
        <v>20222.4</v>
      </c>
      <c r="J86" s="14" t="n">
        <f aca="false">E86-I86</f>
        <v>377.599999999999</v>
      </c>
      <c r="K86" s="15" t="n">
        <f aca="false">IF(E86=0,0,I86/E86)</f>
        <v>0.981669902912622</v>
      </c>
      <c r="L86" s="12" t="str">
        <f aca="false">IF(D86="Contingency","Reserve",IF(K86&gt;1,"Overspent",IF(K86&gt;=BudgetNearLimit,"Near limit","Within budget")))</f>
        <v>Near limit</v>
      </c>
    </row>
    <row r="87" customFormat="false" ht="15" hidden="false" customHeight="false" outlineLevel="0" collapsed="false">
      <c r="A87" s="18" t="s">
        <v>962</v>
      </c>
      <c r="B87" s="18" t="s">
        <v>272</v>
      </c>
      <c r="C87" s="21" t="str">
        <f aca="false">IFERROR(INDEX(Projects!$B$2:$B$500,MATCH(B87,Projects!$A$2:$A$500,0)),"")</f>
        <v>Warehouse Robotics Integration</v>
      </c>
      <c r="D87" s="18" t="s">
        <v>872</v>
      </c>
      <c r="E87" s="23" t="n">
        <v>11100</v>
      </c>
      <c r="F87" s="19" t="n">
        <v>46106</v>
      </c>
      <c r="G87" s="18" t="s">
        <v>317</v>
      </c>
      <c r="H87" s="18"/>
      <c r="I87" s="14" t="n">
        <f aca="false">SUMIFS(Actuals!$J$2:$J$6000,Actuals!$C$2:$C$6000,B87,Actuals!$D$2:$D$6000,D87)</f>
        <v>7017.05</v>
      </c>
      <c r="J87" s="14" t="n">
        <f aca="false">E87-I87</f>
        <v>4082.95</v>
      </c>
      <c r="K87" s="15" t="n">
        <f aca="false">IF(E87=0,0,I87/E87)</f>
        <v>0.632166666666667</v>
      </c>
      <c r="L87" s="12" t="str">
        <f aca="false">IF(D87="Contingency","Reserve",IF(K87&gt;1,"Overspent",IF(K87&gt;=BudgetNearLimit,"Near limit","Within budget")))</f>
        <v>Within budget</v>
      </c>
    </row>
    <row r="88" customFormat="false" ht="15" hidden="false" customHeight="false" outlineLevel="0" collapsed="false">
      <c r="A88" s="18" t="s">
        <v>963</v>
      </c>
      <c r="B88" s="18" t="s">
        <v>272</v>
      </c>
      <c r="C88" s="21" t="str">
        <f aca="false">IFERROR(INDEX(Projects!$B$2:$B$500,MATCH(B88,Projects!$A$2:$A$500,0)),"")</f>
        <v>Warehouse Robotics Integration</v>
      </c>
      <c r="D88" s="18" t="s">
        <v>495</v>
      </c>
      <c r="E88" s="23" t="n">
        <v>6100</v>
      </c>
      <c r="F88" s="19" t="n">
        <v>46106</v>
      </c>
      <c r="G88" s="18" t="s">
        <v>317</v>
      </c>
      <c r="H88" s="18"/>
      <c r="I88" s="14" t="n">
        <f aca="false">SUMIFS(Actuals!$J$2:$J$6000,Actuals!$C$2:$C$6000,B88,Actuals!$D$2:$D$6000,D88)</f>
        <v>3771.52</v>
      </c>
      <c r="J88" s="14" t="n">
        <f aca="false">E88-I88</f>
        <v>2328.48</v>
      </c>
      <c r="K88" s="15" t="n">
        <f aca="false">IF(E88=0,0,I88/E88)</f>
        <v>0.618281967213115</v>
      </c>
      <c r="L88" s="12" t="str">
        <f aca="false">IF(D88="Contingency","Reserve",IF(K88&gt;1,"Overspent",IF(K88&gt;=BudgetNearLimit,"Near limit","Within budget")))</f>
        <v>Within budget</v>
      </c>
    </row>
    <row r="89" customFormat="false" ht="15" hidden="false" customHeight="false" outlineLevel="0" collapsed="false">
      <c r="A89" s="18" t="s">
        <v>964</v>
      </c>
      <c r="B89" s="18" t="s">
        <v>272</v>
      </c>
      <c r="C89" s="21" t="str">
        <f aca="false">IFERROR(INDEX(Projects!$B$2:$B$500,MATCH(B89,Projects!$A$2:$A$500,0)),"")</f>
        <v>Warehouse Robotics Integration</v>
      </c>
      <c r="D89" s="18" t="s">
        <v>876</v>
      </c>
      <c r="E89" s="23" t="n">
        <v>4600</v>
      </c>
      <c r="F89" s="19" t="n">
        <v>46106</v>
      </c>
      <c r="G89" s="18" t="s">
        <v>317</v>
      </c>
      <c r="H89" s="18"/>
      <c r="I89" s="14" t="n">
        <f aca="false">SUMIFS(Actuals!$J$2:$J$6000,Actuals!$C$2:$C$6000,B89,Actuals!$D$2:$D$6000,D89)</f>
        <v>2869.44</v>
      </c>
      <c r="J89" s="14" t="n">
        <f aca="false">E89-I89</f>
        <v>1730.56</v>
      </c>
      <c r="K89" s="15" t="n">
        <f aca="false">IF(E89=0,0,I89/E89)</f>
        <v>0.623791304347826</v>
      </c>
      <c r="L89" s="12" t="str">
        <f aca="false">IF(D89="Contingency","Reserve",IF(K89&gt;1,"Overspent",IF(K89&gt;=BudgetNearLimit,"Near limit","Within budget")))</f>
        <v>Within budget</v>
      </c>
    </row>
    <row r="90" customFormat="false" ht="15" hidden="false" customHeight="false" outlineLevel="0" collapsed="false">
      <c r="A90" s="18" t="s">
        <v>965</v>
      </c>
      <c r="B90" s="18" t="s">
        <v>272</v>
      </c>
      <c r="C90" s="21" t="str">
        <f aca="false">IFERROR(INDEX(Projects!$B$2:$B$500,MATCH(B90,Projects!$A$2:$A$500,0)),"")</f>
        <v>Warehouse Robotics Integration</v>
      </c>
      <c r="D90" s="18" t="s">
        <v>878</v>
      </c>
      <c r="E90" s="23" t="n">
        <v>16400</v>
      </c>
      <c r="F90" s="19" t="n">
        <v>46106</v>
      </c>
      <c r="G90" s="18" t="s">
        <v>317</v>
      </c>
      <c r="H90" s="18" t="s">
        <v>879</v>
      </c>
      <c r="I90" s="14" t="n">
        <f aca="false">SUMIFS(Actuals!$J$2:$J$6000,Actuals!$C$2:$C$6000,B90,Actuals!$D$2:$D$6000,D90)</f>
        <v>0</v>
      </c>
      <c r="J90" s="14" t="n">
        <f aca="false">E90-I90</f>
        <v>16400</v>
      </c>
      <c r="K90" s="15" t="n">
        <f aca="false">IF(E90=0,0,I90/E90)</f>
        <v>0</v>
      </c>
      <c r="L90" s="12" t="str">
        <f aca="false">IF(D90="Contingency","Reserve",IF(K90&gt;1,"Overspent",IF(K90&gt;=BudgetNearLimit,"Near limit","Within budget")))</f>
        <v>Reserve</v>
      </c>
    </row>
    <row r="91" customFormat="false" ht="15" hidden="false" customHeight="false" outlineLevel="0" collapsed="false">
      <c r="A91" s="18" t="s">
        <v>966</v>
      </c>
      <c r="B91" s="18" t="s">
        <v>275</v>
      </c>
      <c r="C91" s="21" t="str">
        <f aca="false">IFERROR(INDEX(Projects!$B$2:$B$500,MATCH(B91,Projects!$A$2:$A$500,0)),"")</f>
        <v>Loyalty Program Relaunch</v>
      </c>
      <c r="D91" s="18" t="s">
        <v>869</v>
      </c>
      <c r="E91" s="23" t="n">
        <v>254300</v>
      </c>
      <c r="F91" s="19" t="n">
        <v>46024</v>
      </c>
      <c r="G91" s="18" t="s">
        <v>317</v>
      </c>
      <c r="H91" s="18" t="s">
        <v>870</v>
      </c>
      <c r="I91" s="14" t="n">
        <f aca="false">SUMIFS(Actuals!$J$2:$J$6000,Actuals!$C$2:$C$6000,B91,Actuals!$D$2:$D$6000,D91)</f>
        <v>323638.17</v>
      </c>
      <c r="J91" s="14" t="n">
        <f aca="false">E91-I91</f>
        <v>-69338.17</v>
      </c>
      <c r="K91" s="15" t="n">
        <f aca="false">IF(E91=0,0,I91/E91)</f>
        <v>1.27266287848997</v>
      </c>
      <c r="L91" s="12" t="str">
        <f aca="false">IF(D91="Contingency","Reserve",IF(K91&gt;1,"Overspent",IF(K91&gt;=BudgetNearLimit,"Near limit","Within budget")))</f>
        <v>Overspent</v>
      </c>
    </row>
    <row r="92" customFormat="false" ht="15" hidden="false" customHeight="false" outlineLevel="0" collapsed="false">
      <c r="A92" s="18" t="s">
        <v>967</v>
      </c>
      <c r="B92" s="18" t="s">
        <v>275</v>
      </c>
      <c r="C92" s="21" t="str">
        <f aca="false">IFERROR(INDEX(Projects!$B$2:$B$500,MATCH(B92,Projects!$A$2:$A$500,0)),"")</f>
        <v>Loyalty Program Relaunch</v>
      </c>
      <c r="D92" s="18" t="s">
        <v>872</v>
      </c>
      <c r="E92" s="23" t="n">
        <v>17200</v>
      </c>
      <c r="F92" s="19" t="n">
        <v>46024</v>
      </c>
      <c r="G92" s="18" t="s">
        <v>317</v>
      </c>
      <c r="H92" s="18"/>
      <c r="I92" s="14" t="n">
        <f aca="false">SUMIFS(Actuals!$J$2:$J$6000,Actuals!$C$2:$C$6000,B92,Actuals!$D$2:$D$6000,D92)</f>
        <v>17904.88</v>
      </c>
      <c r="J92" s="14" t="n">
        <f aca="false">E92-I92</f>
        <v>-704.880000000001</v>
      </c>
      <c r="K92" s="15" t="n">
        <f aca="false">IF(E92=0,0,I92/E92)</f>
        <v>1.04098139534884</v>
      </c>
      <c r="L92" s="12" t="str">
        <f aca="false">IF(D92="Contingency","Reserve",IF(K92&gt;1,"Overspent",IF(K92&gt;=BudgetNearLimit,"Near limit","Within budget")))</f>
        <v>Overspent</v>
      </c>
    </row>
    <row r="93" customFormat="false" ht="15" hidden="false" customHeight="false" outlineLevel="0" collapsed="false">
      <c r="A93" s="18" t="s">
        <v>968</v>
      </c>
      <c r="B93" s="18" t="s">
        <v>275</v>
      </c>
      <c r="C93" s="21" t="str">
        <f aca="false">IFERROR(INDEX(Projects!$B$2:$B$500,MATCH(B93,Projects!$A$2:$A$500,0)),"")</f>
        <v>Loyalty Program Relaunch</v>
      </c>
      <c r="D93" s="18" t="s">
        <v>874</v>
      </c>
      <c r="E93" s="23" t="n">
        <v>22400</v>
      </c>
      <c r="F93" s="19" t="n">
        <v>46024</v>
      </c>
      <c r="G93" s="18" t="s">
        <v>317</v>
      </c>
      <c r="H93" s="18"/>
      <c r="I93" s="14" t="n">
        <f aca="false">SUMIFS(Actuals!$J$2:$J$6000,Actuals!$C$2:$C$6000,B93,Actuals!$D$2:$D$6000,D93)</f>
        <v>24550.03</v>
      </c>
      <c r="J93" s="14" t="n">
        <f aca="false">E93-I93</f>
        <v>-2150.03</v>
      </c>
      <c r="K93" s="15" t="n">
        <f aca="false">IF(E93=0,0,I93/E93)</f>
        <v>1.09598348214286</v>
      </c>
      <c r="L93" s="12" t="str">
        <f aca="false">IF(D93="Contingency","Reserve",IF(K93&gt;1,"Overspent",IF(K93&gt;=BudgetNearLimit,"Near limit","Within budget")))</f>
        <v>Overspent</v>
      </c>
    </row>
    <row r="94" customFormat="false" ht="15" hidden="false" customHeight="false" outlineLevel="0" collapsed="false">
      <c r="A94" s="18" t="s">
        <v>969</v>
      </c>
      <c r="B94" s="18" t="s">
        <v>275</v>
      </c>
      <c r="C94" s="21" t="str">
        <f aca="false">IFERROR(INDEX(Projects!$B$2:$B$500,MATCH(B94,Projects!$A$2:$A$500,0)),"")</f>
        <v>Loyalty Program Relaunch</v>
      </c>
      <c r="D94" s="18" t="s">
        <v>876</v>
      </c>
      <c r="E94" s="23" t="n">
        <v>4700</v>
      </c>
      <c r="F94" s="19" t="n">
        <v>46024</v>
      </c>
      <c r="G94" s="18" t="s">
        <v>317</v>
      </c>
      <c r="H94" s="18"/>
      <c r="I94" s="14" t="n">
        <f aca="false">SUMIFS(Actuals!$J$2:$J$6000,Actuals!$C$2:$C$6000,B94,Actuals!$D$2:$D$6000,D94)</f>
        <v>5102.35</v>
      </c>
      <c r="J94" s="14" t="n">
        <f aca="false">E94-I94</f>
        <v>-402.35</v>
      </c>
      <c r="K94" s="15" t="n">
        <f aca="false">IF(E94=0,0,I94/E94)</f>
        <v>1.08560638297872</v>
      </c>
      <c r="L94" s="12" t="str">
        <f aca="false">IF(D94="Contingency","Reserve",IF(K94&gt;1,"Overspent",IF(K94&gt;=BudgetNearLimit,"Near limit","Within budget")))</f>
        <v>Overspent</v>
      </c>
    </row>
    <row r="95" customFormat="false" ht="15" hidden="false" customHeight="false" outlineLevel="0" collapsed="false">
      <c r="A95" s="18" t="s">
        <v>970</v>
      </c>
      <c r="B95" s="18" t="s">
        <v>275</v>
      </c>
      <c r="C95" s="21" t="str">
        <f aca="false">IFERROR(INDEX(Projects!$B$2:$B$500,MATCH(B95,Projects!$A$2:$A$500,0)),"")</f>
        <v>Loyalty Program Relaunch</v>
      </c>
      <c r="D95" s="18" t="s">
        <v>878</v>
      </c>
      <c r="E95" s="23" t="n">
        <v>25400</v>
      </c>
      <c r="F95" s="19" t="n">
        <v>46024</v>
      </c>
      <c r="G95" s="18" t="s">
        <v>317</v>
      </c>
      <c r="H95" s="18" t="s">
        <v>879</v>
      </c>
      <c r="I95" s="14" t="n">
        <f aca="false">SUMIFS(Actuals!$J$2:$J$6000,Actuals!$C$2:$C$6000,B95,Actuals!$D$2:$D$6000,D95)</f>
        <v>0</v>
      </c>
      <c r="J95" s="14" t="n">
        <f aca="false">E95-I95</f>
        <v>25400</v>
      </c>
      <c r="K95" s="15" t="n">
        <f aca="false">IF(E95=0,0,I95/E95)</f>
        <v>0</v>
      </c>
      <c r="L95" s="12" t="str">
        <f aca="false">IF(D95="Contingency","Reserve",IF(K95&gt;1,"Overspent",IF(K95&gt;=BudgetNearLimit,"Near limit","Within budget")))</f>
        <v>Reserve</v>
      </c>
    </row>
    <row r="96" customFormat="false" ht="15" hidden="false" customHeight="false" outlineLevel="0" collapsed="false">
      <c r="A96" s="18" t="s">
        <v>971</v>
      </c>
      <c r="B96" s="18" t="s">
        <v>277</v>
      </c>
      <c r="C96" s="21" t="str">
        <f aca="false">IFERROR(INDEX(Projects!$B$2:$B$500,MATCH(B96,Projects!$A$2:$A$500,0)),"")</f>
        <v>Cybersecurity Posture Assessment</v>
      </c>
      <c r="D96" s="18" t="s">
        <v>869</v>
      </c>
      <c r="E96" s="23" t="n">
        <v>305700</v>
      </c>
      <c r="F96" s="19" t="n">
        <v>45803</v>
      </c>
      <c r="G96" s="18" t="s">
        <v>317</v>
      </c>
      <c r="H96" s="18" t="s">
        <v>870</v>
      </c>
      <c r="I96" s="14" t="n">
        <f aca="false">SUMIFS(Actuals!$J$2:$J$6000,Actuals!$C$2:$C$6000,B96,Actuals!$D$2:$D$6000,D96)</f>
        <v>297113.52</v>
      </c>
      <c r="J96" s="14" t="n">
        <f aca="false">E96-I96</f>
        <v>8586.47999999998</v>
      </c>
      <c r="K96" s="15" t="n">
        <f aca="false">IF(E96=0,0,I96/E96)</f>
        <v>0.971912070657507</v>
      </c>
      <c r="L96" s="12" t="str">
        <f aca="false">IF(D96="Contingency","Reserve",IF(K96&gt;1,"Overspent",IF(K96&gt;=BudgetNearLimit,"Near limit","Within budget")))</f>
        <v>Near limit</v>
      </c>
    </row>
    <row r="97" customFormat="false" ht="15" hidden="false" customHeight="false" outlineLevel="0" collapsed="false">
      <c r="A97" s="18" t="s">
        <v>972</v>
      </c>
      <c r="B97" s="18" t="s">
        <v>277</v>
      </c>
      <c r="C97" s="21" t="str">
        <f aca="false">IFERROR(INDEX(Projects!$B$2:$B$500,MATCH(B97,Projects!$A$2:$A$500,0)),"")</f>
        <v>Cybersecurity Posture Assessment</v>
      </c>
      <c r="D97" s="18" t="s">
        <v>889</v>
      </c>
      <c r="E97" s="23" t="n">
        <v>42200</v>
      </c>
      <c r="F97" s="19" t="n">
        <v>45803</v>
      </c>
      <c r="G97" s="18" t="s">
        <v>317</v>
      </c>
      <c r="H97" s="18"/>
      <c r="I97" s="14" t="n">
        <f aca="false">SUMIFS(Actuals!$J$2:$J$6000,Actuals!$C$2:$C$6000,B97,Actuals!$D$2:$D$6000,D97)</f>
        <v>39781.05</v>
      </c>
      <c r="J97" s="14" t="n">
        <f aca="false">E97-I97</f>
        <v>2418.95</v>
      </c>
      <c r="K97" s="15" t="n">
        <f aca="false">IF(E97=0,0,I97/E97)</f>
        <v>0.942678909952607</v>
      </c>
      <c r="L97" s="12" t="str">
        <f aca="false">IF(D97="Contingency","Reserve",IF(K97&gt;1,"Overspent",IF(K97&gt;=BudgetNearLimit,"Near limit","Within budget")))</f>
        <v>Near limit</v>
      </c>
    </row>
    <row r="98" customFormat="false" ht="15" hidden="false" customHeight="false" outlineLevel="0" collapsed="false">
      <c r="A98" s="18" t="s">
        <v>973</v>
      </c>
      <c r="B98" s="18" t="s">
        <v>277</v>
      </c>
      <c r="C98" s="21" t="str">
        <f aca="false">IFERROR(INDEX(Projects!$B$2:$B$500,MATCH(B98,Projects!$A$2:$A$500,0)),"")</f>
        <v>Cybersecurity Posture Assessment</v>
      </c>
      <c r="D98" s="18" t="s">
        <v>882</v>
      </c>
      <c r="E98" s="23" t="n">
        <v>32700</v>
      </c>
      <c r="F98" s="19" t="n">
        <v>45803</v>
      </c>
      <c r="G98" s="18" t="s">
        <v>317</v>
      </c>
      <c r="H98" s="18"/>
      <c r="I98" s="14" t="n">
        <f aca="false">SUMIFS(Actuals!$J$2:$J$6000,Actuals!$C$2:$C$6000,B98,Actuals!$D$2:$D$6000,D98)</f>
        <v>31326.96</v>
      </c>
      <c r="J98" s="14" t="n">
        <f aca="false">E98-I98</f>
        <v>1373.04</v>
      </c>
      <c r="K98" s="15" t="n">
        <f aca="false">IF(E98=0,0,I98/E98)</f>
        <v>0.958011009174312</v>
      </c>
      <c r="L98" s="12" t="str">
        <f aca="false">IF(D98="Contingency","Reserve",IF(K98&gt;1,"Overspent",IF(K98&gt;=BudgetNearLimit,"Near limit","Within budget")))</f>
        <v>Near limit</v>
      </c>
    </row>
    <row r="99" customFormat="false" ht="15" hidden="false" customHeight="false" outlineLevel="0" collapsed="false">
      <c r="A99" s="18" t="s">
        <v>974</v>
      </c>
      <c r="B99" s="18" t="s">
        <v>277</v>
      </c>
      <c r="C99" s="21" t="str">
        <f aca="false">IFERROR(INDEX(Projects!$B$2:$B$500,MATCH(B99,Projects!$A$2:$A$500,0)),"")</f>
        <v>Cybersecurity Posture Assessment</v>
      </c>
      <c r="D99" s="18" t="s">
        <v>872</v>
      </c>
      <c r="E99" s="23" t="n">
        <v>13800</v>
      </c>
      <c r="F99" s="19" t="n">
        <v>45803</v>
      </c>
      <c r="G99" s="18" t="s">
        <v>317</v>
      </c>
      <c r="H99" s="18"/>
      <c r="I99" s="14" t="n">
        <f aca="false">SUMIFS(Actuals!$J$2:$J$6000,Actuals!$C$2:$C$6000,B99,Actuals!$D$2:$D$6000,D99)</f>
        <v>12874.54</v>
      </c>
      <c r="J99" s="14" t="n">
        <f aca="false">E99-I99</f>
        <v>925.459999999999</v>
      </c>
      <c r="K99" s="15" t="n">
        <f aca="false">IF(E99=0,0,I99/E99)</f>
        <v>0.93293768115942</v>
      </c>
      <c r="L99" s="12" t="str">
        <f aca="false">IF(D99="Contingency","Reserve",IF(K99&gt;1,"Overspent",IF(K99&gt;=BudgetNearLimit,"Near limit","Within budget")))</f>
        <v>Near limit</v>
      </c>
    </row>
    <row r="100" customFormat="false" ht="15" hidden="false" customHeight="false" outlineLevel="0" collapsed="false">
      <c r="A100" s="18" t="s">
        <v>975</v>
      </c>
      <c r="B100" s="18" t="s">
        <v>277</v>
      </c>
      <c r="C100" s="21" t="str">
        <f aca="false">IFERROR(INDEX(Projects!$B$2:$B$500,MATCH(B100,Projects!$A$2:$A$500,0)),"")</f>
        <v>Cybersecurity Posture Assessment</v>
      </c>
      <c r="D100" s="18" t="s">
        <v>876</v>
      </c>
      <c r="E100" s="23" t="n">
        <v>5700</v>
      </c>
      <c r="F100" s="19" t="n">
        <v>45803</v>
      </c>
      <c r="G100" s="18" t="s">
        <v>317</v>
      </c>
      <c r="H100" s="18"/>
      <c r="I100" s="14" t="n">
        <f aca="false">SUMIFS(Actuals!$J$2:$J$6000,Actuals!$C$2:$C$6000,B100,Actuals!$D$2:$D$6000,D100)</f>
        <v>5454.26</v>
      </c>
      <c r="J100" s="14" t="n">
        <f aca="false">E100-I100</f>
        <v>245.74</v>
      </c>
      <c r="K100" s="15" t="n">
        <f aca="false">IF(E100=0,0,I100/E100)</f>
        <v>0.956887719298246</v>
      </c>
      <c r="L100" s="12" t="str">
        <f aca="false">IF(D100="Contingency","Reserve",IF(K100&gt;1,"Overspent",IF(K100&gt;=BudgetNearLimit,"Near limit","Within budget")))</f>
        <v>Near limit</v>
      </c>
    </row>
    <row r="101" customFormat="false" ht="15" hidden="false" customHeight="false" outlineLevel="0" collapsed="false">
      <c r="A101" s="18" t="s">
        <v>976</v>
      </c>
      <c r="B101" s="18" t="s">
        <v>277</v>
      </c>
      <c r="C101" s="21" t="str">
        <f aca="false">IFERROR(INDEX(Projects!$B$2:$B$500,MATCH(B101,Projects!$A$2:$A$500,0)),"")</f>
        <v>Cybersecurity Posture Assessment</v>
      </c>
      <c r="D101" s="18" t="s">
        <v>878</v>
      </c>
      <c r="E101" s="23" t="n">
        <v>21800</v>
      </c>
      <c r="F101" s="19" t="n">
        <v>45803</v>
      </c>
      <c r="G101" s="18" t="s">
        <v>317</v>
      </c>
      <c r="H101" s="18" t="s">
        <v>879</v>
      </c>
      <c r="I101" s="14" t="n">
        <f aca="false">SUMIFS(Actuals!$J$2:$J$6000,Actuals!$C$2:$C$6000,B101,Actuals!$D$2:$D$6000,D101)</f>
        <v>0</v>
      </c>
      <c r="J101" s="14" t="n">
        <f aca="false">E101-I101</f>
        <v>21800</v>
      </c>
      <c r="K101" s="15" t="n">
        <f aca="false">IF(E101=0,0,I101/E101)</f>
        <v>0</v>
      </c>
      <c r="L101" s="12" t="str">
        <f aca="false">IF(D101="Contingency","Reserve",IF(K101&gt;1,"Overspent",IF(K101&gt;=BudgetNearLimit,"Near limit","Within budget")))</f>
        <v>Reserve</v>
      </c>
    </row>
    <row r="102" customFormat="false" ht="15" hidden="false" customHeight="false" outlineLevel="0" collapsed="false">
      <c r="A102" s="18" t="s">
        <v>977</v>
      </c>
      <c r="B102" s="18" t="s">
        <v>281</v>
      </c>
      <c r="C102" s="21" t="str">
        <f aca="false">IFERROR(INDEX(Projects!$B$2:$B$500,MATCH(B102,Projects!$A$2:$A$500,0)),"")</f>
        <v>HR Self-Service Portal</v>
      </c>
      <c r="D102" s="18" t="s">
        <v>869</v>
      </c>
      <c r="E102" s="23" t="n">
        <v>449500</v>
      </c>
      <c r="F102" s="19" t="n">
        <v>45773</v>
      </c>
      <c r="G102" s="18" t="s">
        <v>317</v>
      </c>
      <c r="H102" s="18" t="s">
        <v>870</v>
      </c>
      <c r="I102" s="14" t="n">
        <f aca="false">SUMIFS(Actuals!$J$2:$J$6000,Actuals!$C$2:$C$6000,B102,Actuals!$D$2:$D$6000,D102)</f>
        <v>558392.05</v>
      </c>
      <c r="J102" s="14" t="n">
        <f aca="false">E102-I102</f>
        <v>-108892.05</v>
      </c>
      <c r="K102" s="15" t="n">
        <f aca="false">IF(E102=0,0,I102/E102)</f>
        <v>1.24225150166852</v>
      </c>
      <c r="L102" s="12" t="str">
        <f aca="false">IF(D102="Contingency","Reserve",IF(K102&gt;1,"Overspent",IF(K102&gt;=BudgetNearLimit,"Near limit","Within budget")))</f>
        <v>Overspent</v>
      </c>
    </row>
    <row r="103" customFormat="false" ht="15" hidden="false" customHeight="false" outlineLevel="0" collapsed="false">
      <c r="A103" s="18" t="s">
        <v>978</v>
      </c>
      <c r="B103" s="18" t="s">
        <v>281</v>
      </c>
      <c r="C103" s="21" t="str">
        <f aca="false">IFERROR(INDEX(Projects!$B$2:$B$500,MATCH(B103,Projects!$A$2:$A$500,0)),"")</f>
        <v>HR Self-Service Portal</v>
      </c>
      <c r="D103" s="18" t="s">
        <v>872</v>
      </c>
      <c r="E103" s="23" t="n">
        <v>33900</v>
      </c>
      <c r="F103" s="19" t="n">
        <v>45773</v>
      </c>
      <c r="G103" s="18" t="s">
        <v>317</v>
      </c>
      <c r="H103" s="18"/>
      <c r="I103" s="14" t="n">
        <f aca="false">SUMIFS(Actuals!$J$2:$J$6000,Actuals!$C$2:$C$6000,B103,Actuals!$D$2:$D$6000,D103)</f>
        <v>41866.73</v>
      </c>
      <c r="J103" s="14" t="n">
        <f aca="false">E103-I103</f>
        <v>-7966.73</v>
      </c>
      <c r="K103" s="15" t="n">
        <f aca="false">IF(E103=0,0,I103/E103)</f>
        <v>1.23500678466077</v>
      </c>
      <c r="L103" s="12" t="str">
        <f aca="false">IF(D103="Contingency","Reserve",IF(K103&gt;1,"Overspent",IF(K103&gt;=BudgetNearLimit,"Near limit","Within budget")))</f>
        <v>Overspent</v>
      </c>
    </row>
    <row r="104" customFormat="false" ht="15" hidden="false" customHeight="false" outlineLevel="0" collapsed="false">
      <c r="A104" s="18" t="s">
        <v>979</v>
      </c>
      <c r="B104" s="18" t="s">
        <v>281</v>
      </c>
      <c r="C104" s="21" t="str">
        <f aca="false">IFERROR(INDEX(Projects!$B$2:$B$500,MATCH(B104,Projects!$A$2:$A$500,0)),"")</f>
        <v>HR Self-Service Portal</v>
      </c>
      <c r="D104" s="18" t="s">
        <v>874</v>
      </c>
      <c r="E104" s="23" t="n">
        <v>57500</v>
      </c>
      <c r="F104" s="19" t="n">
        <v>45773</v>
      </c>
      <c r="G104" s="18" t="s">
        <v>317</v>
      </c>
      <c r="H104" s="18"/>
      <c r="I104" s="14" t="n">
        <f aca="false">SUMIFS(Actuals!$J$2:$J$6000,Actuals!$C$2:$C$6000,B104,Actuals!$D$2:$D$6000,D104)</f>
        <v>71179.99</v>
      </c>
      <c r="J104" s="14" t="n">
        <f aca="false">E104-I104</f>
        <v>-13679.99</v>
      </c>
      <c r="K104" s="15" t="n">
        <f aca="false">IF(E104=0,0,I104/E104)</f>
        <v>1.23791286956522</v>
      </c>
      <c r="L104" s="12" t="str">
        <f aca="false">IF(D104="Contingency","Reserve",IF(K104&gt;1,"Overspent",IF(K104&gt;=BudgetNearLimit,"Near limit","Within budget")))</f>
        <v>Overspent</v>
      </c>
    </row>
    <row r="105" customFormat="false" ht="15" hidden="false" customHeight="false" outlineLevel="0" collapsed="false">
      <c r="A105" s="18" t="s">
        <v>980</v>
      </c>
      <c r="B105" s="18" t="s">
        <v>281</v>
      </c>
      <c r="C105" s="21" t="str">
        <f aca="false">IFERROR(INDEX(Projects!$B$2:$B$500,MATCH(B105,Projects!$A$2:$A$500,0)),"")</f>
        <v>HR Self-Service Portal</v>
      </c>
      <c r="D105" s="18" t="s">
        <v>495</v>
      </c>
      <c r="E105" s="23" t="n">
        <v>14200</v>
      </c>
      <c r="F105" s="19" t="n">
        <v>45773</v>
      </c>
      <c r="G105" s="18" t="s">
        <v>317</v>
      </c>
      <c r="H105" s="18"/>
      <c r="I105" s="14" t="n">
        <f aca="false">SUMIFS(Actuals!$J$2:$J$6000,Actuals!$C$2:$C$6000,B105,Actuals!$D$2:$D$6000,D105)</f>
        <v>17158.41</v>
      </c>
      <c r="J105" s="14" t="n">
        <f aca="false">E105-I105</f>
        <v>-2958.41</v>
      </c>
      <c r="K105" s="15" t="n">
        <f aca="false">IF(E105=0,0,I105/E105)</f>
        <v>1.20833873239437</v>
      </c>
      <c r="L105" s="12" t="str">
        <f aca="false">IF(D105="Contingency","Reserve",IF(K105&gt;1,"Overspent",IF(K105&gt;=BudgetNearLimit,"Near limit","Within budget")))</f>
        <v>Overspent</v>
      </c>
    </row>
    <row r="106" customFormat="false" ht="15" hidden="false" customHeight="false" outlineLevel="0" collapsed="false">
      <c r="A106" s="18" t="s">
        <v>981</v>
      </c>
      <c r="B106" s="18" t="s">
        <v>281</v>
      </c>
      <c r="C106" s="21" t="str">
        <f aca="false">IFERROR(INDEX(Projects!$B$2:$B$500,MATCH(B106,Projects!$A$2:$A$500,0)),"")</f>
        <v>HR Self-Service Portal</v>
      </c>
      <c r="D106" s="18" t="s">
        <v>876</v>
      </c>
      <c r="E106" s="23" t="n">
        <v>9200</v>
      </c>
      <c r="F106" s="19" t="n">
        <v>45773</v>
      </c>
      <c r="G106" s="18" t="s">
        <v>317</v>
      </c>
      <c r="H106" s="18"/>
      <c r="I106" s="14" t="n">
        <f aca="false">SUMIFS(Actuals!$J$2:$J$6000,Actuals!$C$2:$C$6000,B106,Actuals!$D$2:$D$6000,D106)</f>
        <v>11228.8</v>
      </c>
      <c r="J106" s="14" t="n">
        <f aca="false">E106-I106</f>
        <v>-2028.8</v>
      </c>
      <c r="K106" s="15" t="n">
        <f aca="false">IF(E106=0,0,I106/E106)</f>
        <v>1.22052173913043</v>
      </c>
      <c r="L106" s="12" t="str">
        <f aca="false">IF(D106="Contingency","Reserve",IF(K106&gt;1,"Overspent",IF(K106&gt;=BudgetNearLimit,"Near limit","Within budget")))</f>
        <v>Overspent</v>
      </c>
    </row>
    <row r="107" customFormat="false" ht="15" hidden="false" customHeight="false" outlineLevel="0" collapsed="false">
      <c r="A107" s="18" t="s">
        <v>982</v>
      </c>
      <c r="B107" s="18" t="s">
        <v>281</v>
      </c>
      <c r="C107" s="21" t="str">
        <f aca="false">IFERROR(INDEX(Projects!$B$2:$B$500,MATCH(B107,Projects!$A$2:$A$500,0)),"")</f>
        <v>HR Self-Service Portal</v>
      </c>
      <c r="D107" s="18" t="s">
        <v>878</v>
      </c>
      <c r="E107" s="23" t="n">
        <v>44900</v>
      </c>
      <c r="F107" s="19" t="n">
        <v>45773</v>
      </c>
      <c r="G107" s="18" t="s">
        <v>317</v>
      </c>
      <c r="H107" s="18" t="s">
        <v>879</v>
      </c>
      <c r="I107" s="14" t="n">
        <f aca="false">SUMIFS(Actuals!$J$2:$J$6000,Actuals!$C$2:$C$6000,B107,Actuals!$D$2:$D$6000,D107)</f>
        <v>0</v>
      </c>
      <c r="J107" s="14" t="n">
        <f aca="false">E107-I107</f>
        <v>44900</v>
      </c>
      <c r="K107" s="15" t="n">
        <f aca="false">IF(E107=0,0,I107/E107)</f>
        <v>0</v>
      </c>
      <c r="L107" s="12" t="str">
        <f aca="false">IF(D107="Contingency","Reserve",IF(K107&gt;1,"Overspent",IF(K107&gt;=BudgetNearLimit,"Near limit","Within budget")))</f>
        <v>Reserve</v>
      </c>
    </row>
    <row r="108" customFormat="false" ht="15" hidden="false" customHeight="false" outlineLevel="0" collapsed="false">
      <c r="A108" s="18" t="s">
        <v>983</v>
      </c>
      <c r="B108" s="18" t="s">
        <v>283</v>
      </c>
      <c r="C108" s="21" t="str">
        <f aca="false">IFERROR(INDEX(Projects!$B$2:$B$500,MATCH(B108,Projects!$A$2:$A$500,0)),"")</f>
        <v>Demand Forecasting Model</v>
      </c>
      <c r="D108" s="18" t="s">
        <v>869</v>
      </c>
      <c r="E108" s="23" t="n">
        <v>332300</v>
      </c>
      <c r="F108" s="19" t="n">
        <v>45917</v>
      </c>
      <c r="G108" s="18" t="s">
        <v>317</v>
      </c>
      <c r="H108" s="18" t="s">
        <v>870</v>
      </c>
      <c r="I108" s="14" t="n">
        <f aca="false">SUMIFS(Actuals!$J$2:$J$6000,Actuals!$C$2:$C$6000,B108,Actuals!$D$2:$D$6000,D108)</f>
        <v>322840.23</v>
      </c>
      <c r="J108" s="14" t="n">
        <f aca="false">E108-I108</f>
        <v>9459.77000000002</v>
      </c>
      <c r="K108" s="15" t="n">
        <f aca="false">IF(E108=0,0,I108/E108)</f>
        <v>0.971532440565754</v>
      </c>
      <c r="L108" s="12" t="str">
        <f aca="false">IF(D108="Contingency","Reserve",IF(K108&gt;1,"Overspent",IF(K108&gt;=BudgetNearLimit,"Near limit","Within budget")))</f>
        <v>Near limit</v>
      </c>
    </row>
    <row r="109" customFormat="false" ht="15" hidden="false" customHeight="false" outlineLevel="0" collapsed="false">
      <c r="A109" s="18" t="s">
        <v>984</v>
      </c>
      <c r="B109" s="18" t="s">
        <v>283</v>
      </c>
      <c r="C109" s="21" t="str">
        <f aca="false">IFERROR(INDEX(Projects!$B$2:$B$500,MATCH(B109,Projects!$A$2:$A$500,0)),"")</f>
        <v>Demand Forecasting Model</v>
      </c>
      <c r="D109" s="18" t="s">
        <v>889</v>
      </c>
      <c r="E109" s="23" t="n">
        <v>31000</v>
      </c>
      <c r="F109" s="19" t="n">
        <v>45917</v>
      </c>
      <c r="G109" s="18" t="s">
        <v>317</v>
      </c>
      <c r="H109" s="18"/>
      <c r="I109" s="14" t="n">
        <f aca="false">SUMIFS(Actuals!$J$2:$J$6000,Actuals!$C$2:$C$6000,B109,Actuals!$D$2:$D$6000,D109)</f>
        <v>29657.05</v>
      </c>
      <c r="J109" s="14" t="n">
        <f aca="false">E109-I109</f>
        <v>1342.95</v>
      </c>
      <c r="K109" s="15" t="n">
        <f aca="false">IF(E109=0,0,I109/E109)</f>
        <v>0.956679032258065</v>
      </c>
      <c r="L109" s="12" t="str">
        <f aca="false">IF(D109="Contingency","Reserve",IF(K109&gt;1,"Overspent",IF(K109&gt;=BudgetNearLimit,"Near limit","Within budget")))</f>
        <v>Near limit</v>
      </c>
    </row>
    <row r="110" customFormat="false" ht="15" hidden="false" customHeight="false" outlineLevel="0" collapsed="false">
      <c r="A110" s="18" t="s">
        <v>985</v>
      </c>
      <c r="B110" s="18" t="s">
        <v>283</v>
      </c>
      <c r="C110" s="21" t="str">
        <f aca="false">IFERROR(INDEX(Projects!$B$2:$B$500,MATCH(B110,Projects!$A$2:$A$500,0)),"")</f>
        <v>Demand Forecasting Model</v>
      </c>
      <c r="D110" s="18" t="s">
        <v>872</v>
      </c>
      <c r="E110" s="23" t="n">
        <v>20600</v>
      </c>
      <c r="F110" s="19" t="n">
        <v>45917</v>
      </c>
      <c r="G110" s="18" t="s">
        <v>317</v>
      </c>
      <c r="H110" s="18"/>
      <c r="I110" s="14" t="n">
        <f aca="false">SUMIFS(Actuals!$J$2:$J$6000,Actuals!$C$2:$C$6000,B110,Actuals!$D$2:$D$6000,D110)</f>
        <v>19352.68</v>
      </c>
      <c r="J110" s="14" t="n">
        <f aca="false">E110-I110</f>
        <v>1247.32</v>
      </c>
      <c r="K110" s="15" t="n">
        <f aca="false">IF(E110=0,0,I110/E110)</f>
        <v>0.939450485436893</v>
      </c>
      <c r="L110" s="12" t="str">
        <f aca="false">IF(D110="Contingency","Reserve",IF(K110&gt;1,"Overspent",IF(K110&gt;=BudgetNearLimit,"Near limit","Within budget")))</f>
        <v>Near limit</v>
      </c>
    </row>
    <row r="111" customFormat="false" ht="15" hidden="false" customHeight="false" outlineLevel="0" collapsed="false">
      <c r="A111" s="18" t="s">
        <v>986</v>
      </c>
      <c r="B111" s="18" t="s">
        <v>283</v>
      </c>
      <c r="C111" s="21" t="str">
        <f aca="false">IFERROR(INDEX(Projects!$B$2:$B$500,MATCH(B111,Projects!$A$2:$A$500,0)),"")</f>
        <v>Demand Forecasting Model</v>
      </c>
      <c r="D111" s="18" t="s">
        <v>876</v>
      </c>
      <c r="E111" s="23" t="n">
        <v>4700</v>
      </c>
      <c r="F111" s="19" t="n">
        <v>45917</v>
      </c>
      <c r="G111" s="18" t="s">
        <v>317</v>
      </c>
      <c r="H111" s="18"/>
      <c r="I111" s="14" t="n">
        <f aca="false">SUMIFS(Actuals!$J$2:$J$6000,Actuals!$C$2:$C$6000,B111,Actuals!$D$2:$D$6000,D111)</f>
        <v>4706.94</v>
      </c>
      <c r="J111" s="14" t="n">
        <f aca="false">E111-I111</f>
        <v>-6.94000000000051</v>
      </c>
      <c r="K111" s="15" t="n">
        <f aca="false">IF(E111=0,0,I111/E111)</f>
        <v>1.00147659574468</v>
      </c>
      <c r="L111" s="12" t="str">
        <f aca="false">IF(D111="Contingency","Reserve",IF(K111&gt;1,"Overspent",IF(K111&gt;=BudgetNearLimit,"Near limit","Within budget")))</f>
        <v>Overspent</v>
      </c>
    </row>
    <row r="112" customFormat="false" ht="15" hidden="false" customHeight="false" outlineLevel="0" collapsed="false">
      <c r="A112" s="18" t="s">
        <v>987</v>
      </c>
      <c r="B112" s="18" t="s">
        <v>283</v>
      </c>
      <c r="C112" s="21" t="str">
        <f aca="false">IFERROR(INDEX(Projects!$B$2:$B$500,MATCH(B112,Projects!$A$2:$A$500,0)),"")</f>
        <v>Demand Forecasting Model</v>
      </c>
      <c r="D112" s="18" t="s">
        <v>878</v>
      </c>
      <c r="E112" s="23" t="n">
        <v>24300</v>
      </c>
      <c r="F112" s="19" t="n">
        <v>45917</v>
      </c>
      <c r="G112" s="18" t="s">
        <v>317</v>
      </c>
      <c r="H112" s="18" t="s">
        <v>879</v>
      </c>
      <c r="I112" s="14" t="n">
        <f aca="false">SUMIFS(Actuals!$J$2:$J$6000,Actuals!$C$2:$C$6000,B112,Actuals!$D$2:$D$6000,D112)</f>
        <v>0</v>
      </c>
      <c r="J112" s="14" t="n">
        <f aca="false">E112-I112</f>
        <v>24300</v>
      </c>
      <c r="K112" s="15" t="n">
        <f aca="false">IF(E112=0,0,I112/E112)</f>
        <v>0</v>
      </c>
      <c r="L112" s="12" t="str">
        <f aca="false">IF(D112="Contingency","Reserve",IF(K112&gt;1,"Overspent",IF(K112&gt;=BudgetNearLimit,"Near limit","Within budget")))</f>
        <v>Reserve</v>
      </c>
    </row>
    <row r="113" customFormat="false" ht="15" hidden="false" customHeight="false" outlineLevel="0" collapsed="false">
      <c r="A113" s="18" t="s">
        <v>988</v>
      </c>
      <c r="B113" s="18" t="s">
        <v>285</v>
      </c>
      <c r="C113" s="21" t="str">
        <f aca="false">IFERROR(INDEX(Projects!$B$2:$B$500,MATCH(B113,Projects!$A$2:$A$500,0)),"")</f>
        <v>Field Service Mobile App</v>
      </c>
      <c r="D113" s="18" t="s">
        <v>869</v>
      </c>
      <c r="E113" s="23" t="n">
        <v>307200</v>
      </c>
      <c r="F113" s="19" t="n">
        <v>46049</v>
      </c>
      <c r="G113" s="18" t="s">
        <v>325</v>
      </c>
      <c r="H113" s="18" t="s">
        <v>870</v>
      </c>
      <c r="I113" s="14" t="n">
        <f aca="false">SUMIFS(Actuals!$J$2:$J$6000,Actuals!$C$2:$C$6000,B113,Actuals!$D$2:$D$6000,D113)</f>
        <v>148835.43</v>
      </c>
      <c r="J113" s="14" t="n">
        <f aca="false">E113-I113</f>
        <v>158364.57</v>
      </c>
      <c r="K113" s="15" t="n">
        <f aca="false">IF(E113=0,0,I113/E113)</f>
        <v>0.48449033203125</v>
      </c>
      <c r="L113" s="12" t="str">
        <f aca="false">IF(D113="Contingency","Reserve",IF(K113&gt;1,"Overspent",IF(K113&gt;=BudgetNearLimit,"Near limit","Within budget")))</f>
        <v>Within budget</v>
      </c>
    </row>
    <row r="114" customFormat="false" ht="15" hidden="false" customHeight="false" outlineLevel="0" collapsed="false">
      <c r="A114" s="18" t="s">
        <v>989</v>
      </c>
      <c r="B114" s="18" t="s">
        <v>285</v>
      </c>
      <c r="C114" s="21" t="str">
        <f aca="false">IFERROR(INDEX(Projects!$B$2:$B$500,MATCH(B114,Projects!$A$2:$A$500,0)),"")</f>
        <v>Field Service Mobile App</v>
      </c>
      <c r="D114" s="18" t="s">
        <v>882</v>
      </c>
      <c r="E114" s="23" t="n">
        <v>30500</v>
      </c>
      <c r="F114" s="19" t="n">
        <v>46049</v>
      </c>
      <c r="G114" s="18" t="s">
        <v>325</v>
      </c>
      <c r="H114" s="18"/>
      <c r="I114" s="14" t="n">
        <f aca="false">SUMIFS(Actuals!$J$2:$J$6000,Actuals!$C$2:$C$6000,B114,Actuals!$D$2:$D$6000,D114)</f>
        <v>18097.28</v>
      </c>
      <c r="J114" s="14" t="n">
        <f aca="false">E114-I114</f>
        <v>12402.72</v>
      </c>
      <c r="K114" s="15" t="n">
        <f aca="false">IF(E114=0,0,I114/E114)</f>
        <v>0.593353442622951</v>
      </c>
      <c r="L114" s="12" t="str">
        <f aca="false">IF(D114="Contingency","Reserve",IF(K114&gt;1,"Overspent",IF(K114&gt;=BudgetNearLimit,"Near limit","Within budget")))</f>
        <v>Within budget</v>
      </c>
    </row>
    <row r="115" customFormat="false" ht="15" hidden="false" customHeight="false" outlineLevel="0" collapsed="false">
      <c r="A115" s="18" t="s">
        <v>990</v>
      </c>
      <c r="B115" s="18" t="s">
        <v>285</v>
      </c>
      <c r="C115" s="21" t="str">
        <f aca="false">IFERROR(INDEX(Projects!$B$2:$B$500,MATCH(B115,Projects!$A$2:$A$500,0)),"")</f>
        <v>Field Service Mobile App</v>
      </c>
      <c r="D115" s="18" t="s">
        <v>872</v>
      </c>
      <c r="E115" s="23" t="n">
        <v>15200</v>
      </c>
      <c r="F115" s="19" t="n">
        <v>46049</v>
      </c>
      <c r="G115" s="18" t="s">
        <v>325</v>
      </c>
      <c r="H115" s="18"/>
      <c r="I115" s="14" t="n">
        <f aca="false">SUMIFS(Actuals!$J$2:$J$6000,Actuals!$C$2:$C$6000,B115,Actuals!$D$2:$D$6000,D115)</f>
        <v>8362.39</v>
      </c>
      <c r="J115" s="14" t="n">
        <f aca="false">E115-I115</f>
        <v>6837.61</v>
      </c>
      <c r="K115" s="15" t="n">
        <f aca="false">IF(E115=0,0,I115/E115)</f>
        <v>0.550157236842105</v>
      </c>
      <c r="L115" s="12" t="str">
        <f aca="false">IF(D115="Contingency","Reserve",IF(K115&gt;1,"Overspent",IF(K115&gt;=BudgetNearLimit,"Near limit","Within budget")))</f>
        <v>Within budget</v>
      </c>
    </row>
    <row r="116" customFormat="false" ht="15" hidden="false" customHeight="false" outlineLevel="0" collapsed="false">
      <c r="A116" s="18" t="s">
        <v>991</v>
      </c>
      <c r="B116" s="18" t="s">
        <v>285</v>
      </c>
      <c r="C116" s="21" t="str">
        <f aca="false">IFERROR(INDEX(Projects!$B$2:$B$500,MATCH(B116,Projects!$A$2:$A$500,0)),"")</f>
        <v>Field Service Mobile App</v>
      </c>
      <c r="D116" s="18" t="s">
        <v>495</v>
      </c>
      <c r="E116" s="23" t="n">
        <v>8300</v>
      </c>
      <c r="F116" s="19" t="n">
        <v>46049</v>
      </c>
      <c r="G116" s="18" t="s">
        <v>325</v>
      </c>
      <c r="H116" s="18"/>
      <c r="I116" s="14" t="n">
        <f aca="false">SUMIFS(Actuals!$J$2:$J$6000,Actuals!$C$2:$C$6000,B116,Actuals!$D$2:$D$6000,D116)</f>
        <v>4724.28</v>
      </c>
      <c r="J116" s="14" t="n">
        <f aca="false">E116-I116</f>
        <v>3575.72</v>
      </c>
      <c r="K116" s="15" t="n">
        <f aca="false">IF(E116=0,0,I116/E116)</f>
        <v>0.569190361445783</v>
      </c>
      <c r="L116" s="12" t="str">
        <f aca="false">IF(D116="Contingency","Reserve",IF(K116&gt;1,"Overspent",IF(K116&gt;=BudgetNearLimit,"Near limit","Within budget")))</f>
        <v>Within budget</v>
      </c>
    </row>
    <row r="117" customFormat="false" ht="15" hidden="false" customHeight="false" outlineLevel="0" collapsed="false">
      <c r="A117" s="18" t="s">
        <v>992</v>
      </c>
      <c r="B117" s="18" t="s">
        <v>285</v>
      </c>
      <c r="C117" s="21" t="str">
        <f aca="false">IFERROR(INDEX(Projects!$B$2:$B$500,MATCH(B117,Projects!$A$2:$A$500,0)),"")</f>
        <v>Field Service Mobile App</v>
      </c>
      <c r="D117" s="18" t="s">
        <v>876</v>
      </c>
      <c r="E117" s="23" t="n">
        <v>6700</v>
      </c>
      <c r="F117" s="19" t="n">
        <v>46049</v>
      </c>
      <c r="G117" s="18" t="s">
        <v>325</v>
      </c>
      <c r="H117" s="18"/>
      <c r="I117" s="14" t="n">
        <f aca="false">SUMIFS(Actuals!$J$2:$J$6000,Actuals!$C$2:$C$6000,B117,Actuals!$D$2:$D$6000,D117)</f>
        <v>3576.49</v>
      </c>
      <c r="J117" s="14" t="n">
        <f aca="false">E117-I117</f>
        <v>3123.51</v>
      </c>
      <c r="K117" s="15" t="n">
        <f aca="false">IF(E117=0,0,I117/E117)</f>
        <v>0.53380447761194</v>
      </c>
      <c r="L117" s="12" t="str">
        <f aca="false">IF(D117="Contingency","Reserve",IF(K117&gt;1,"Overspent",IF(K117&gt;=BudgetNearLimit,"Near limit","Within budget")))</f>
        <v>Within budget</v>
      </c>
    </row>
    <row r="118" customFormat="false" ht="15" hidden="false" customHeight="false" outlineLevel="0" collapsed="false">
      <c r="A118" s="18" t="s">
        <v>993</v>
      </c>
      <c r="B118" s="18" t="s">
        <v>285</v>
      </c>
      <c r="C118" s="21" t="str">
        <f aca="false">IFERROR(INDEX(Projects!$B$2:$B$500,MATCH(B118,Projects!$A$2:$A$500,0)),"")</f>
        <v>Field Service Mobile App</v>
      </c>
      <c r="D118" s="18" t="s">
        <v>878</v>
      </c>
      <c r="E118" s="23" t="n">
        <v>30700</v>
      </c>
      <c r="F118" s="19" t="n">
        <v>46049</v>
      </c>
      <c r="G118" s="18" t="s">
        <v>325</v>
      </c>
      <c r="H118" s="18" t="s">
        <v>879</v>
      </c>
      <c r="I118" s="14" t="n">
        <f aca="false">SUMIFS(Actuals!$J$2:$J$6000,Actuals!$C$2:$C$6000,B118,Actuals!$D$2:$D$6000,D118)</f>
        <v>0</v>
      </c>
      <c r="J118" s="14" t="n">
        <f aca="false">E118-I118</f>
        <v>30700</v>
      </c>
      <c r="K118" s="15" t="n">
        <f aca="false">IF(E118=0,0,I118/E118)</f>
        <v>0</v>
      </c>
      <c r="L118" s="12" t="str">
        <f aca="false">IF(D118="Contingency","Reserve",IF(K118&gt;1,"Overspent",IF(K118&gt;=BudgetNearLimit,"Near limit","Within budget")))</f>
        <v>Reserve</v>
      </c>
    </row>
    <row r="119" customFormat="false" ht="15" hidden="false" customHeight="false" outlineLevel="0" collapsed="false">
      <c r="A119" s="18" t="s">
        <v>994</v>
      </c>
      <c r="B119" s="18" t="s">
        <v>288</v>
      </c>
      <c r="C119" s="21" t="str">
        <f aca="false">IFERROR(INDEX(Projects!$B$2:$B$500,MATCH(B119,Projects!$A$2:$A$500,0)),"")</f>
        <v>Regulatory Reporting Automation</v>
      </c>
      <c r="D119" s="18" t="s">
        <v>869</v>
      </c>
      <c r="E119" s="23" t="n">
        <v>261600</v>
      </c>
      <c r="F119" s="19" t="n">
        <v>46266</v>
      </c>
      <c r="G119" s="18" t="s">
        <v>325</v>
      </c>
      <c r="H119" s="18" t="s">
        <v>870</v>
      </c>
      <c r="I119" s="14" t="n">
        <f aca="false">SUMIFS(Actuals!$J$2:$J$6000,Actuals!$C$2:$C$6000,B119,Actuals!$D$2:$D$6000,D119)</f>
        <v>0</v>
      </c>
      <c r="J119" s="14" t="n">
        <f aca="false">E119-I119</f>
        <v>261600</v>
      </c>
      <c r="K119" s="15" t="n">
        <f aca="false">IF(E119=0,0,I119/E119)</f>
        <v>0</v>
      </c>
      <c r="L119" s="12" t="str">
        <f aca="false">IF(D119="Contingency","Reserve",IF(K119&gt;1,"Overspent",IF(K119&gt;=BudgetNearLimit,"Near limit","Within budget")))</f>
        <v>Within budget</v>
      </c>
    </row>
    <row r="120" customFormat="false" ht="15" hidden="false" customHeight="false" outlineLevel="0" collapsed="false">
      <c r="A120" s="18" t="s">
        <v>995</v>
      </c>
      <c r="B120" s="18" t="s">
        <v>288</v>
      </c>
      <c r="C120" s="21" t="str">
        <f aca="false">IFERROR(INDEX(Projects!$B$2:$B$500,MATCH(B120,Projects!$A$2:$A$500,0)),"")</f>
        <v>Regulatory Reporting Automation</v>
      </c>
      <c r="D120" s="18" t="s">
        <v>882</v>
      </c>
      <c r="E120" s="23" t="n">
        <v>26000</v>
      </c>
      <c r="F120" s="19" t="n">
        <v>46266</v>
      </c>
      <c r="G120" s="18" t="s">
        <v>325</v>
      </c>
      <c r="H120" s="18"/>
      <c r="I120" s="14" t="n">
        <f aca="false">SUMIFS(Actuals!$J$2:$J$6000,Actuals!$C$2:$C$6000,B120,Actuals!$D$2:$D$6000,D120)</f>
        <v>0</v>
      </c>
      <c r="J120" s="14" t="n">
        <f aca="false">E120-I120</f>
        <v>26000</v>
      </c>
      <c r="K120" s="15" t="n">
        <f aca="false">IF(E120=0,0,I120/E120)</f>
        <v>0</v>
      </c>
      <c r="L120" s="12" t="str">
        <f aca="false">IF(D120="Contingency","Reserve",IF(K120&gt;1,"Overspent",IF(K120&gt;=BudgetNearLimit,"Near limit","Within budget")))</f>
        <v>Within budget</v>
      </c>
    </row>
    <row r="121" customFormat="false" ht="15" hidden="false" customHeight="false" outlineLevel="0" collapsed="false">
      <c r="A121" s="18" t="s">
        <v>996</v>
      </c>
      <c r="B121" s="18" t="s">
        <v>288</v>
      </c>
      <c r="C121" s="21" t="str">
        <f aca="false">IFERROR(INDEX(Projects!$B$2:$B$500,MATCH(B121,Projects!$A$2:$A$500,0)),"")</f>
        <v>Regulatory Reporting Automation</v>
      </c>
      <c r="D121" s="18" t="s">
        <v>872</v>
      </c>
      <c r="E121" s="23" t="n">
        <v>12700</v>
      </c>
      <c r="F121" s="19" t="n">
        <v>46266</v>
      </c>
      <c r="G121" s="18" t="s">
        <v>325</v>
      </c>
      <c r="H121" s="18"/>
      <c r="I121" s="14" t="n">
        <f aca="false">SUMIFS(Actuals!$J$2:$J$6000,Actuals!$C$2:$C$6000,B121,Actuals!$D$2:$D$6000,D121)</f>
        <v>0</v>
      </c>
      <c r="J121" s="14" t="n">
        <f aca="false">E121-I121</f>
        <v>12700</v>
      </c>
      <c r="K121" s="15" t="n">
        <f aca="false">IF(E121=0,0,I121/E121)</f>
        <v>0</v>
      </c>
      <c r="L121" s="12" t="str">
        <f aca="false">IF(D121="Contingency","Reserve",IF(K121&gt;1,"Overspent",IF(K121&gt;=BudgetNearLimit,"Near limit","Within budget")))</f>
        <v>Within budget</v>
      </c>
    </row>
    <row r="122" customFormat="false" ht="15" hidden="false" customHeight="false" outlineLevel="0" collapsed="false">
      <c r="A122" s="18" t="s">
        <v>997</v>
      </c>
      <c r="B122" s="18" t="s">
        <v>288</v>
      </c>
      <c r="C122" s="21" t="str">
        <f aca="false">IFERROR(INDEX(Projects!$B$2:$B$500,MATCH(B122,Projects!$A$2:$A$500,0)),"")</f>
        <v>Regulatory Reporting Automation</v>
      </c>
      <c r="D122" s="18" t="s">
        <v>495</v>
      </c>
      <c r="E122" s="23" t="n">
        <v>8400</v>
      </c>
      <c r="F122" s="19" t="n">
        <v>46266</v>
      </c>
      <c r="G122" s="18" t="s">
        <v>325</v>
      </c>
      <c r="H122" s="18"/>
      <c r="I122" s="14" t="n">
        <f aca="false">SUMIFS(Actuals!$J$2:$J$6000,Actuals!$C$2:$C$6000,B122,Actuals!$D$2:$D$6000,D122)</f>
        <v>0</v>
      </c>
      <c r="J122" s="14" t="n">
        <f aca="false">E122-I122</f>
        <v>8400</v>
      </c>
      <c r="K122" s="15" t="n">
        <f aca="false">IF(E122=0,0,I122/E122)</f>
        <v>0</v>
      </c>
      <c r="L122" s="12" t="str">
        <f aca="false">IF(D122="Contingency","Reserve",IF(K122&gt;1,"Overspent",IF(K122&gt;=BudgetNearLimit,"Near limit","Within budget")))</f>
        <v>Within budget</v>
      </c>
    </row>
    <row r="123" customFormat="false" ht="15" hidden="false" customHeight="false" outlineLevel="0" collapsed="false">
      <c r="A123" s="18" t="s">
        <v>998</v>
      </c>
      <c r="B123" s="18" t="s">
        <v>288</v>
      </c>
      <c r="C123" s="21" t="str">
        <f aca="false">IFERROR(INDEX(Projects!$B$2:$B$500,MATCH(B123,Projects!$A$2:$A$500,0)),"")</f>
        <v>Regulatory Reporting Automation</v>
      </c>
      <c r="D123" s="18" t="s">
        <v>876</v>
      </c>
      <c r="E123" s="23" t="n">
        <v>5600</v>
      </c>
      <c r="F123" s="19" t="n">
        <v>46266</v>
      </c>
      <c r="G123" s="18" t="s">
        <v>325</v>
      </c>
      <c r="H123" s="18"/>
      <c r="I123" s="14" t="n">
        <f aca="false">SUMIFS(Actuals!$J$2:$J$6000,Actuals!$C$2:$C$6000,B123,Actuals!$D$2:$D$6000,D123)</f>
        <v>0</v>
      </c>
      <c r="J123" s="14" t="n">
        <f aca="false">E123-I123</f>
        <v>5600</v>
      </c>
      <c r="K123" s="15" t="n">
        <f aca="false">IF(E123=0,0,I123/E123)</f>
        <v>0</v>
      </c>
      <c r="L123" s="12" t="str">
        <f aca="false">IF(D123="Contingency","Reserve",IF(K123&gt;1,"Overspent",IF(K123&gt;=BudgetNearLimit,"Near limit","Within budget")))</f>
        <v>Within budget</v>
      </c>
    </row>
    <row r="124" customFormat="false" ht="15" hidden="false" customHeight="false" outlineLevel="0" collapsed="false">
      <c r="A124" s="18" t="s">
        <v>999</v>
      </c>
      <c r="B124" s="18" t="s">
        <v>288</v>
      </c>
      <c r="C124" s="21" t="str">
        <f aca="false">IFERROR(INDEX(Projects!$B$2:$B$500,MATCH(B124,Projects!$A$2:$A$500,0)),"")</f>
        <v>Regulatory Reporting Automation</v>
      </c>
      <c r="D124" s="18" t="s">
        <v>878</v>
      </c>
      <c r="E124" s="23" t="n">
        <v>26200</v>
      </c>
      <c r="F124" s="19" t="n">
        <v>46266</v>
      </c>
      <c r="G124" s="18" t="s">
        <v>325</v>
      </c>
      <c r="H124" s="18" t="s">
        <v>879</v>
      </c>
      <c r="I124" s="14" t="n">
        <f aca="false">SUMIFS(Actuals!$J$2:$J$6000,Actuals!$C$2:$C$6000,B124,Actuals!$D$2:$D$6000,D124)</f>
        <v>0</v>
      </c>
      <c r="J124" s="14" t="n">
        <f aca="false">E124-I124</f>
        <v>26200</v>
      </c>
      <c r="K124" s="15" t="n">
        <f aca="false">IF(E124=0,0,I124/E124)</f>
        <v>0</v>
      </c>
      <c r="L124" s="12" t="str">
        <f aca="false">IF(D124="Contingency","Reserve",IF(K124&gt;1,"Overspent",IF(K124&gt;=BudgetNearLimit,"Near limit","Within budget")))</f>
        <v>Reserve</v>
      </c>
    </row>
    <row r="125" customFormat="false" ht="15" hidden="false" customHeight="false" outlineLevel="0" collapsed="false">
      <c r="A125" s="18" t="s">
        <v>1000</v>
      </c>
      <c r="B125" s="18" t="s">
        <v>292</v>
      </c>
      <c r="C125" s="21" t="str">
        <f aca="false">IFERROR(INDEX(Projects!$B$2:$B$500,MATCH(B125,Projects!$A$2:$A$500,0)),"")</f>
        <v>GenAI Knowledge Assistant</v>
      </c>
      <c r="D125" s="18" t="s">
        <v>869</v>
      </c>
      <c r="E125" s="23" t="n">
        <v>270800</v>
      </c>
      <c r="F125" s="19" t="n">
        <v>46307</v>
      </c>
      <c r="G125" s="18" t="s">
        <v>325</v>
      </c>
      <c r="H125" s="18" t="s">
        <v>870</v>
      </c>
      <c r="I125" s="14" t="n">
        <f aca="false">SUMIFS(Actuals!$J$2:$J$6000,Actuals!$C$2:$C$6000,B125,Actuals!$D$2:$D$6000,D125)</f>
        <v>0</v>
      </c>
      <c r="J125" s="14" t="n">
        <f aca="false">E125-I125</f>
        <v>270800</v>
      </c>
      <c r="K125" s="15" t="n">
        <f aca="false">IF(E125=0,0,I125/E125)</f>
        <v>0</v>
      </c>
      <c r="L125" s="12" t="str">
        <f aca="false">IF(D125="Contingency","Reserve",IF(K125&gt;1,"Overspent",IF(K125&gt;=BudgetNearLimit,"Near limit","Within budget")))</f>
        <v>Within budget</v>
      </c>
    </row>
    <row r="126" customFormat="false" ht="15" hidden="false" customHeight="false" outlineLevel="0" collapsed="false">
      <c r="A126" s="18" t="s">
        <v>1001</v>
      </c>
      <c r="B126" s="18" t="s">
        <v>292</v>
      </c>
      <c r="C126" s="21" t="str">
        <f aca="false">IFERROR(INDEX(Projects!$B$2:$B$500,MATCH(B126,Projects!$A$2:$A$500,0)),"")</f>
        <v>GenAI Knowledge Assistant</v>
      </c>
      <c r="D126" s="18" t="s">
        <v>889</v>
      </c>
      <c r="E126" s="23" t="n">
        <v>22000</v>
      </c>
      <c r="F126" s="19" t="n">
        <v>46307</v>
      </c>
      <c r="G126" s="18" t="s">
        <v>325</v>
      </c>
      <c r="H126" s="18"/>
      <c r="I126" s="14" t="n">
        <f aca="false">SUMIFS(Actuals!$J$2:$J$6000,Actuals!$C$2:$C$6000,B126,Actuals!$D$2:$D$6000,D126)</f>
        <v>0</v>
      </c>
      <c r="J126" s="14" t="n">
        <f aca="false">E126-I126</f>
        <v>22000</v>
      </c>
      <c r="K126" s="15" t="n">
        <f aca="false">IF(E126=0,0,I126/E126)</f>
        <v>0</v>
      </c>
      <c r="L126" s="12" t="str">
        <f aca="false">IF(D126="Contingency","Reserve",IF(K126&gt;1,"Overspent",IF(K126&gt;=BudgetNearLimit,"Near limit","Within budget")))</f>
        <v>Within budget</v>
      </c>
    </row>
    <row r="127" customFormat="false" ht="15" hidden="false" customHeight="false" outlineLevel="0" collapsed="false">
      <c r="A127" s="18" t="s">
        <v>1002</v>
      </c>
      <c r="B127" s="18" t="s">
        <v>292</v>
      </c>
      <c r="C127" s="21" t="str">
        <f aca="false">IFERROR(INDEX(Projects!$B$2:$B$500,MATCH(B127,Projects!$A$2:$A$500,0)),"")</f>
        <v>GenAI Knowledge Assistant</v>
      </c>
      <c r="D127" s="18" t="s">
        <v>872</v>
      </c>
      <c r="E127" s="23" t="n">
        <v>15400</v>
      </c>
      <c r="F127" s="19" t="n">
        <v>46307</v>
      </c>
      <c r="G127" s="18" t="s">
        <v>325</v>
      </c>
      <c r="H127" s="18"/>
      <c r="I127" s="14" t="n">
        <f aca="false">SUMIFS(Actuals!$J$2:$J$6000,Actuals!$C$2:$C$6000,B127,Actuals!$D$2:$D$6000,D127)</f>
        <v>0</v>
      </c>
      <c r="J127" s="14" t="n">
        <f aca="false">E127-I127</f>
        <v>15400</v>
      </c>
      <c r="K127" s="15" t="n">
        <f aca="false">IF(E127=0,0,I127/E127)</f>
        <v>0</v>
      </c>
      <c r="L127" s="12" t="str">
        <f aca="false">IF(D127="Contingency","Reserve",IF(K127&gt;1,"Overspent",IF(K127&gt;=BudgetNearLimit,"Near limit","Within budget")))</f>
        <v>Within budget</v>
      </c>
    </row>
    <row r="128" customFormat="false" ht="15" hidden="false" customHeight="false" outlineLevel="0" collapsed="false">
      <c r="A128" s="18" t="s">
        <v>1003</v>
      </c>
      <c r="B128" s="18" t="s">
        <v>292</v>
      </c>
      <c r="C128" s="21" t="str">
        <f aca="false">IFERROR(INDEX(Projects!$B$2:$B$500,MATCH(B128,Projects!$A$2:$A$500,0)),"")</f>
        <v>GenAI Knowledge Assistant</v>
      </c>
      <c r="D128" s="18" t="s">
        <v>876</v>
      </c>
      <c r="E128" s="23" t="n">
        <v>4700</v>
      </c>
      <c r="F128" s="19" t="n">
        <v>46307</v>
      </c>
      <c r="G128" s="18" t="s">
        <v>325</v>
      </c>
      <c r="H128" s="18"/>
      <c r="I128" s="14" t="n">
        <f aca="false">SUMIFS(Actuals!$J$2:$J$6000,Actuals!$C$2:$C$6000,B128,Actuals!$D$2:$D$6000,D128)</f>
        <v>0</v>
      </c>
      <c r="J128" s="14" t="n">
        <f aca="false">E128-I128</f>
        <v>4700</v>
      </c>
      <c r="K128" s="15" t="n">
        <f aca="false">IF(E128=0,0,I128/E128)</f>
        <v>0</v>
      </c>
      <c r="L128" s="12" t="str">
        <f aca="false">IF(D128="Contingency","Reserve",IF(K128&gt;1,"Overspent",IF(K128&gt;=BudgetNearLimit,"Near limit","Within budget")))</f>
        <v>Within budget</v>
      </c>
    </row>
    <row r="129" customFormat="false" ht="15" hidden="false" customHeight="false" outlineLevel="0" collapsed="false">
      <c r="A129" s="18" t="s">
        <v>1004</v>
      </c>
      <c r="B129" s="18" t="s">
        <v>292</v>
      </c>
      <c r="C129" s="21" t="str">
        <f aca="false">IFERROR(INDEX(Projects!$B$2:$B$500,MATCH(B129,Projects!$A$2:$A$500,0)),"")</f>
        <v>GenAI Knowledge Assistant</v>
      </c>
      <c r="D129" s="18" t="s">
        <v>878</v>
      </c>
      <c r="E129" s="23" t="n">
        <v>27100</v>
      </c>
      <c r="F129" s="19" t="n">
        <v>46307</v>
      </c>
      <c r="G129" s="18" t="s">
        <v>325</v>
      </c>
      <c r="H129" s="18" t="s">
        <v>879</v>
      </c>
      <c r="I129" s="14" t="n">
        <f aca="false">SUMIFS(Actuals!$J$2:$J$6000,Actuals!$C$2:$C$6000,B129,Actuals!$D$2:$D$6000,D129)</f>
        <v>0</v>
      </c>
      <c r="J129" s="14" t="n">
        <f aca="false">E129-I129</f>
        <v>27100</v>
      </c>
      <c r="K129" s="15" t="n">
        <f aca="false">IF(E129=0,0,I129/E129)</f>
        <v>0</v>
      </c>
      <c r="L129" s="12" t="str">
        <f aca="false">IF(D129="Contingency","Reserve",IF(K129&gt;1,"Overspent",IF(K129&gt;=BudgetNearLimit,"Near limit","Within budget")))</f>
        <v>Reserve</v>
      </c>
    </row>
    <row r="130" customFormat="false" ht="15" hidden="false" customHeight="false" outlineLevel="0" collapsed="false">
      <c r="A130" s="18" t="s">
        <v>1005</v>
      </c>
      <c r="B130" s="18" t="s">
        <v>294</v>
      </c>
      <c r="C130" s="21" t="str">
        <f aca="false">IFERROR(INDEX(Projects!$B$2:$B$500,MATCH(B130,Projects!$A$2:$A$500,0)),"")</f>
        <v>Municipal Asset Management</v>
      </c>
      <c r="D130" s="18" t="s">
        <v>869</v>
      </c>
      <c r="E130" s="23" t="n">
        <v>515700</v>
      </c>
      <c r="F130" s="19" t="n">
        <v>46375</v>
      </c>
      <c r="G130" s="18" t="s">
        <v>325</v>
      </c>
      <c r="H130" s="18" t="s">
        <v>870</v>
      </c>
      <c r="I130" s="14" t="n">
        <f aca="false">SUMIFS(Actuals!$J$2:$J$6000,Actuals!$C$2:$C$6000,B130,Actuals!$D$2:$D$6000,D130)</f>
        <v>0</v>
      </c>
      <c r="J130" s="14" t="n">
        <f aca="false">E130-I130</f>
        <v>515700</v>
      </c>
      <c r="K130" s="15" t="n">
        <f aca="false">IF(E130=0,0,I130/E130)</f>
        <v>0</v>
      </c>
      <c r="L130" s="12" t="str">
        <f aca="false">IF(D130="Contingency","Reserve",IF(K130&gt;1,"Overspent",IF(K130&gt;=BudgetNearLimit,"Near limit","Within budget")))</f>
        <v>Within budget</v>
      </c>
    </row>
    <row r="131" customFormat="false" ht="15" hidden="false" customHeight="false" outlineLevel="0" collapsed="false">
      <c r="A131" s="18" t="s">
        <v>1006</v>
      </c>
      <c r="B131" s="18" t="s">
        <v>294</v>
      </c>
      <c r="C131" s="21" t="str">
        <f aca="false">IFERROR(INDEX(Projects!$B$2:$B$500,MATCH(B131,Projects!$A$2:$A$500,0)),"")</f>
        <v>Municipal Asset Management</v>
      </c>
      <c r="D131" s="18" t="s">
        <v>872</v>
      </c>
      <c r="E131" s="23" t="n">
        <v>37100</v>
      </c>
      <c r="F131" s="19" t="n">
        <v>46375</v>
      </c>
      <c r="G131" s="18" t="s">
        <v>325</v>
      </c>
      <c r="H131" s="18"/>
      <c r="I131" s="14" t="n">
        <f aca="false">SUMIFS(Actuals!$J$2:$J$6000,Actuals!$C$2:$C$6000,B131,Actuals!$D$2:$D$6000,D131)</f>
        <v>0</v>
      </c>
      <c r="J131" s="14" t="n">
        <f aca="false">E131-I131</f>
        <v>37100</v>
      </c>
      <c r="K131" s="15" t="n">
        <f aca="false">IF(E131=0,0,I131/E131)</f>
        <v>0</v>
      </c>
      <c r="L131" s="12" t="str">
        <f aca="false">IF(D131="Contingency","Reserve",IF(K131&gt;1,"Overspent",IF(K131&gt;=BudgetNearLimit,"Near limit","Within budget")))</f>
        <v>Within budget</v>
      </c>
    </row>
    <row r="132" customFormat="false" ht="15" hidden="false" customHeight="false" outlineLevel="0" collapsed="false">
      <c r="A132" s="18" t="s">
        <v>1007</v>
      </c>
      <c r="B132" s="18" t="s">
        <v>294</v>
      </c>
      <c r="C132" s="21" t="str">
        <f aca="false">IFERROR(INDEX(Projects!$B$2:$B$500,MATCH(B132,Projects!$A$2:$A$500,0)),"")</f>
        <v>Municipal Asset Management</v>
      </c>
      <c r="D132" s="18" t="s">
        <v>874</v>
      </c>
      <c r="E132" s="23" t="n">
        <v>66800</v>
      </c>
      <c r="F132" s="19" t="n">
        <v>46375</v>
      </c>
      <c r="G132" s="18" t="s">
        <v>325</v>
      </c>
      <c r="H132" s="18"/>
      <c r="I132" s="14" t="n">
        <f aca="false">SUMIFS(Actuals!$J$2:$J$6000,Actuals!$C$2:$C$6000,B132,Actuals!$D$2:$D$6000,D132)</f>
        <v>0</v>
      </c>
      <c r="J132" s="14" t="n">
        <f aca="false">E132-I132</f>
        <v>66800</v>
      </c>
      <c r="K132" s="15" t="n">
        <f aca="false">IF(E132=0,0,I132/E132)</f>
        <v>0</v>
      </c>
      <c r="L132" s="12" t="str">
        <f aca="false">IF(D132="Contingency","Reserve",IF(K132&gt;1,"Overspent",IF(K132&gt;=BudgetNearLimit,"Near limit","Within budget")))</f>
        <v>Within budget</v>
      </c>
    </row>
    <row r="133" customFormat="false" ht="15" hidden="false" customHeight="false" outlineLevel="0" collapsed="false">
      <c r="A133" s="18" t="s">
        <v>1008</v>
      </c>
      <c r="B133" s="18" t="s">
        <v>294</v>
      </c>
      <c r="C133" s="21" t="str">
        <f aca="false">IFERROR(INDEX(Projects!$B$2:$B$500,MATCH(B133,Projects!$A$2:$A$500,0)),"")</f>
        <v>Municipal Asset Management</v>
      </c>
      <c r="D133" s="18" t="s">
        <v>495</v>
      </c>
      <c r="E133" s="23" t="n">
        <v>15500</v>
      </c>
      <c r="F133" s="19" t="n">
        <v>46375</v>
      </c>
      <c r="G133" s="18" t="s">
        <v>325</v>
      </c>
      <c r="H133" s="18"/>
      <c r="I133" s="14" t="n">
        <f aca="false">SUMIFS(Actuals!$J$2:$J$6000,Actuals!$C$2:$C$6000,B133,Actuals!$D$2:$D$6000,D133)</f>
        <v>0</v>
      </c>
      <c r="J133" s="14" t="n">
        <f aca="false">E133-I133</f>
        <v>15500</v>
      </c>
      <c r="K133" s="15" t="n">
        <f aca="false">IF(E133=0,0,I133/E133)</f>
        <v>0</v>
      </c>
      <c r="L133" s="12" t="str">
        <f aca="false">IF(D133="Contingency","Reserve",IF(K133&gt;1,"Overspent",IF(K133&gt;=BudgetNearLimit,"Near limit","Within budget")))</f>
        <v>Within budget</v>
      </c>
    </row>
    <row r="134" customFormat="false" ht="15" hidden="false" customHeight="false" outlineLevel="0" collapsed="false">
      <c r="A134" s="18" t="s">
        <v>1009</v>
      </c>
      <c r="B134" s="18" t="s">
        <v>294</v>
      </c>
      <c r="C134" s="21" t="str">
        <f aca="false">IFERROR(INDEX(Projects!$B$2:$B$500,MATCH(B134,Projects!$A$2:$A$500,0)),"")</f>
        <v>Municipal Asset Management</v>
      </c>
      <c r="D134" s="18" t="s">
        <v>876</v>
      </c>
      <c r="E134" s="23" t="n">
        <v>11800</v>
      </c>
      <c r="F134" s="19" t="n">
        <v>46375</v>
      </c>
      <c r="G134" s="18" t="s">
        <v>325</v>
      </c>
      <c r="H134" s="18"/>
      <c r="I134" s="14" t="n">
        <f aca="false">SUMIFS(Actuals!$J$2:$J$6000,Actuals!$C$2:$C$6000,B134,Actuals!$D$2:$D$6000,D134)</f>
        <v>0</v>
      </c>
      <c r="J134" s="14" t="n">
        <f aca="false">E134-I134</f>
        <v>11800</v>
      </c>
      <c r="K134" s="15" t="n">
        <f aca="false">IF(E134=0,0,I134/E134)</f>
        <v>0</v>
      </c>
      <c r="L134" s="12" t="str">
        <f aca="false">IF(D134="Contingency","Reserve",IF(K134&gt;1,"Overspent",IF(K134&gt;=BudgetNearLimit,"Near limit","Within budget")))</f>
        <v>Within budget</v>
      </c>
    </row>
    <row r="135" customFormat="false" ht="15" hidden="false" customHeight="false" outlineLevel="0" collapsed="false">
      <c r="A135" s="18" t="s">
        <v>1010</v>
      </c>
      <c r="B135" s="18" t="s">
        <v>294</v>
      </c>
      <c r="C135" s="21" t="str">
        <f aca="false">IFERROR(INDEX(Projects!$B$2:$B$500,MATCH(B135,Projects!$A$2:$A$500,0)),"")</f>
        <v>Municipal Asset Management</v>
      </c>
      <c r="D135" s="18" t="s">
        <v>878</v>
      </c>
      <c r="E135" s="23" t="n">
        <v>51600</v>
      </c>
      <c r="F135" s="19" t="n">
        <v>46375</v>
      </c>
      <c r="G135" s="18" t="s">
        <v>325</v>
      </c>
      <c r="H135" s="18" t="s">
        <v>879</v>
      </c>
      <c r="I135" s="14" t="n">
        <f aca="false">SUMIFS(Actuals!$J$2:$J$6000,Actuals!$C$2:$C$6000,B135,Actuals!$D$2:$D$6000,D135)</f>
        <v>0</v>
      </c>
      <c r="J135" s="14" t="n">
        <f aca="false">E135-I135</f>
        <v>51600</v>
      </c>
      <c r="K135" s="15" t="n">
        <f aca="false">IF(E135=0,0,I135/E135)</f>
        <v>0</v>
      </c>
      <c r="L135" s="12" t="str">
        <f aca="false">IF(D135="Contingency","Reserve",IF(K135&gt;1,"Overspent",IF(K135&gt;=BudgetNearLimit,"Near limit","Within budget")))</f>
        <v>Reserve</v>
      </c>
    </row>
  </sheetData>
  <conditionalFormatting sqref="L2:L135">
    <cfRule type="cellIs" priority="2" operator="equal" aboveAverage="0" equalAverage="0" bottom="0" percent="0" rank="0" text="" dxfId="12">
      <formula>"Overspent"</formula>
    </cfRule>
    <cfRule type="cellIs" priority="3" operator="equal" aboveAverage="0" equalAverage="0" bottom="0" percent="0" rank="0" text="" dxfId="13">
      <formula>"Near limit"</formula>
    </cfRule>
    <cfRule type="cellIs" priority="4" operator="equal" aboveAverage="0" equalAverage="0" bottom="0" percent="0" rank="0" text="" dxfId="14">
      <formula>"Within budget"</formula>
    </cfRule>
    <cfRule type="cellIs" priority="5" operator="equal" aboveAverage="0" equalAverage="0" bottom="0" percent="0" rank="0" text="" dxfId="15">
      <formula>"Reserve"</formula>
    </cfRule>
  </conditionalFormatting>
  <dataValidations count="1">
    <dataValidation allowBlank="true" error="Pick a value from the list." errorStyle="stop" errorTitle="Invalid value" operator="between" showDropDown="false" showErrorMessage="true" showInputMessage="false" sqref="D2:D1135" type="list">
      <formula1>"Labour,Cloud Hosting,Hardware,Software &amp; Licences,Subcontractors,Training,Travel &amp; Expenses,Contingency"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M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9" min="8" style="0" width="8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20" t="s">
        <v>1011</v>
      </c>
      <c r="B1" s="20" t="s">
        <v>1012</v>
      </c>
      <c r="C1" s="20" t="s">
        <v>41</v>
      </c>
      <c r="D1" s="20" t="s">
        <v>859</v>
      </c>
      <c r="E1" s="20" t="s">
        <v>43</v>
      </c>
      <c r="F1" s="20" t="s">
        <v>1013</v>
      </c>
      <c r="G1" s="20" t="s">
        <v>1014</v>
      </c>
      <c r="H1" s="20" t="s">
        <v>1015</v>
      </c>
      <c r="I1" s="20" t="s">
        <v>502</v>
      </c>
      <c r="J1" s="20" t="s">
        <v>1016</v>
      </c>
      <c r="K1" s="20" t="s">
        <v>1017</v>
      </c>
      <c r="L1" s="20" t="s">
        <v>124</v>
      </c>
      <c r="M1" s="20" t="s">
        <v>144</v>
      </c>
    </row>
    <row r="2" customFormat="false" ht="15" hidden="false" customHeight="false" outlineLevel="0" collapsed="false">
      <c r="A2" s="18" t="s">
        <v>1018</v>
      </c>
      <c r="B2" s="19" t="n">
        <v>45808</v>
      </c>
      <c r="C2" s="18" t="s">
        <v>281</v>
      </c>
      <c r="D2" s="18" t="s">
        <v>869</v>
      </c>
      <c r="E2" s="18" t="s">
        <v>247</v>
      </c>
      <c r="F2" s="18"/>
      <c r="G2" s="18" t="s">
        <v>1019</v>
      </c>
      <c r="H2" s="30" t="n">
        <v>86.5</v>
      </c>
      <c r="I2" s="18" t="s">
        <v>513</v>
      </c>
      <c r="J2" s="28" t="n">
        <v>7612</v>
      </c>
      <c r="K2" s="12" t="str">
        <f aca="false">TEXT(B2,"yyyy-mm")</f>
        <v>2025-05</v>
      </c>
      <c r="L2" s="21" t="str">
        <f aca="false">IFERROR(INDEX(Projects!$E$2:$E$500,MATCH(C2,Projects!$A$2:$A$500,0)),"")</f>
        <v>Digital Transformation</v>
      </c>
      <c r="M2" s="31" t="n">
        <f aca="false">IF(I2="Yes",H2*INDEX(Resources!$I$2:$I$500,MATCH(E2,Resources!$A$2:$A$500,0)),0)</f>
        <v>15137.5</v>
      </c>
    </row>
    <row r="3" customFormat="false" ht="15" hidden="false" customHeight="false" outlineLevel="0" collapsed="false">
      <c r="A3" s="18" t="s">
        <v>1020</v>
      </c>
      <c r="B3" s="19" t="n">
        <v>45808</v>
      </c>
      <c r="C3" s="18" t="s">
        <v>281</v>
      </c>
      <c r="D3" s="18" t="s">
        <v>869</v>
      </c>
      <c r="E3" s="18" t="s">
        <v>357</v>
      </c>
      <c r="F3" s="18"/>
      <c r="G3" s="18" t="s">
        <v>1019</v>
      </c>
      <c r="H3" s="30" t="n">
        <v>41.9</v>
      </c>
      <c r="I3" s="18" t="s">
        <v>513</v>
      </c>
      <c r="J3" s="28" t="n">
        <v>5068.22</v>
      </c>
      <c r="K3" s="12" t="str">
        <f aca="false">TEXT(B3,"yyyy-mm")</f>
        <v>2025-05</v>
      </c>
      <c r="L3" s="21" t="str">
        <f aca="false">IFERROR(INDEX(Projects!$E$2:$E$500,MATCH(C3,Projects!$A$2:$A$500,0)),"")</f>
        <v>Digital Transformation</v>
      </c>
      <c r="M3" s="31" t="n">
        <f aca="false">IF(I3="Yes",H3*INDEX(Resources!$I$2:$I$500,MATCH(E3,Resources!$A$2:$A$500,0)),0)</f>
        <v>10265.5</v>
      </c>
    </row>
    <row r="4" customFormat="false" ht="15" hidden="false" customHeight="false" outlineLevel="0" collapsed="false">
      <c r="A4" s="18" t="s">
        <v>1021</v>
      </c>
      <c r="B4" s="19" t="n">
        <v>45808</v>
      </c>
      <c r="C4" s="18" t="s">
        <v>281</v>
      </c>
      <c r="D4" s="18" t="s">
        <v>869</v>
      </c>
      <c r="E4" s="18" t="s">
        <v>371</v>
      </c>
      <c r="F4" s="18"/>
      <c r="G4" s="18" t="s">
        <v>1019</v>
      </c>
      <c r="H4" s="30" t="n">
        <v>131.6</v>
      </c>
      <c r="I4" s="18" t="s">
        <v>513</v>
      </c>
      <c r="J4" s="28" t="n">
        <v>8322.38</v>
      </c>
      <c r="K4" s="12" t="str">
        <f aca="false">TEXT(B4,"yyyy-mm")</f>
        <v>2025-05</v>
      </c>
      <c r="L4" s="21" t="str">
        <f aca="false">IFERROR(INDEX(Projects!$E$2:$E$500,MATCH(C4,Projects!$A$2:$A$500,0)),"")</f>
        <v>Digital Transformation</v>
      </c>
      <c r="M4" s="31" t="n">
        <f aca="false">IF(I4="Yes",H4*INDEX(Resources!$I$2:$I$500,MATCH(E4,Resources!$A$2:$A$500,0)),0)</f>
        <v>17108</v>
      </c>
    </row>
    <row r="5" customFormat="false" ht="15" hidden="false" customHeight="false" outlineLevel="0" collapsed="false">
      <c r="A5" s="18" t="s">
        <v>1022</v>
      </c>
      <c r="B5" s="19" t="n">
        <v>45808</v>
      </c>
      <c r="C5" s="18" t="s">
        <v>281</v>
      </c>
      <c r="D5" s="18" t="s">
        <v>869</v>
      </c>
      <c r="E5" s="18" t="s">
        <v>395</v>
      </c>
      <c r="F5" s="18"/>
      <c r="G5" s="18" t="s">
        <v>1019</v>
      </c>
      <c r="H5" s="30" t="n">
        <v>133.3</v>
      </c>
      <c r="I5" s="18" t="s">
        <v>513</v>
      </c>
      <c r="J5" s="28" t="n">
        <v>14256.44</v>
      </c>
      <c r="K5" s="12" t="str">
        <f aca="false">TEXT(B5,"yyyy-mm")</f>
        <v>2025-05</v>
      </c>
      <c r="L5" s="21" t="str">
        <f aca="false">IFERROR(INDEX(Projects!$E$2:$E$500,MATCH(C5,Projects!$A$2:$A$500,0)),"")</f>
        <v>Digital Transformation</v>
      </c>
      <c r="M5" s="31" t="n">
        <f aca="false">IF(I5="Yes",H5*INDEX(Resources!$I$2:$I$500,MATCH(E5,Resources!$A$2:$A$500,0)),0)</f>
        <v>22661</v>
      </c>
    </row>
    <row r="6" customFormat="false" ht="15" hidden="false" customHeight="false" outlineLevel="0" collapsed="false">
      <c r="A6" s="18" t="s">
        <v>1023</v>
      </c>
      <c r="B6" s="19" t="n">
        <v>45808</v>
      </c>
      <c r="C6" s="18" t="s">
        <v>281</v>
      </c>
      <c r="D6" s="18" t="s">
        <v>869</v>
      </c>
      <c r="E6" s="18" t="s">
        <v>417</v>
      </c>
      <c r="F6" s="18"/>
      <c r="G6" s="18" t="s">
        <v>1019</v>
      </c>
      <c r="H6" s="30" t="n">
        <v>133.7</v>
      </c>
      <c r="I6" s="18" t="s">
        <v>513</v>
      </c>
      <c r="J6" s="28" t="n">
        <v>7273.28</v>
      </c>
      <c r="K6" s="12" t="str">
        <f aca="false">TEXT(B6,"yyyy-mm")</f>
        <v>2025-05</v>
      </c>
      <c r="L6" s="21" t="str">
        <f aca="false">IFERROR(INDEX(Projects!$E$2:$E$500,MATCH(C6,Projects!$A$2:$A$500,0)),"")</f>
        <v>Digital Transformation</v>
      </c>
      <c r="M6" s="31" t="n">
        <f aca="false">IF(I6="Yes",H6*INDEX(Resources!$I$2:$I$500,MATCH(E6,Resources!$A$2:$A$500,0)),0)</f>
        <v>14707</v>
      </c>
    </row>
    <row r="7" customFormat="false" ht="15" hidden="false" customHeight="false" outlineLevel="0" collapsed="false">
      <c r="A7" s="18" t="s">
        <v>1024</v>
      </c>
      <c r="B7" s="19" t="n">
        <v>45808</v>
      </c>
      <c r="C7" s="18" t="s">
        <v>281</v>
      </c>
      <c r="D7" s="18" t="s">
        <v>872</v>
      </c>
      <c r="E7" s="18"/>
      <c r="F7" s="18" t="s">
        <v>1025</v>
      </c>
      <c r="G7" s="18" t="s">
        <v>1026</v>
      </c>
      <c r="H7" s="30" t="n">
        <v>0</v>
      </c>
      <c r="I7" s="18" t="s">
        <v>527</v>
      </c>
      <c r="J7" s="28" t="n">
        <v>3056.49</v>
      </c>
      <c r="K7" s="12" t="str">
        <f aca="false">TEXT(B7,"yyyy-mm")</f>
        <v>2025-05</v>
      </c>
      <c r="L7" s="21" t="str">
        <f aca="false">IFERROR(INDEX(Projects!$E$2:$E$500,MATCH(C7,Projects!$A$2:$A$500,0)),"")</f>
        <v>Digital Transformation</v>
      </c>
      <c r="M7" s="31" t="n">
        <f aca="false">IF(I7="Yes",H7*INDEX(Resources!$I$2:$I$500,MATCH(E7,Resources!$A$2:$A$500,0)),0)</f>
        <v>0</v>
      </c>
    </row>
    <row r="8" customFormat="false" ht="15" hidden="false" customHeight="false" outlineLevel="0" collapsed="false">
      <c r="A8" s="18" t="s">
        <v>1027</v>
      </c>
      <c r="B8" s="19" t="n">
        <v>45808</v>
      </c>
      <c r="C8" s="18" t="s">
        <v>281</v>
      </c>
      <c r="D8" s="18" t="s">
        <v>874</v>
      </c>
      <c r="E8" s="18"/>
      <c r="F8" s="18" t="s">
        <v>1028</v>
      </c>
      <c r="G8" s="18" t="s">
        <v>1026</v>
      </c>
      <c r="H8" s="30" t="n">
        <v>0</v>
      </c>
      <c r="I8" s="18" t="s">
        <v>527</v>
      </c>
      <c r="J8" s="28" t="n">
        <v>5410.8</v>
      </c>
      <c r="K8" s="12" t="str">
        <f aca="false">TEXT(B8,"yyyy-mm")</f>
        <v>2025-05</v>
      </c>
      <c r="L8" s="21" t="str">
        <f aca="false">IFERROR(INDEX(Projects!$E$2:$E$500,MATCH(C8,Projects!$A$2:$A$500,0)),"")</f>
        <v>Digital Transformation</v>
      </c>
      <c r="M8" s="31" t="n">
        <f aca="false">IF(I8="Yes",H8*INDEX(Resources!$I$2:$I$500,MATCH(E8,Resources!$A$2:$A$500,0)),0)</f>
        <v>0</v>
      </c>
    </row>
    <row r="9" customFormat="false" ht="15" hidden="false" customHeight="false" outlineLevel="0" collapsed="false">
      <c r="A9" s="18" t="s">
        <v>1029</v>
      </c>
      <c r="B9" s="19" t="n">
        <v>45808</v>
      </c>
      <c r="C9" s="18" t="s">
        <v>281</v>
      </c>
      <c r="D9" s="18" t="s">
        <v>495</v>
      </c>
      <c r="E9" s="18"/>
      <c r="F9" s="18" t="s">
        <v>1030</v>
      </c>
      <c r="G9" s="18" t="s">
        <v>1026</v>
      </c>
      <c r="H9" s="30" t="n">
        <v>0</v>
      </c>
      <c r="I9" s="18" t="s">
        <v>527</v>
      </c>
      <c r="J9" s="28" t="n">
        <v>1502.46</v>
      </c>
      <c r="K9" s="12" t="str">
        <f aca="false">TEXT(B9,"yyyy-mm")</f>
        <v>2025-05</v>
      </c>
      <c r="L9" s="21" t="str">
        <f aca="false">IFERROR(INDEX(Projects!$E$2:$E$500,MATCH(C9,Projects!$A$2:$A$500,0)),"")</f>
        <v>Digital Transformation</v>
      </c>
      <c r="M9" s="31" t="n">
        <f aca="false">IF(I9="Yes",H9*INDEX(Resources!$I$2:$I$500,MATCH(E9,Resources!$A$2:$A$500,0)),0)</f>
        <v>0</v>
      </c>
    </row>
    <row r="10" customFormat="false" ht="15" hidden="false" customHeight="false" outlineLevel="0" collapsed="false">
      <c r="A10" s="18" t="s">
        <v>1031</v>
      </c>
      <c r="B10" s="19" t="n">
        <v>45808</v>
      </c>
      <c r="C10" s="18" t="s">
        <v>281</v>
      </c>
      <c r="D10" s="18" t="s">
        <v>876</v>
      </c>
      <c r="E10" s="18"/>
      <c r="F10" s="18" t="s">
        <v>1032</v>
      </c>
      <c r="G10" s="18" t="s">
        <v>1033</v>
      </c>
      <c r="H10" s="30" t="n">
        <v>0</v>
      </c>
      <c r="I10" s="18" t="s">
        <v>527</v>
      </c>
      <c r="J10" s="28" t="n">
        <v>1069.75</v>
      </c>
      <c r="K10" s="12" t="str">
        <f aca="false">TEXT(B10,"yyyy-mm")</f>
        <v>2025-05</v>
      </c>
      <c r="L10" s="21" t="str">
        <f aca="false">IFERROR(INDEX(Projects!$E$2:$E$500,MATCH(C10,Projects!$A$2:$A$500,0)),"")</f>
        <v>Digital Transformation</v>
      </c>
      <c r="M10" s="31" t="n">
        <f aca="false">IF(I10="Yes",H10*INDEX(Resources!$I$2:$I$500,MATCH(E10,Resources!$A$2:$A$500,0)),0)</f>
        <v>0</v>
      </c>
    </row>
    <row r="11" customFormat="false" ht="15" hidden="false" customHeight="false" outlineLevel="0" collapsed="false">
      <c r="A11" s="18" t="s">
        <v>1034</v>
      </c>
      <c r="B11" s="19" t="n">
        <v>45838</v>
      </c>
      <c r="C11" s="18" t="s">
        <v>277</v>
      </c>
      <c r="D11" s="18" t="s">
        <v>889</v>
      </c>
      <c r="E11" s="18"/>
      <c r="F11" s="18" t="s">
        <v>1035</v>
      </c>
      <c r="G11" s="18" t="s">
        <v>1026</v>
      </c>
      <c r="H11" s="30" t="n">
        <v>0</v>
      </c>
      <c r="I11" s="18" t="s">
        <v>527</v>
      </c>
      <c r="J11" s="28" t="n">
        <v>5405.35</v>
      </c>
      <c r="K11" s="12" t="str">
        <f aca="false">TEXT(B11,"yyyy-mm")</f>
        <v>2025-06</v>
      </c>
      <c r="L11" s="21" t="str">
        <f aca="false">IFERROR(INDEX(Projects!$E$2:$E$500,MATCH(C11,Projects!$A$2:$A$500,0)),"")</f>
        <v>Cloud &amp; Infrastructure</v>
      </c>
      <c r="M11" s="31" t="n">
        <f aca="false">IF(I11="Yes",H11*INDEX(Resources!$I$2:$I$500,MATCH(E11,Resources!$A$2:$A$500,0)),0)</f>
        <v>0</v>
      </c>
    </row>
    <row r="12" customFormat="false" ht="15" hidden="false" customHeight="false" outlineLevel="0" collapsed="false">
      <c r="A12" s="18" t="s">
        <v>1036</v>
      </c>
      <c r="B12" s="19" t="n">
        <v>45838</v>
      </c>
      <c r="C12" s="18" t="s">
        <v>277</v>
      </c>
      <c r="D12" s="18" t="s">
        <v>869</v>
      </c>
      <c r="E12" s="18" t="s">
        <v>226</v>
      </c>
      <c r="F12" s="18"/>
      <c r="G12" s="18" t="s">
        <v>1019</v>
      </c>
      <c r="H12" s="30" t="n">
        <v>75.7</v>
      </c>
      <c r="I12" s="18" t="s">
        <v>513</v>
      </c>
      <c r="J12" s="28" t="n">
        <v>6661.6</v>
      </c>
      <c r="K12" s="12" t="str">
        <f aca="false">TEXT(B12,"yyyy-mm")</f>
        <v>2025-06</v>
      </c>
      <c r="L12" s="21" t="str">
        <f aca="false">IFERROR(INDEX(Projects!$E$2:$E$500,MATCH(C12,Projects!$A$2:$A$500,0)),"")</f>
        <v>Cloud &amp; Infrastructure</v>
      </c>
      <c r="M12" s="31" t="n">
        <f aca="false">IF(I12="Yes",H12*INDEX(Resources!$I$2:$I$500,MATCH(E12,Resources!$A$2:$A$500,0)),0)</f>
        <v>13247.5</v>
      </c>
    </row>
    <row r="13" customFormat="false" ht="15" hidden="false" customHeight="false" outlineLevel="0" collapsed="false">
      <c r="A13" s="18" t="s">
        <v>1037</v>
      </c>
      <c r="B13" s="19" t="n">
        <v>45838</v>
      </c>
      <c r="C13" s="18" t="s">
        <v>277</v>
      </c>
      <c r="D13" s="18" t="s">
        <v>869</v>
      </c>
      <c r="E13" s="18" t="s">
        <v>354</v>
      </c>
      <c r="F13" s="18"/>
      <c r="G13" s="18" t="s">
        <v>1019</v>
      </c>
      <c r="H13" s="30" t="n">
        <v>37.9</v>
      </c>
      <c r="I13" s="18" t="s">
        <v>513</v>
      </c>
      <c r="J13" s="28" t="n">
        <v>4923.97</v>
      </c>
      <c r="K13" s="12" t="str">
        <f aca="false">TEXT(B13,"yyyy-mm")</f>
        <v>2025-06</v>
      </c>
      <c r="L13" s="21" t="str">
        <f aca="false">IFERROR(INDEX(Projects!$E$2:$E$500,MATCH(C13,Projects!$A$2:$A$500,0)),"")</f>
        <v>Cloud &amp; Infrastructure</v>
      </c>
      <c r="M13" s="31" t="n">
        <f aca="false">IF(I13="Yes",H13*INDEX(Resources!$I$2:$I$500,MATCH(E13,Resources!$A$2:$A$500,0)),0)</f>
        <v>9854</v>
      </c>
    </row>
    <row r="14" customFormat="false" ht="15" hidden="false" customHeight="false" outlineLevel="0" collapsed="false">
      <c r="A14" s="18" t="s">
        <v>1038</v>
      </c>
      <c r="B14" s="19" t="n">
        <v>45838</v>
      </c>
      <c r="C14" s="18" t="s">
        <v>277</v>
      </c>
      <c r="D14" s="18" t="s">
        <v>869</v>
      </c>
      <c r="E14" s="18" t="s">
        <v>400</v>
      </c>
      <c r="F14" s="18"/>
      <c r="G14" s="18" t="s">
        <v>1019</v>
      </c>
      <c r="H14" s="30" t="n">
        <v>83.2</v>
      </c>
      <c r="I14" s="18" t="s">
        <v>513</v>
      </c>
      <c r="J14" s="28" t="n">
        <v>8266.75</v>
      </c>
      <c r="K14" s="12" t="str">
        <f aca="false">TEXT(B14,"yyyy-mm")</f>
        <v>2025-06</v>
      </c>
      <c r="L14" s="21" t="str">
        <f aca="false">IFERROR(INDEX(Projects!$E$2:$E$500,MATCH(C14,Projects!$A$2:$A$500,0)),"")</f>
        <v>Cloud &amp; Infrastructure</v>
      </c>
      <c r="M14" s="31" t="n">
        <f aca="false">IF(I14="Yes",H14*INDEX(Resources!$I$2:$I$500,MATCH(E14,Resources!$A$2:$A$500,0)),0)</f>
        <v>16640</v>
      </c>
    </row>
    <row r="15" customFormat="false" ht="15" hidden="false" customHeight="false" outlineLevel="0" collapsed="false">
      <c r="A15" s="18" t="s">
        <v>1039</v>
      </c>
      <c r="B15" s="19" t="n">
        <v>45838</v>
      </c>
      <c r="C15" s="18" t="s">
        <v>277</v>
      </c>
      <c r="D15" s="18" t="s">
        <v>869</v>
      </c>
      <c r="E15" s="18" t="s">
        <v>470</v>
      </c>
      <c r="F15" s="18"/>
      <c r="G15" s="18" t="s">
        <v>1019</v>
      </c>
      <c r="H15" s="30" t="n">
        <v>157.3</v>
      </c>
      <c r="I15" s="18" t="s">
        <v>513</v>
      </c>
      <c r="J15" s="28" t="n">
        <v>17151.99</v>
      </c>
      <c r="K15" s="12" t="str">
        <f aca="false">TEXT(B15,"yyyy-mm")</f>
        <v>2025-06</v>
      </c>
      <c r="L15" s="21" t="str">
        <f aca="false">IFERROR(INDEX(Projects!$E$2:$E$500,MATCH(C15,Projects!$A$2:$A$500,0)),"")</f>
        <v>Cloud &amp; Infrastructure</v>
      </c>
      <c r="M15" s="31" t="n">
        <f aca="false">IF(I15="Yes",H15*INDEX(Resources!$I$2:$I$500,MATCH(E15,Resources!$A$2:$A$500,0)),0)</f>
        <v>34606</v>
      </c>
    </row>
    <row r="16" customFormat="false" ht="15" hidden="false" customHeight="false" outlineLevel="0" collapsed="false">
      <c r="A16" s="18" t="s">
        <v>1040</v>
      </c>
      <c r="B16" s="19" t="n">
        <v>45838</v>
      </c>
      <c r="C16" s="18" t="s">
        <v>277</v>
      </c>
      <c r="D16" s="18" t="s">
        <v>869</v>
      </c>
      <c r="E16" s="18" t="s">
        <v>489</v>
      </c>
      <c r="F16" s="18"/>
      <c r="G16" s="18" t="s">
        <v>1019</v>
      </c>
      <c r="H16" s="30" t="n">
        <v>80.7</v>
      </c>
      <c r="I16" s="18" t="s">
        <v>513</v>
      </c>
      <c r="J16" s="28" t="n">
        <v>6940.2</v>
      </c>
      <c r="K16" s="12" t="str">
        <f aca="false">TEXT(B16,"yyyy-mm")</f>
        <v>2025-06</v>
      </c>
      <c r="L16" s="21" t="str">
        <f aca="false">IFERROR(INDEX(Projects!$E$2:$E$500,MATCH(C16,Projects!$A$2:$A$500,0)),"")</f>
        <v>Cloud &amp; Infrastructure</v>
      </c>
      <c r="M16" s="31" t="n">
        <f aca="false">IF(I16="Yes",H16*INDEX(Resources!$I$2:$I$500,MATCH(E16,Resources!$A$2:$A$500,0)),0)</f>
        <v>14122.5</v>
      </c>
    </row>
    <row r="17" customFormat="false" ht="15" hidden="false" customHeight="false" outlineLevel="0" collapsed="false">
      <c r="A17" s="18" t="s">
        <v>1041</v>
      </c>
      <c r="B17" s="19" t="n">
        <v>45838</v>
      </c>
      <c r="C17" s="18" t="s">
        <v>277</v>
      </c>
      <c r="D17" s="18" t="s">
        <v>872</v>
      </c>
      <c r="E17" s="18"/>
      <c r="F17" s="18" t="s">
        <v>1025</v>
      </c>
      <c r="G17" s="18" t="s">
        <v>1026</v>
      </c>
      <c r="H17" s="30" t="n">
        <v>0</v>
      </c>
      <c r="I17" s="18" t="s">
        <v>527</v>
      </c>
      <c r="J17" s="28" t="n">
        <v>1862.73</v>
      </c>
      <c r="K17" s="12" t="str">
        <f aca="false">TEXT(B17,"yyyy-mm")</f>
        <v>2025-06</v>
      </c>
      <c r="L17" s="21" t="str">
        <f aca="false">IFERROR(INDEX(Projects!$E$2:$E$500,MATCH(C17,Projects!$A$2:$A$500,0)),"")</f>
        <v>Cloud &amp; Infrastructure</v>
      </c>
      <c r="M17" s="31" t="n">
        <f aca="false">IF(I17="Yes",H17*INDEX(Resources!$I$2:$I$500,MATCH(E17,Resources!$A$2:$A$500,0)),0)</f>
        <v>0</v>
      </c>
    </row>
    <row r="18" customFormat="false" ht="15" hidden="false" customHeight="false" outlineLevel="0" collapsed="false">
      <c r="A18" s="18" t="s">
        <v>1042</v>
      </c>
      <c r="B18" s="19" t="n">
        <v>45838</v>
      </c>
      <c r="C18" s="18" t="s">
        <v>277</v>
      </c>
      <c r="D18" s="18" t="s">
        <v>876</v>
      </c>
      <c r="E18" s="18"/>
      <c r="F18" s="18" t="s">
        <v>1032</v>
      </c>
      <c r="G18" s="18" t="s">
        <v>1033</v>
      </c>
      <c r="H18" s="30" t="n">
        <v>0</v>
      </c>
      <c r="I18" s="18" t="s">
        <v>527</v>
      </c>
      <c r="J18" s="28" t="n">
        <v>903.53</v>
      </c>
      <c r="K18" s="12" t="str">
        <f aca="false">TEXT(B18,"yyyy-mm")</f>
        <v>2025-06</v>
      </c>
      <c r="L18" s="21" t="str">
        <f aca="false">IFERROR(INDEX(Projects!$E$2:$E$500,MATCH(C18,Projects!$A$2:$A$500,0)),"")</f>
        <v>Cloud &amp; Infrastructure</v>
      </c>
      <c r="M18" s="31" t="n">
        <f aca="false">IF(I18="Yes",H18*INDEX(Resources!$I$2:$I$500,MATCH(E18,Resources!$A$2:$A$500,0)),0)</f>
        <v>0</v>
      </c>
    </row>
    <row r="19" customFormat="false" ht="15" hidden="false" customHeight="false" outlineLevel="0" collapsed="false">
      <c r="A19" s="18" t="s">
        <v>1043</v>
      </c>
      <c r="B19" s="19" t="n">
        <v>45838</v>
      </c>
      <c r="C19" s="18" t="s">
        <v>281</v>
      </c>
      <c r="D19" s="18" t="s">
        <v>869</v>
      </c>
      <c r="E19" s="18" t="s">
        <v>247</v>
      </c>
      <c r="F19" s="18"/>
      <c r="G19" s="18" t="s">
        <v>1019</v>
      </c>
      <c r="H19" s="30" t="n">
        <v>88.4</v>
      </c>
      <c r="I19" s="18" t="s">
        <v>513</v>
      </c>
      <c r="J19" s="28" t="n">
        <v>7779.2</v>
      </c>
      <c r="K19" s="12" t="str">
        <f aca="false">TEXT(B19,"yyyy-mm")</f>
        <v>2025-06</v>
      </c>
      <c r="L19" s="21" t="str">
        <f aca="false">IFERROR(INDEX(Projects!$E$2:$E$500,MATCH(C19,Projects!$A$2:$A$500,0)),"")</f>
        <v>Digital Transformation</v>
      </c>
      <c r="M19" s="31" t="n">
        <f aca="false">IF(I19="Yes",H19*INDEX(Resources!$I$2:$I$500,MATCH(E19,Resources!$A$2:$A$500,0)),0)</f>
        <v>15470</v>
      </c>
    </row>
    <row r="20" customFormat="false" ht="15" hidden="false" customHeight="false" outlineLevel="0" collapsed="false">
      <c r="A20" s="18" t="s">
        <v>1044</v>
      </c>
      <c r="B20" s="19" t="n">
        <v>45838</v>
      </c>
      <c r="C20" s="18" t="s">
        <v>281</v>
      </c>
      <c r="D20" s="18" t="s">
        <v>869</v>
      </c>
      <c r="E20" s="18" t="s">
        <v>357</v>
      </c>
      <c r="F20" s="18"/>
      <c r="G20" s="18" t="s">
        <v>1019</v>
      </c>
      <c r="H20" s="30" t="n">
        <v>45.1</v>
      </c>
      <c r="I20" s="18" t="s">
        <v>513</v>
      </c>
      <c r="J20" s="28" t="n">
        <v>5455.3</v>
      </c>
      <c r="K20" s="12" t="str">
        <f aca="false">TEXT(B20,"yyyy-mm")</f>
        <v>2025-06</v>
      </c>
      <c r="L20" s="21" t="str">
        <f aca="false">IFERROR(INDEX(Projects!$E$2:$E$500,MATCH(C20,Projects!$A$2:$A$500,0)),"")</f>
        <v>Digital Transformation</v>
      </c>
      <c r="M20" s="31" t="n">
        <f aca="false">IF(I20="Yes",H20*INDEX(Resources!$I$2:$I$500,MATCH(E20,Resources!$A$2:$A$500,0)),0)</f>
        <v>11049.5</v>
      </c>
    </row>
    <row r="21" customFormat="false" ht="15" hidden="false" customHeight="false" outlineLevel="0" collapsed="false">
      <c r="A21" s="18" t="s">
        <v>1045</v>
      </c>
      <c r="B21" s="19" t="n">
        <v>45838</v>
      </c>
      <c r="C21" s="18" t="s">
        <v>281</v>
      </c>
      <c r="D21" s="18" t="s">
        <v>869</v>
      </c>
      <c r="E21" s="18" t="s">
        <v>371</v>
      </c>
      <c r="F21" s="18"/>
      <c r="G21" s="18" t="s">
        <v>1019</v>
      </c>
      <c r="H21" s="30" t="n">
        <v>145.4</v>
      </c>
      <c r="I21" s="18" t="s">
        <v>513</v>
      </c>
      <c r="J21" s="28" t="n">
        <v>9195.1</v>
      </c>
      <c r="K21" s="12" t="str">
        <f aca="false">TEXT(B21,"yyyy-mm")</f>
        <v>2025-06</v>
      </c>
      <c r="L21" s="21" t="str">
        <f aca="false">IFERROR(INDEX(Projects!$E$2:$E$500,MATCH(C21,Projects!$A$2:$A$500,0)),"")</f>
        <v>Digital Transformation</v>
      </c>
      <c r="M21" s="31" t="n">
        <f aca="false">IF(I21="Yes",H21*INDEX(Resources!$I$2:$I$500,MATCH(E21,Resources!$A$2:$A$500,0)),0)</f>
        <v>18902</v>
      </c>
    </row>
    <row r="22" customFormat="false" ht="15" hidden="false" customHeight="false" outlineLevel="0" collapsed="false">
      <c r="A22" s="18" t="s">
        <v>1046</v>
      </c>
      <c r="B22" s="19" t="n">
        <v>45838</v>
      </c>
      <c r="C22" s="18" t="s">
        <v>281</v>
      </c>
      <c r="D22" s="18" t="s">
        <v>869</v>
      </c>
      <c r="E22" s="18" t="s">
        <v>395</v>
      </c>
      <c r="F22" s="18"/>
      <c r="G22" s="18" t="s">
        <v>1019</v>
      </c>
      <c r="H22" s="30" t="n">
        <v>147.8</v>
      </c>
      <c r="I22" s="18" t="s">
        <v>513</v>
      </c>
      <c r="J22" s="28" t="n">
        <v>15807.21</v>
      </c>
      <c r="K22" s="12" t="str">
        <f aca="false">TEXT(B22,"yyyy-mm")</f>
        <v>2025-06</v>
      </c>
      <c r="L22" s="21" t="str">
        <f aca="false">IFERROR(INDEX(Projects!$E$2:$E$500,MATCH(C22,Projects!$A$2:$A$500,0)),"")</f>
        <v>Digital Transformation</v>
      </c>
      <c r="M22" s="31" t="n">
        <f aca="false">IF(I22="Yes",H22*INDEX(Resources!$I$2:$I$500,MATCH(E22,Resources!$A$2:$A$500,0)),0)</f>
        <v>25126</v>
      </c>
    </row>
    <row r="23" customFormat="false" ht="15" hidden="false" customHeight="false" outlineLevel="0" collapsed="false">
      <c r="A23" s="18" t="s">
        <v>1047</v>
      </c>
      <c r="B23" s="19" t="n">
        <v>45838</v>
      </c>
      <c r="C23" s="18" t="s">
        <v>281</v>
      </c>
      <c r="D23" s="18" t="s">
        <v>869</v>
      </c>
      <c r="E23" s="18" t="s">
        <v>417</v>
      </c>
      <c r="F23" s="18"/>
      <c r="G23" s="18" t="s">
        <v>1019</v>
      </c>
      <c r="H23" s="30" t="n">
        <v>148.7</v>
      </c>
      <c r="I23" s="18" t="s">
        <v>513</v>
      </c>
      <c r="J23" s="28" t="n">
        <v>8089.28</v>
      </c>
      <c r="K23" s="12" t="str">
        <f aca="false">TEXT(B23,"yyyy-mm")</f>
        <v>2025-06</v>
      </c>
      <c r="L23" s="21" t="str">
        <f aca="false">IFERROR(INDEX(Projects!$E$2:$E$500,MATCH(C23,Projects!$A$2:$A$500,0)),"")</f>
        <v>Digital Transformation</v>
      </c>
      <c r="M23" s="31" t="n">
        <f aca="false">IF(I23="Yes",H23*INDEX(Resources!$I$2:$I$500,MATCH(E23,Resources!$A$2:$A$500,0)),0)</f>
        <v>16357</v>
      </c>
    </row>
    <row r="24" customFormat="false" ht="15" hidden="false" customHeight="false" outlineLevel="0" collapsed="false">
      <c r="A24" s="18" t="s">
        <v>1048</v>
      </c>
      <c r="B24" s="19" t="n">
        <v>45838</v>
      </c>
      <c r="C24" s="18" t="s">
        <v>281</v>
      </c>
      <c r="D24" s="18" t="s">
        <v>872</v>
      </c>
      <c r="E24" s="18"/>
      <c r="F24" s="18" t="s">
        <v>1025</v>
      </c>
      <c r="G24" s="18" t="s">
        <v>1026</v>
      </c>
      <c r="H24" s="30" t="n">
        <v>0</v>
      </c>
      <c r="I24" s="18" t="s">
        <v>527</v>
      </c>
      <c r="J24" s="28" t="n">
        <v>3700.14</v>
      </c>
      <c r="K24" s="12" t="str">
        <f aca="false">TEXT(B24,"yyyy-mm")</f>
        <v>2025-06</v>
      </c>
      <c r="L24" s="21" t="str">
        <f aca="false">IFERROR(INDEX(Projects!$E$2:$E$500,MATCH(C24,Projects!$A$2:$A$500,0)),"")</f>
        <v>Digital Transformation</v>
      </c>
      <c r="M24" s="31" t="n">
        <f aca="false">IF(I24="Yes",H24*INDEX(Resources!$I$2:$I$500,MATCH(E24,Resources!$A$2:$A$500,0)),0)</f>
        <v>0</v>
      </c>
    </row>
    <row r="25" customFormat="false" ht="15" hidden="false" customHeight="false" outlineLevel="0" collapsed="false">
      <c r="A25" s="18" t="s">
        <v>1049</v>
      </c>
      <c r="B25" s="19" t="n">
        <v>45838</v>
      </c>
      <c r="C25" s="18" t="s">
        <v>281</v>
      </c>
      <c r="D25" s="18" t="s">
        <v>874</v>
      </c>
      <c r="E25" s="18"/>
      <c r="F25" s="18" t="s">
        <v>1028</v>
      </c>
      <c r="G25" s="18" t="s">
        <v>1026</v>
      </c>
      <c r="H25" s="30" t="n">
        <v>0</v>
      </c>
      <c r="I25" s="18" t="s">
        <v>527</v>
      </c>
      <c r="J25" s="28" t="n">
        <v>6708.67</v>
      </c>
      <c r="K25" s="12" t="str">
        <f aca="false">TEXT(B25,"yyyy-mm")</f>
        <v>2025-06</v>
      </c>
      <c r="L25" s="21" t="str">
        <f aca="false">IFERROR(INDEX(Projects!$E$2:$E$500,MATCH(C25,Projects!$A$2:$A$500,0)),"")</f>
        <v>Digital Transformation</v>
      </c>
      <c r="M25" s="31" t="n">
        <f aca="false">IF(I25="Yes",H25*INDEX(Resources!$I$2:$I$500,MATCH(E25,Resources!$A$2:$A$500,0)),0)</f>
        <v>0</v>
      </c>
    </row>
    <row r="26" customFormat="false" ht="15" hidden="false" customHeight="false" outlineLevel="0" collapsed="false">
      <c r="A26" s="18" t="s">
        <v>1050</v>
      </c>
      <c r="B26" s="19" t="n">
        <v>45838</v>
      </c>
      <c r="C26" s="18" t="s">
        <v>281</v>
      </c>
      <c r="D26" s="18" t="s">
        <v>495</v>
      </c>
      <c r="E26" s="18"/>
      <c r="F26" s="18" t="s">
        <v>1030</v>
      </c>
      <c r="G26" s="18" t="s">
        <v>1026</v>
      </c>
      <c r="H26" s="30" t="n">
        <v>0</v>
      </c>
      <c r="I26" s="18" t="s">
        <v>527</v>
      </c>
      <c r="J26" s="28" t="n">
        <v>1339.38</v>
      </c>
      <c r="K26" s="12" t="str">
        <f aca="false">TEXT(B26,"yyyy-mm")</f>
        <v>2025-06</v>
      </c>
      <c r="L26" s="21" t="str">
        <f aca="false">IFERROR(INDEX(Projects!$E$2:$E$500,MATCH(C26,Projects!$A$2:$A$500,0)),"")</f>
        <v>Digital Transformation</v>
      </c>
      <c r="M26" s="31" t="n">
        <f aca="false">IF(I26="Yes",H26*INDEX(Resources!$I$2:$I$500,MATCH(E26,Resources!$A$2:$A$500,0)),0)</f>
        <v>0</v>
      </c>
    </row>
    <row r="27" customFormat="false" ht="15" hidden="false" customHeight="false" outlineLevel="0" collapsed="false">
      <c r="A27" s="18" t="s">
        <v>1051</v>
      </c>
      <c r="B27" s="19" t="n">
        <v>45838</v>
      </c>
      <c r="C27" s="18" t="s">
        <v>281</v>
      </c>
      <c r="D27" s="18" t="s">
        <v>876</v>
      </c>
      <c r="E27" s="18"/>
      <c r="F27" s="18" t="s">
        <v>1032</v>
      </c>
      <c r="G27" s="18" t="s">
        <v>1033</v>
      </c>
      <c r="H27" s="30" t="n">
        <v>0</v>
      </c>
      <c r="I27" s="18" t="s">
        <v>527</v>
      </c>
      <c r="J27" s="28" t="n">
        <v>864.28</v>
      </c>
      <c r="K27" s="12" t="str">
        <f aca="false">TEXT(B27,"yyyy-mm")</f>
        <v>2025-06</v>
      </c>
      <c r="L27" s="21" t="str">
        <f aca="false">IFERROR(INDEX(Projects!$E$2:$E$500,MATCH(C27,Projects!$A$2:$A$500,0)),"")</f>
        <v>Digital Transformation</v>
      </c>
      <c r="M27" s="31" t="n">
        <f aca="false">IF(I27="Yes",H27*INDEX(Resources!$I$2:$I$500,MATCH(E27,Resources!$A$2:$A$500,0)),0)</f>
        <v>0</v>
      </c>
    </row>
    <row r="28" customFormat="false" ht="15" hidden="false" customHeight="false" outlineLevel="0" collapsed="false">
      <c r="A28" s="18" t="s">
        <v>1052</v>
      </c>
      <c r="B28" s="19" t="n">
        <v>45869</v>
      </c>
      <c r="C28" s="18" t="s">
        <v>267</v>
      </c>
      <c r="D28" s="18" t="s">
        <v>889</v>
      </c>
      <c r="E28" s="18"/>
      <c r="F28" s="18" t="s">
        <v>1035</v>
      </c>
      <c r="G28" s="18" t="s">
        <v>1026</v>
      </c>
      <c r="H28" s="30" t="n">
        <v>0</v>
      </c>
      <c r="I28" s="18" t="s">
        <v>527</v>
      </c>
      <c r="J28" s="28" t="n">
        <v>4907.02</v>
      </c>
      <c r="K28" s="12" t="str">
        <f aca="false">TEXT(B28,"yyyy-mm")</f>
        <v>2025-07</v>
      </c>
      <c r="L28" s="21" t="str">
        <f aca="false">IFERROR(INDEX(Projects!$E$2:$E$500,MATCH(C28,Projects!$A$2:$A$500,0)),"")</f>
        <v>Cloud &amp; Infrastructure</v>
      </c>
      <c r="M28" s="31" t="n">
        <f aca="false">IF(I28="Yes",H28*INDEX(Resources!$I$2:$I$500,MATCH(E28,Resources!$A$2:$A$500,0)),0)</f>
        <v>0</v>
      </c>
    </row>
    <row r="29" customFormat="false" ht="15" hidden="false" customHeight="false" outlineLevel="0" collapsed="false">
      <c r="A29" s="18" t="s">
        <v>1053</v>
      </c>
      <c r="B29" s="19" t="n">
        <v>45869</v>
      </c>
      <c r="C29" s="18" t="s">
        <v>267</v>
      </c>
      <c r="D29" s="18" t="s">
        <v>869</v>
      </c>
      <c r="E29" s="18" t="s">
        <v>242</v>
      </c>
      <c r="F29" s="18"/>
      <c r="G29" s="18" t="s">
        <v>1019</v>
      </c>
      <c r="H29" s="30" t="n">
        <v>48.3</v>
      </c>
      <c r="I29" s="18" t="s">
        <v>513</v>
      </c>
      <c r="J29" s="28" t="n">
        <v>4590.43</v>
      </c>
      <c r="K29" s="12" t="str">
        <f aca="false">TEXT(B29,"yyyy-mm")</f>
        <v>2025-07</v>
      </c>
      <c r="L29" s="21" t="str">
        <f aca="false">IFERROR(INDEX(Projects!$E$2:$E$500,MATCH(C29,Projects!$A$2:$A$500,0)),"")</f>
        <v>Cloud &amp; Infrastructure</v>
      </c>
      <c r="M29" s="31" t="n">
        <f aca="false">IF(I29="Yes",H29*INDEX(Resources!$I$2:$I$500,MATCH(E29,Resources!$A$2:$A$500,0)),0)</f>
        <v>9177</v>
      </c>
    </row>
    <row r="30" customFormat="false" ht="15" hidden="false" customHeight="false" outlineLevel="0" collapsed="false">
      <c r="A30" s="18" t="s">
        <v>1054</v>
      </c>
      <c r="B30" s="19" t="n">
        <v>45869</v>
      </c>
      <c r="C30" s="18" t="s">
        <v>267</v>
      </c>
      <c r="D30" s="18" t="s">
        <v>869</v>
      </c>
      <c r="E30" s="18" t="s">
        <v>348</v>
      </c>
      <c r="F30" s="18"/>
      <c r="G30" s="18" t="s">
        <v>1019</v>
      </c>
      <c r="H30" s="30" t="n">
        <v>49.9</v>
      </c>
      <c r="I30" s="18" t="s">
        <v>513</v>
      </c>
      <c r="J30" s="28" t="n">
        <v>6483.01</v>
      </c>
      <c r="K30" s="12" t="str">
        <f aca="false">TEXT(B30,"yyyy-mm")</f>
        <v>2025-07</v>
      </c>
      <c r="L30" s="21" t="str">
        <f aca="false">IFERROR(INDEX(Projects!$E$2:$E$500,MATCH(C30,Projects!$A$2:$A$500,0)),"")</f>
        <v>Cloud &amp; Infrastructure</v>
      </c>
      <c r="M30" s="31" t="n">
        <f aca="false">IF(I30="Yes",H30*INDEX(Resources!$I$2:$I$500,MATCH(E30,Resources!$A$2:$A$500,0)),0)</f>
        <v>12974</v>
      </c>
    </row>
    <row r="31" customFormat="false" ht="15" hidden="false" customHeight="false" outlineLevel="0" collapsed="false">
      <c r="A31" s="18" t="s">
        <v>1055</v>
      </c>
      <c r="B31" s="19" t="n">
        <v>45869</v>
      </c>
      <c r="C31" s="18" t="s">
        <v>267</v>
      </c>
      <c r="D31" s="18" t="s">
        <v>869</v>
      </c>
      <c r="E31" s="18" t="s">
        <v>405</v>
      </c>
      <c r="F31" s="18"/>
      <c r="G31" s="18" t="s">
        <v>1019</v>
      </c>
      <c r="H31" s="30" t="n">
        <v>93.3</v>
      </c>
      <c r="I31" s="18" t="s">
        <v>513</v>
      </c>
      <c r="J31" s="28" t="n">
        <v>9270.29</v>
      </c>
      <c r="K31" s="12" t="str">
        <f aca="false">TEXT(B31,"yyyy-mm")</f>
        <v>2025-07</v>
      </c>
      <c r="L31" s="21" t="str">
        <f aca="false">IFERROR(INDEX(Projects!$E$2:$E$500,MATCH(C31,Projects!$A$2:$A$500,0)),"")</f>
        <v>Cloud &amp; Infrastructure</v>
      </c>
      <c r="M31" s="31" t="n">
        <f aca="false">IF(I31="Yes",H31*INDEX(Resources!$I$2:$I$500,MATCH(E31,Resources!$A$2:$A$500,0)),0)</f>
        <v>18660</v>
      </c>
    </row>
    <row r="32" customFormat="false" ht="15" hidden="false" customHeight="false" outlineLevel="0" collapsed="false">
      <c r="A32" s="18" t="s">
        <v>1056</v>
      </c>
      <c r="B32" s="19" t="n">
        <v>45869</v>
      </c>
      <c r="C32" s="18" t="s">
        <v>267</v>
      </c>
      <c r="D32" s="18" t="s">
        <v>869</v>
      </c>
      <c r="E32" s="18" t="s">
        <v>477</v>
      </c>
      <c r="F32" s="18"/>
      <c r="G32" s="18" t="s">
        <v>1019</v>
      </c>
      <c r="H32" s="30" t="n">
        <v>143</v>
      </c>
      <c r="I32" s="18" t="s">
        <v>513</v>
      </c>
      <c r="J32" s="28" t="n">
        <v>15592.72</v>
      </c>
      <c r="K32" s="12" t="str">
        <f aca="false">TEXT(B32,"yyyy-mm")</f>
        <v>2025-07</v>
      </c>
      <c r="L32" s="21" t="str">
        <f aca="false">IFERROR(INDEX(Projects!$E$2:$E$500,MATCH(C32,Projects!$A$2:$A$500,0)),"")</f>
        <v>Cloud &amp; Infrastructure</v>
      </c>
      <c r="M32" s="31" t="n">
        <f aca="false">IF(I32="Yes",H32*INDEX(Resources!$I$2:$I$500,MATCH(E32,Resources!$A$2:$A$500,0)),0)</f>
        <v>31460</v>
      </c>
    </row>
    <row r="33" customFormat="false" ht="15" hidden="false" customHeight="false" outlineLevel="0" collapsed="false">
      <c r="A33" s="18" t="s">
        <v>1057</v>
      </c>
      <c r="B33" s="19" t="n">
        <v>45869</v>
      </c>
      <c r="C33" s="18" t="s">
        <v>267</v>
      </c>
      <c r="D33" s="18" t="s">
        <v>869</v>
      </c>
      <c r="E33" s="18" t="s">
        <v>489</v>
      </c>
      <c r="F33" s="18"/>
      <c r="G33" s="18" t="s">
        <v>1019</v>
      </c>
      <c r="H33" s="30" t="n">
        <v>97.9</v>
      </c>
      <c r="I33" s="18" t="s">
        <v>513</v>
      </c>
      <c r="J33" s="28" t="n">
        <v>8419.4</v>
      </c>
      <c r="K33" s="12" t="str">
        <f aca="false">TEXT(B33,"yyyy-mm")</f>
        <v>2025-07</v>
      </c>
      <c r="L33" s="21" t="str">
        <f aca="false">IFERROR(INDEX(Projects!$E$2:$E$500,MATCH(C33,Projects!$A$2:$A$500,0)),"")</f>
        <v>Cloud &amp; Infrastructure</v>
      </c>
      <c r="M33" s="31" t="n">
        <f aca="false">IF(I33="Yes",H33*INDEX(Resources!$I$2:$I$500,MATCH(E33,Resources!$A$2:$A$500,0)),0)</f>
        <v>17132.5</v>
      </c>
    </row>
    <row r="34" customFormat="false" ht="15" hidden="false" customHeight="false" outlineLevel="0" collapsed="false">
      <c r="A34" s="18" t="s">
        <v>1058</v>
      </c>
      <c r="B34" s="19" t="n">
        <v>45869</v>
      </c>
      <c r="C34" s="18" t="s">
        <v>267</v>
      </c>
      <c r="D34" s="18" t="s">
        <v>872</v>
      </c>
      <c r="E34" s="18"/>
      <c r="F34" s="18" t="s">
        <v>1059</v>
      </c>
      <c r="G34" s="18" t="s">
        <v>1026</v>
      </c>
      <c r="H34" s="30" t="n">
        <v>0</v>
      </c>
      <c r="I34" s="18" t="s">
        <v>527</v>
      </c>
      <c r="J34" s="28" t="n">
        <v>1861.53</v>
      </c>
      <c r="K34" s="12" t="str">
        <f aca="false">TEXT(B34,"yyyy-mm")</f>
        <v>2025-07</v>
      </c>
      <c r="L34" s="21" t="str">
        <f aca="false">IFERROR(INDEX(Projects!$E$2:$E$500,MATCH(C34,Projects!$A$2:$A$500,0)),"")</f>
        <v>Cloud &amp; Infrastructure</v>
      </c>
      <c r="M34" s="31" t="n">
        <f aca="false">IF(I34="Yes",H34*INDEX(Resources!$I$2:$I$500,MATCH(E34,Resources!$A$2:$A$500,0)),0)</f>
        <v>0</v>
      </c>
    </row>
    <row r="35" customFormat="false" ht="15" hidden="false" customHeight="false" outlineLevel="0" collapsed="false">
      <c r="A35" s="18" t="s">
        <v>1060</v>
      </c>
      <c r="B35" s="19" t="n">
        <v>45869</v>
      </c>
      <c r="C35" s="18" t="s">
        <v>267</v>
      </c>
      <c r="D35" s="18" t="s">
        <v>876</v>
      </c>
      <c r="E35" s="18"/>
      <c r="F35" s="18" t="s">
        <v>1032</v>
      </c>
      <c r="G35" s="18" t="s">
        <v>1033</v>
      </c>
      <c r="H35" s="30" t="n">
        <v>0</v>
      </c>
      <c r="I35" s="18" t="s">
        <v>527</v>
      </c>
      <c r="J35" s="28" t="n">
        <v>631.86</v>
      </c>
      <c r="K35" s="12" t="str">
        <f aca="false">TEXT(B35,"yyyy-mm")</f>
        <v>2025-07</v>
      </c>
      <c r="L35" s="21" t="str">
        <f aca="false">IFERROR(INDEX(Projects!$E$2:$E$500,MATCH(C35,Projects!$A$2:$A$500,0)),"")</f>
        <v>Cloud &amp; Infrastructure</v>
      </c>
      <c r="M35" s="31" t="n">
        <f aca="false">IF(I35="Yes",H35*INDEX(Resources!$I$2:$I$500,MATCH(E35,Resources!$A$2:$A$500,0)),0)</f>
        <v>0</v>
      </c>
    </row>
    <row r="36" customFormat="false" ht="15" hidden="false" customHeight="false" outlineLevel="0" collapsed="false">
      <c r="A36" s="18" t="s">
        <v>1061</v>
      </c>
      <c r="B36" s="19" t="n">
        <v>45869</v>
      </c>
      <c r="C36" s="18" t="s">
        <v>277</v>
      </c>
      <c r="D36" s="18" t="s">
        <v>889</v>
      </c>
      <c r="E36" s="18"/>
      <c r="F36" s="18" t="s">
        <v>1035</v>
      </c>
      <c r="G36" s="18" t="s">
        <v>1026</v>
      </c>
      <c r="H36" s="30" t="n">
        <v>0</v>
      </c>
      <c r="I36" s="18" t="s">
        <v>527</v>
      </c>
      <c r="J36" s="28" t="n">
        <v>6094.71</v>
      </c>
      <c r="K36" s="12" t="str">
        <f aca="false">TEXT(B36,"yyyy-mm")</f>
        <v>2025-07</v>
      </c>
      <c r="L36" s="21" t="str">
        <f aca="false">IFERROR(INDEX(Projects!$E$2:$E$500,MATCH(C36,Projects!$A$2:$A$500,0)),"")</f>
        <v>Cloud &amp; Infrastructure</v>
      </c>
      <c r="M36" s="31" t="n">
        <f aca="false">IF(I36="Yes",H36*INDEX(Resources!$I$2:$I$500,MATCH(E36,Resources!$A$2:$A$500,0)),0)</f>
        <v>0</v>
      </c>
    </row>
    <row r="37" customFormat="false" ht="15" hidden="false" customHeight="false" outlineLevel="0" collapsed="false">
      <c r="A37" s="18" t="s">
        <v>1062</v>
      </c>
      <c r="B37" s="19" t="n">
        <v>45869</v>
      </c>
      <c r="C37" s="18" t="s">
        <v>277</v>
      </c>
      <c r="D37" s="18" t="s">
        <v>882</v>
      </c>
      <c r="E37" s="18"/>
      <c r="F37" s="18" t="s">
        <v>1063</v>
      </c>
      <c r="G37" s="18" t="s">
        <v>1026</v>
      </c>
      <c r="H37" s="30" t="n">
        <v>0</v>
      </c>
      <c r="I37" s="18" t="s">
        <v>527</v>
      </c>
      <c r="J37" s="28" t="n">
        <v>18858.49</v>
      </c>
      <c r="K37" s="12" t="str">
        <f aca="false">TEXT(B37,"yyyy-mm")</f>
        <v>2025-07</v>
      </c>
      <c r="L37" s="21" t="str">
        <f aca="false">IFERROR(INDEX(Projects!$E$2:$E$500,MATCH(C37,Projects!$A$2:$A$500,0)),"")</f>
        <v>Cloud &amp; Infrastructure</v>
      </c>
      <c r="M37" s="31" t="n">
        <f aca="false">IF(I37="Yes",H37*INDEX(Resources!$I$2:$I$500,MATCH(E37,Resources!$A$2:$A$500,0)),0)</f>
        <v>0</v>
      </c>
    </row>
    <row r="38" customFormat="false" ht="15" hidden="false" customHeight="false" outlineLevel="0" collapsed="false">
      <c r="A38" s="18" t="s">
        <v>1064</v>
      </c>
      <c r="B38" s="19" t="n">
        <v>45869</v>
      </c>
      <c r="C38" s="18" t="s">
        <v>277</v>
      </c>
      <c r="D38" s="18" t="s">
        <v>869</v>
      </c>
      <c r="E38" s="18" t="s">
        <v>226</v>
      </c>
      <c r="F38" s="18"/>
      <c r="G38" s="18" t="s">
        <v>1019</v>
      </c>
      <c r="H38" s="30" t="n">
        <v>86.6</v>
      </c>
      <c r="I38" s="18" t="s">
        <v>513</v>
      </c>
      <c r="J38" s="28" t="n">
        <v>7620.8</v>
      </c>
      <c r="K38" s="12" t="str">
        <f aca="false">TEXT(B38,"yyyy-mm")</f>
        <v>2025-07</v>
      </c>
      <c r="L38" s="21" t="str">
        <f aca="false">IFERROR(INDEX(Projects!$E$2:$E$500,MATCH(C38,Projects!$A$2:$A$500,0)),"")</f>
        <v>Cloud &amp; Infrastructure</v>
      </c>
      <c r="M38" s="31" t="n">
        <f aca="false">IF(I38="Yes",H38*INDEX(Resources!$I$2:$I$500,MATCH(E38,Resources!$A$2:$A$500,0)),0)</f>
        <v>15155</v>
      </c>
    </row>
    <row r="39" customFormat="false" ht="15" hidden="false" customHeight="false" outlineLevel="0" collapsed="false">
      <c r="A39" s="18" t="s">
        <v>1065</v>
      </c>
      <c r="B39" s="19" t="n">
        <v>45869</v>
      </c>
      <c r="C39" s="18" t="s">
        <v>277</v>
      </c>
      <c r="D39" s="18" t="s">
        <v>869</v>
      </c>
      <c r="E39" s="18" t="s">
        <v>354</v>
      </c>
      <c r="F39" s="18"/>
      <c r="G39" s="18" t="s">
        <v>1019</v>
      </c>
      <c r="H39" s="30" t="n">
        <v>45.1</v>
      </c>
      <c r="I39" s="18" t="s">
        <v>513</v>
      </c>
      <c r="J39" s="28" t="n">
        <v>5859.39</v>
      </c>
      <c r="K39" s="12" t="str">
        <f aca="false">TEXT(B39,"yyyy-mm")</f>
        <v>2025-07</v>
      </c>
      <c r="L39" s="21" t="str">
        <f aca="false">IFERROR(INDEX(Projects!$E$2:$E$500,MATCH(C39,Projects!$A$2:$A$500,0)),"")</f>
        <v>Cloud &amp; Infrastructure</v>
      </c>
      <c r="M39" s="31" t="n">
        <f aca="false">IF(I39="Yes",H39*INDEX(Resources!$I$2:$I$500,MATCH(E39,Resources!$A$2:$A$500,0)),0)</f>
        <v>11726</v>
      </c>
    </row>
    <row r="40" customFormat="false" ht="15" hidden="false" customHeight="false" outlineLevel="0" collapsed="false">
      <c r="A40" s="18" t="s">
        <v>1066</v>
      </c>
      <c r="B40" s="19" t="n">
        <v>45869</v>
      </c>
      <c r="C40" s="18" t="s">
        <v>277</v>
      </c>
      <c r="D40" s="18" t="s">
        <v>869</v>
      </c>
      <c r="E40" s="18" t="s">
        <v>400</v>
      </c>
      <c r="F40" s="18"/>
      <c r="G40" s="18" t="s">
        <v>1019</v>
      </c>
      <c r="H40" s="30" t="n">
        <v>92.2</v>
      </c>
      <c r="I40" s="18" t="s">
        <v>513</v>
      </c>
      <c r="J40" s="28" t="n">
        <v>9160.99</v>
      </c>
      <c r="K40" s="12" t="str">
        <f aca="false">TEXT(B40,"yyyy-mm")</f>
        <v>2025-07</v>
      </c>
      <c r="L40" s="21" t="str">
        <f aca="false">IFERROR(INDEX(Projects!$E$2:$E$500,MATCH(C40,Projects!$A$2:$A$500,0)),"")</f>
        <v>Cloud &amp; Infrastructure</v>
      </c>
      <c r="M40" s="31" t="n">
        <f aca="false">IF(I40="Yes",H40*INDEX(Resources!$I$2:$I$500,MATCH(E40,Resources!$A$2:$A$500,0)),0)</f>
        <v>18440</v>
      </c>
    </row>
    <row r="41" customFormat="false" ht="15" hidden="false" customHeight="false" outlineLevel="0" collapsed="false">
      <c r="A41" s="18" t="s">
        <v>1067</v>
      </c>
      <c r="B41" s="19" t="n">
        <v>45869</v>
      </c>
      <c r="C41" s="18" t="s">
        <v>277</v>
      </c>
      <c r="D41" s="18" t="s">
        <v>869</v>
      </c>
      <c r="E41" s="18" t="s">
        <v>470</v>
      </c>
      <c r="F41" s="18"/>
      <c r="G41" s="18" t="s">
        <v>1019</v>
      </c>
      <c r="H41" s="30" t="n">
        <v>175.2</v>
      </c>
      <c r="I41" s="18" t="s">
        <v>513</v>
      </c>
      <c r="J41" s="28" t="n">
        <v>19103.81</v>
      </c>
      <c r="K41" s="12" t="str">
        <f aca="false">TEXT(B41,"yyyy-mm")</f>
        <v>2025-07</v>
      </c>
      <c r="L41" s="21" t="str">
        <f aca="false">IFERROR(INDEX(Projects!$E$2:$E$500,MATCH(C41,Projects!$A$2:$A$500,0)),"")</f>
        <v>Cloud &amp; Infrastructure</v>
      </c>
      <c r="M41" s="31" t="n">
        <f aca="false">IF(I41="Yes",H41*INDEX(Resources!$I$2:$I$500,MATCH(E41,Resources!$A$2:$A$500,0)),0)</f>
        <v>38544</v>
      </c>
    </row>
    <row r="42" customFormat="false" ht="15" hidden="false" customHeight="false" outlineLevel="0" collapsed="false">
      <c r="A42" s="18" t="s">
        <v>1068</v>
      </c>
      <c r="B42" s="19" t="n">
        <v>45869</v>
      </c>
      <c r="C42" s="18" t="s">
        <v>277</v>
      </c>
      <c r="D42" s="18" t="s">
        <v>869</v>
      </c>
      <c r="E42" s="18" t="s">
        <v>489</v>
      </c>
      <c r="F42" s="18"/>
      <c r="G42" s="18" t="s">
        <v>1019</v>
      </c>
      <c r="H42" s="30" t="n">
        <v>96.6</v>
      </c>
      <c r="I42" s="18" t="s">
        <v>513</v>
      </c>
      <c r="J42" s="28" t="n">
        <v>8307.6</v>
      </c>
      <c r="K42" s="12" t="str">
        <f aca="false">TEXT(B42,"yyyy-mm")</f>
        <v>2025-07</v>
      </c>
      <c r="L42" s="21" t="str">
        <f aca="false">IFERROR(INDEX(Projects!$E$2:$E$500,MATCH(C42,Projects!$A$2:$A$500,0)),"")</f>
        <v>Cloud &amp; Infrastructure</v>
      </c>
      <c r="M42" s="31" t="n">
        <f aca="false">IF(I42="Yes",H42*INDEX(Resources!$I$2:$I$500,MATCH(E42,Resources!$A$2:$A$500,0)),0)</f>
        <v>16905</v>
      </c>
    </row>
    <row r="43" customFormat="false" ht="15" hidden="false" customHeight="false" outlineLevel="0" collapsed="false">
      <c r="A43" s="18" t="s">
        <v>1069</v>
      </c>
      <c r="B43" s="19" t="n">
        <v>45869</v>
      </c>
      <c r="C43" s="18" t="s">
        <v>277</v>
      </c>
      <c r="D43" s="18" t="s">
        <v>872</v>
      </c>
      <c r="E43" s="18"/>
      <c r="F43" s="18" t="s">
        <v>1025</v>
      </c>
      <c r="G43" s="18" t="s">
        <v>1026</v>
      </c>
      <c r="H43" s="30" t="n">
        <v>0</v>
      </c>
      <c r="I43" s="18" t="s">
        <v>527</v>
      </c>
      <c r="J43" s="28" t="n">
        <v>1829.07</v>
      </c>
      <c r="K43" s="12" t="str">
        <f aca="false">TEXT(B43,"yyyy-mm")</f>
        <v>2025-07</v>
      </c>
      <c r="L43" s="21" t="str">
        <f aca="false">IFERROR(INDEX(Projects!$E$2:$E$500,MATCH(C43,Projects!$A$2:$A$500,0)),"")</f>
        <v>Cloud &amp; Infrastructure</v>
      </c>
      <c r="M43" s="31" t="n">
        <f aca="false">IF(I43="Yes",H43*INDEX(Resources!$I$2:$I$500,MATCH(E43,Resources!$A$2:$A$500,0)),0)</f>
        <v>0</v>
      </c>
    </row>
    <row r="44" customFormat="false" ht="15" hidden="false" customHeight="false" outlineLevel="0" collapsed="false">
      <c r="A44" s="18" t="s">
        <v>1070</v>
      </c>
      <c r="B44" s="19" t="n">
        <v>45869</v>
      </c>
      <c r="C44" s="18" t="s">
        <v>277</v>
      </c>
      <c r="D44" s="18" t="s">
        <v>876</v>
      </c>
      <c r="E44" s="18"/>
      <c r="F44" s="18" t="s">
        <v>1071</v>
      </c>
      <c r="G44" s="18" t="s">
        <v>1033</v>
      </c>
      <c r="H44" s="30" t="n">
        <v>0</v>
      </c>
      <c r="I44" s="18" t="s">
        <v>527</v>
      </c>
      <c r="J44" s="28" t="n">
        <v>706.69</v>
      </c>
      <c r="K44" s="12" t="str">
        <f aca="false">TEXT(B44,"yyyy-mm")</f>
        <v>2025-07</v>
      </c>
      <c r="L44" s="21" t="str">
        <f aca="false">IFERROR(INDEX(Projects!$E$2:$E$500,MATCH(C44,Projects!$A$2:$A$500,0)),"")</f>
        <v>Cloud &amp; Infrastructure</v>
      </c>
      <c r="M44" s="31" t="n">
        <f aca="false">IF(I44="Yes",H44*INDEX(Resources!$I$2:$I$500,MATCH(E44,Resources!$A$2:$A$500,0)),0)</f>
        <v>0</v>
      </c>
    </row>
    <row r="45" customFormat="false" ht="15" hidden="false" customHeight="false" outlineLevel="0" collapsed="false">
      <c r="A45" s="18" t="s">
        <v>1072</v>
      </c>
      <c r="B45" s="19" t="n">
        <v>45869</v>
      </c>
      <c r="C45" s="18" t="s">
        <v>281</v>
      </c>
      <c r="D45" s="18" t="s">
        <v>869</v>
      </c>
      <c r="E45" s="18" t="s">
        <v>247</v>
      </c>
      <c r="F45" s="18"/>
      <c r="G45" s="18" t="s">
        <v>1019</v>
      </c>
      <c r="H45" s="30" t="n">
        <v>95.9</v>
      </c>
      <c r="I45" s="18" t="s">
        <v>513</v>
      </c>
      <c r="J45" s="28" t="n">
        <v>8439.2</v>
      </c>
      <c r="K45" s="12" t="str">
        <f aca="false">TEXT(B45,"yyyy-mm")</f>
        <v>2025-07</v>
      </c>
      <c r="L45" s="21" t="str">
        <f aca="false">IFERROR(INDEX(Projects!$E$2:$E$500,MATCH(C45,Projects!$A$2:$A$500,0)),"")</f>
        <v>Digital Transformation</v>
      </c>
      <c r="M45" s="31" t="n">
        <f aca="false">IF(I45="Yes",H45*INDEX(Resources!$I$2:$I$500,MATCH(E45,Resources!$A$2:$A$500,0)),0)</f>
        <v>16782.5</v>
      </c>
    </row>
    <row r="46" customFormat="false" ht="15" hidden="false" customHeight="false" outlineLevel="0" collapsed="false">
      <c r="A46" s="18" t="s">
        <v>1073</v>
      </c>
      <c r="B46" s="19" t="n">
        <v>45869</v>
      </c>
      <c r="C46" s="18" t="s">
        <v>281</v>
      </c>
      <c r="D46" s="18" t="s">
        <v>869</v>
      </c>
      <c r="E46" s="18" t="s">
        <v>357</v>
      </c>
      <c r="F46" s="18"/>
      <c r="G46" s="18" t="s">
        <v>1019</v>
      </c>
      <c r="H46" s="30" t="n">
        <v>44.9</v>
      </c>
      <c r="I46" s="18" t="s">
        <v>513</v>
      </c>
      <c r="J46" s="28" t="n">
        <v>5431.1</v>
      </c>
      <c r="K46" s="12" t="str">
        <f aca="false">TEXT(B46,"yyyy-mm")</f>
        <v>2025-07</v>
      </c>
      <c r="L46" s="21" t="str">
        <f aca="false">IFERROR(INDEX(Projects!$E$2:$E$500,MATCH(C46,Projects!$A$2:$A$500,0)),"")</f>
        <v>Digital Transformation</v>
      </c>
      <c r="M46" s="31" t="n">
        <f aca="false">IF(I46="Yes",H46*INDEX(Resources!$I$2:$I$500,MATCH(E46,Resources!$A$2:$A$500,0)),0)</f>
        <v>11000.5</v>
      </c>
    </row>
    <row r="47" customFormat="false" ht="15" hidden="false" customHeight="false" outlineLevel="0" collapsed="false">
      <c r="A47" s="18" t="s">
        <v>1074</v>
      </c>
      <c r="B47" s="19" t="n">
        <v>45869</v>
      </c>
      <c r="C47" s="18" t="s">
        <v>281</v>
      </c>
      <c r="D47" s="18" t="s">
        <v>869</v>
      </c>
      <c r="E47" s="18" t="s">
        <v>371</v>
      </c>
      <c r="F47" s="18"/>
      <c r="G47" s="18" t="s">
        <v>1019</v>
      </c>
      <c r="H47" s="30" t="n">
        <v>164.1</v>
      </c>
      <c r="I47" s="18" t="s">
        <v>513</v>
      </c>
      <c r="J47" s="28" t="n">
        <v>10377.68</v>
      </c>
      <c r="K47" s="12" t="str">
        <f aca="false">TEXT(B47,"yyyy-mm")</f>
        <v>2025-07</v>
      </c>
      <c r="L47" s="21" t="str">
        <f aca="false">IFERROR(INDEX(Projects!$E$2:$E$500,MATCH(C47,Projects!$A$2:$A$500,0)),"")</f>
        <v>Digital Transformation</v>
      </c>
      <c r="M47" s="31" t="n">
        <f aca="false">IF(I47="Yes",H47*INDEX(Resources!$I$2:$I$500,MATCH(E47,Resources!$A$2:$A$500,0)),0)</f>
        <v>21333</v>
      </c>
    </row>
    <row r="48" customFormat="false" ht="15" hidden="false" customHeight="false" outlineLevel="0" collapsed="false">
      <c r="A48" s="18" t="s">
        <v>1075</v>
      </c>
      <c r="B48" s="19" t="n">
        <v>45869</v>
      </c>
      <c r="C48" s="18" t="s">
        <v>281</v>
      </c>
      <c r="D48" s="18" t="s">
        <v>869</v>
      </c>
      <c r="E48" s="18" t="s">
        <v>395</v>
      </c>
      <c r="F48" s="18"/>
      <c r="G48" s="18" t="s">
        <v>1019</v>
      </c>
      <c r="H48" s="30" t="n">
        <v>156.6</v>
      </c>
      <c r="I48" s="18" t="s">
        <v>513</v>
      </c>
      <c r="J48" s="28" t="n">
        <v>16748.37</v>
      </c>
      <c r="K48" s="12" t="str">
        <f aca="false">TEXT(B48,"yyyy-mm")</f>
        <v>2025-07</v>
      </c>
      <c r="L48" s="21" t="str">
        <f aca="false">IFERROR(INDEX(Projects!$E$2:$E$500,MATCH(C48,Projects!$A$2:$A$500,0)),"")</f>
        <v>Digital Transformation</v>
      </c>
      <c r="M48" s="31" t="n">
        <f aca="false">IF(I48="Yes",H48*INDEX(Resources!$I$2:$I$500,MATCH(E48,Resources!$A$2:$A$500,0)),0)</f>
        <v>26622</v>
      </c>
    </row>
    <row r="49" customFormat="false" ht="15" hidden="false" customHeight="false" outlineLevel="0" collapsed="false">
      <c r="A49" s="18" t="s">
        <v>1076</v>
      </c>
      <c r="B49" s="19" t="n">
        <v>45869</v>
      </c>
      <c r="C49" s="18" t="s">
        <v>281</v>
      </c>
      <c r="D49" s="18" t="s">
        <v>869</v>
      </c>
      <c r="E49" s="18" t="s">
        <v>417</v>
      </c>
      <c r="F49" s="18"/>
      <c r="G49" s="18" t="s">
        <v>1019</v>
      </c>
      <c r="H49" s="30" t="n">
        <v>174.6</v>
      </c>
      <c r="I49" s="18" t="s">
        <v>513</v>
      </c>
      <c r="J49" s="28" t="n">
        <v>9498.24</v>
      </c>
      <c r="K49" s="12" t="str">
        <f aca="false">TEXT(B49,"yyyy-mm")</f>
        <v>2025-07</v>
      </c>
      <c r="L49" s="21" t="str">
        <f aca="false">IFERROR(INDEX(Projects!$E$2:$E$500,MATCH(C49,Projects!$A$2:$A$500,0)),"")</f>
        <v>Digital Transformation</v>
      </c>
      <c r="M49" s="31" t="n">
        <f aca="false">IF(I49="Yes",H49*INDEX(Resources!$I$2:$I$500,MATCH(E49,Resources!$A$2:$A$500,0)),0)</f>
        <v>19206</v>
      </c>
    </row>
    <row r="50" customFormat="false" ht="15" hidden="false" customHeight="false" outlineLevel="0" collapsed="false">
      <c r="A50" s="18" t="s">
        <v>1077</v>
      </c>
      <c r="B50" s="19" t="n">
        <v>45869</v>
      </c>
      <c r="C50" s="18" t="s">
        <v>281</v>
      </c>
      <c r="D50" s="18" t="s">
        <v>872</v>
      </c>
      <c r="E50" s="18"/>
      <c r="F50" s="18" t="s">
        <v>1025</v>
      </c>
      <c r="G50" s="18" t="s">
        <v>1026</v>
      </c>
      <c r="H50" s="30" t="n">
        <v>0</v>
      </c>
      <c r="I50" s="18" t="s">
        <v>527</v>
      </c>
      <c r="J50" s="28" t="n">
        <v>3818.71</v>
      </c>
      <c r="K50" s="12" t="str">
        <f aca="false">TEXT(B50,"yyyy-mm")</f>
        <v>2025-07</v>
      </c>
      <c r="L50" s="21" t="str">
        <f aca="false">IFERROR(INDEX(Projects!$E$2:$E$500,MATCH(C50,Projects!$A$2:$A$500,0)),"")</f>
        <v>Digital Transformation</v>
      </c>
      <c r="M50" s="31" t="n">
        <f aca="false">IF(I50="Yes",H50*INDEX(Resources!$I$2:$I$500,MATCH(E50,Resources!$A$2:$A$500,0)),0)</f>
        <v>0</v>
      </c>
    </row>
    <row r="51" customFormat="false" ht="15" hidden="false" customHeight="false" outlineLevel="0" collapsed="false">
      <c r="A51" s="18" t="s">
        <v>1078</v>
      </c>
      <c r="B51" s="19" t="n">
        <v>45869</v>
      </c>
      <c r="C51" s="18" t="s">
        <v>281</v>
      </c>
      <c r="D51" s="18" t="s">
        <v>874</v>
      </c>
      <c r="E51" s="18"/>
      <c r="F51" s="18" t="s">
        <v>1028</v>
      </c>
      <c r="G51" s="18" t="s">
        <v>1026</v>
      </c>
      <c r="H51" s="30" t="n">
        <v>0</v>
      </c>
      <c r="I51" s="18" t="s">
        <v>527</v>
      </c>
      <c r="J51" s="28" t="n">
        <v>5951.93</v>
      </c>
      <c r="K51" s="12" t="str">
        <f aca="false">TEXT(B51,"yyyy-mm")</f>
        <v>2025-07</v>
      </c>
      <c r="L51" s="21" t="str">
        <f aca="false">IFERROR(INDEX(Projects!$E$2:$E$500,MATCH(C51,Projects!$A$2:$A$500,0)),"")</f>
        <v>Digital Transformation</v>
      </c>
      <c r="M51" s="31" t="n">
        <f aca="false">IF(I51="Yes",H51*INDEX(Resources!$I$2:$I$500,MATCH(E51,Resources!$A$2:$A$500,0)),0)</f>
        <v>0</v>
      </c>
    </row>
    <row r="52" customFormat="false" ht="15" hidden="false" customHeight="false" outlineLevel="0" collapsed="false">
      <c r="A52" s="18" t="s">
        <v>1079</v>
      </c>
      <c r="B52" s="19" t="n">
        <v>45869</v>
      </c>
      <c r="C52" s="18" t="s">
        <v>281</v>
      </c>
      <c r="D52" s="18" t="s">
        <v>495</v>
      </c>
      <c r="E52" s="18"/>
      <c r="F52" s="18" t="s">
        <v>1030</v>
      </c>
      <c r="G52" s="18" t="s">
        <v>1026</v>
      </c>
      <c r="H52" s="30" t="n">
        <v>0</v>
      </c>
      <c r="I52" s="18" t="s">
        <v>527</v>
      </c>
      <c r="J52" s="28" t="n">
        <v>1438.15</v>
      </c>
      <c r="K52" s="12" t="str">
        <f aca="false">TEXT(B52,"yyyy-mm")</f>
        <v>2025-07</v>
      </c>
      <c r="L52" s="21" t="str">
        <f aca="false">IFERROR(INDEX(Projects!$E$2:$E$500,MATCH(C52,Projects!$A$2:$A$500,0)),"")</f>
        <v>Digital Transformation</v>
      </c>
      <c r="M52" s="31" t="n">
        <f aca="false">IF(I52="Yes",H52*INDEX(Resources!$I$2:$I$500,MATCH(E52,Resources!$A$2:$A$500,0)),0)</f>
        <v>0</v>
      </c>
    </row>
    <row r="53" customFormat="false" ht="15" hidden="false" customHeight="false" outlineLevel="0" collapsed="false">
      <c r="A53" s="18" t="s">
        <v>1080</v>
      </c>
      <c r="B53" s="19" t="n">
        <v>45869</v>
      </c>
      <c r="C53" s="18" t="s">
        <v>281</v>
      </c>
      <c r="D53" s="18" t="s">
        <v>876</v>
      </c>
      <c r="E53" s="18"/>
      <c r="F53" s="18" t="s">
        <v>1071</v>
      </c>
      <c r="G53" s="18" t="s">
        <v>1033</v>
      </c>
      <c r="H53" s="30" t="n">
        <v>0</v>
      </c>
      <c r="I53" s="18" t="s">
        <v>527</v>
      </c>
      <c r="J53" s="28" t="n">
        <v>939.92</v>
      </c>
      <c r="K53" s="12" t="str">
        <f aca="false">TEXT(B53,"yyyy-mm")</f>
        <v>2025-07</v>
      </c>
      <c r="L53" s="21" t="str">
        <f aca="false">IFERROR(INDEX(Projects!$E$2:$E$500,MATCH(C53,Projects!$A$2:$A$500,0)),"")</f>
        <v>Digital Transformation</v>
      </c>
      <c r="M53" s="31" t="n">
        <f aca="false">IF(I53="Yes",H53*INDEX(Resources!$I$2:$I$500,MATCH(E53,Resources!$A$2:$A$500,0)),0)</f>
        <v>0</v>
      </c>
    </row>
    <row r="54" customFormat="false" ht="15" hidden="false" customHeight="false" outlineLevel="0" collapsed="false">
      <c r="A54" s="18" t="s">
        <v>1081</v>
      </c>
      <c r="B54" s="19" t="n">
        <v>45900</v>
      </c>
      <c r="C54" s="18" t="s">
        <v>265</v>
      </c>
      <c r="D54" s="18" t="s">
        <v>869</v>
      </c>
      <c r="E54" s="18" t="s">
        <v>211</v>
      </c>
      <c r="F54" s="18"/>
      <c r="G54" s="18" t="s">
        <v>1019</v>
      </c>
      <c r="H54" s="30" t="n">
        <v>94</v>
      </c>
      <c r="I54" s="18" t="s">
        <v>513</v>
      </c>
      <c r="J54" s="28" t="n">
        <v>9595.52</v>
      </c>
      <c r="K54" s="12" t="str">
        <f aca="false">TEXT(B54,"yyyy-mm")</f>
        <v>2025-08</v>
      </c>
      <c r="L54" s="21" t="str">
        <f aca="false">IFERROR(INDEX(Projects!$E$2:$E$500,MATCH(C54,Projects!$A$2:$A$500,0)),"")</f>
        <v>Digital Transformation</v>
      </c>
      <c r="M54" s="31" t="n">
        <f aca="false">IF(I54="Yes",H54*INDEX(Resources!$I$2:$I$500,MATCH(E54,Resources!$A$2:$A$500,0)),0)</f>
        <v>19270</v>
      </c>
    </row>
    <row r="55" customFormat="false" ht="15" hidden="false" customHeight="false" outlineLevel="0" collapsed="false">
      <c r="A55" s="18" t="s">
        <v>1082</v>
      </c>
      <c r="B55" s="19" t="n">
        <v>45900</v>
      </c>
      <c r="C55" s="18" t="s">
        <v>265</v>
      </c>
      <c r="D55" s="18" t="s">
        <v>869</v>
      </c>
      <c r="E55" s="18" t="s">
        <v>360</v>
      </c>
      <c r="F55" s="18"/>
      <c r="G55" s="18" t="s">
        <v>1019</v>
      </c>
      <c r="H55" s="30" t="n">
        <v>98.8</v>
      </c>
      <c r="I55" s="18" t="s">
        <v>513</v>
      </c>
      <c r="J55" s="28" t="n">
        <v>10291.01</v>
      </c>
      <c r="K55" s="12" t="str">
        <f aca="false">TEXT(B55,"yyyy-mm")</f>
        <v>2025-08</v>
      </c>
      <c r="L55" s="21" t="str">
        <f aca="false">IFERROR(INDEX(Projects!$E$2:$E$500,MATCH(C55,Projects!$A$2:$A$500,0)),"")</f>
        <v>Digital Transformation</v>
      </c>
      <c r="M55" s="31" t="n">
        <f aca="false">IF(I55="Yes",H55*INDEX(Resources!$I$2:$I$500,MATCH(E55,Resources!$A$2:$A$500,0)),0)</f>
        <v>20748</v>
      </c>
    </row>
    <row r="56" customFormat="false" ht="15" hidden="false" customHeight="false" outlineLevel="0" collapsed="false">
      <c r="A56" s="18" t="s">
        <v>1083</v>
      </c>
      <c r="B56" s="19" t="n">
        <v>45900</v>
      </c>
      <c r="C56" s="18" t="s">
        <v>265</v>
      </c>
      <c r="D56" s="18" t="s">
        <v>869</v>
      </c>
      <c r="E56" s="18" t="s">
        <v>375</v>
      </c>
      <c r="F56" s="18"/>
      <c r="G56" s="18" t="s">
        <v>1019</v>
      </c>
      <c r="H56" s="30" t="n">
        <v>155.9</v>
      </c>
      <c r="I56" s="18" t="s">
        <v>513</v>
      </c>
      <c r="J56" s="28" t="n">
        <v>11263.77</v>
      </c>
      <c r="K56" s="12" t="str">
        <f aca="false">TEXT(B56,"yyyy-mm")</f>
        <v>2025-08</v>
      </c>
      <c r="L56" s="21" t="str">
        <f aca="false">IFERROR(INDEX(Projects!$E$2:$E$500,MATCH(C56,Projects!$A$2:$A$500,0)),"")</f>
        <v>Digital Transformation</v>
      </c>
      <c r="M56" s="31" t="n">
        <f aca="false">IF(I56="Yes",H56*INDEX(Resources!$I$2:$I$500,MATCH(E56,Resources!$A$2:$A$500,0)),0)</f>
        <v>18708</v>
      </c>
    </row>
    <row r="57" customFormat="false" ht="15" hidden="false" customHeight="false" outlineLevel="0" collapsed="false">
      <c r="A57" s="18" t="s">
        <v>1084</v>
      </c>
      <c r="B57" s="19" t="n">
        <v>45900</v>
      </c>
      <c r="C57" s="18" t="s">
        <v>265</v>
      </c>
      <c r="D57" s="18" t="s">
        <v>869</v>
      </c>
      <c r="E57" s="18" t="s">
        <v>403</v>
      </c>
      <c r="F57" s="18"/>
      <c r="G57" s="18" t="s">
        <v>1019</v>
      </c>
      <c r="H57" s="30" t="n">
        <v>139.7</v>
      </c>
      <c r="I57" s="18" t="s">
        <v>513</v>
      </c>
      <c r="J57" s="28" t="n">
        <v>11952.73</v>
      </c>
      <c r="K57" s="12" t="str">
        <f aca="false">TEXT(B57,"yyyy-mm")</f>
        <v>2025-08</v>
      </c>
      <c r="L57" s="21" t="str">
        <f aca="false">IFERROR(INDEX(Projects!$E$2:$E$500,MATCH(C57,Projects!$A$2:$A$500,0)),"")</f>
        <v>Digital Transformation</v>
      </c>
      <c r="M57" s="31" t="n">
        <f aca="false">IF(I57="Yes",H57*INDEX(Resources!$I$2:$I$500,MATCH(E57,Resources!$A$2:$A$500,0)),0)</f>
        <v>23749</v>
      </c>
    </row>
    <row r="58" customFormat="false" ht="15" hidden="false" customHeight="false" outlineLevel="0" collapsed="false">
      <c r="A58" s="18" t="s">
        <v>1085</v>
      </c>
      <c r="B58" s="19" t="n">
        <v>45900</v>
      </c>
      <c r="C58" s="18" t="s">
        <v>265</v>
      </c>
      <c r="D58" s="18" t="s">
        <v>869</v>
      </c>
      <c r="E58" s="18" t="s">
        <v>432</v>
      </c>
      <c r="F58" s="18"/>
      <c r="G58" s="18" t="s">
        <v>1019</v>
      </c>
      <c r="H58" s="30" t="n">
        <v>106.7</v>
      </c>
      <c r="I58" s="18" t="s">
        <v>513</v>
      </c>
      <c r="J58" s="28" t="n">
        <v>6828.8</v>
      </c>
      <c r="K58" s="12" t="str">
        <f aca="false">TEXT(B58,"yyyy-mm")</f>
        <v>2025-08</v>
      </c>
      <c r="L58" s="21" t="str">
        <f aca="false">IFERROR(INDEX(Projects!$E$2:$E$500,MATCH(C58,Projects!$A$2:$A$500,0)),"")</f>
        <v>Digital Transformation</v>
      </c>
      <c r="M58" s="31" t="n">
        <f aca="false">IF(I58="Yes",H58*INDEX(Resources!$I$2:$I$500,MATCH(E58,Resources!$A$2:$A$500,0)),0)</f>
        <v>13871</v>
      </c>
    </row>
    <row r="59" customFormat="false" ht="15" hidden="false" customHeight="false" outlineLevel="0" collapsed="false">
      <c r="A59" s="18" t="s">
        <v>1086</v>
      </c>
      <c r="B59" s="19" t="n">
        <v>45900</v>
      </c>
      <c r="C59" s="18" t="s">
        <v>265</v>
      </c>
      <c r="D59" s="18" t="s">
        <v>872</v>
      </c>
      <c r="E59" s="18"/>
      <c r="F59" s="18" t="s">
        <v>353</v>
      </c>
      <c r="G59" s="18" t="s">
        <v>1026</v>
      </c>
      <c r="H59" s="30" t="n">
        <v>0</v>
      </c>
      <c r="I59" s="18" t="s">
        <v>527</v>
      </c>
      <c r="J59" s="28" t="n">
        <v>3984.55</v>
      </c>
      <c r="K59" s="12" t="str">
        <f aca="false">TEXT(B59,"yyyy-mm")</f>
        <v>2025-08</v>
      </c>
      <c r="L59" s="21" t="str">
        <f aca="false">IFERROR(INDEX(Projects!$E$2:$E$500,MATCH(C59,Projects!$A$2:$A$500,0)),"")</f>
        <v>Digital Transformation</v>
      </c>
      <c r="M59" s="31" t="n">
        <f aca="false">IF(I59="Yes",H59*INDEX(Resources!$I$2:$I$500,MATCH(E59,Resources!$A$2:$A$500,0)),0)</f>
        <v>0</v>
      </c>
    </row>
    <row r="60" customFormat="false" ht="15" hidden="false" customHeight="false" outlineLevel="0" collapsed="false">
      <c r="A60" s="18" t="s">
        <v>1087</v>
      </c>
      <c r="B60" s="19" t="n">
        <v>45900</v>
      </c>
      <c r="C60" s="18" t="s">
        <v>265</v>
      </c>
      <c r="D60" s="18" t="s">
        <v>874</v>
      </c>
      <c r="E60" s="18"/>
      <c r="F60" s="18" t="s">
        <v>1028</v>
      </c>
      <c r="G60" s="18" t="s">
        <v>1026</v>
      </c>
      <c r="H60" s="30" t="n">
        <v>0</v>
      </c>
      <c r="I60" s="18" t="s">
        <v>527</v>
      </c>
      <c r="J60" s="28" t="n">
        <v>5706.99</v>
      </c>
      <c r="K60" s="12" t="str">
        <f aca="false">TEXT(B60,"yyyy-mm")</f>
        <v>2025-08</v>
      </c>
      <c r="L60" s="21" t="str">
        <f aca="false">IFERROR(INDEX(Projects!$E$2:$E$500,MATCH(C60,Projects!$A$2:$A$500,0)),"")</f>
        <v>Digital Transformation</v>
      </c>
      <c r="M60" s="31" t="n">
        <f aca="false">IF(I60="Yes",H60*INDEX(Resources!$I$2:$I$500,MATCH(E60,Resources!$A$2:$A$500,0)),0)</f>
        <v>0</v>
      </c>
    </row>
    <row r="61" customFormat="false" ht="15" hidden="false" customHeight="false" outlineLevel="0" collapsed="false">
      <c r="A61" s="18" t="s">
        <v>1088</v>
      </c>
      <c r="B61" s="19" t="n">
        <v>45900</v>
      </c>
      <c r="C61" s="18" t="s">
        <v>265</v>
      </c>
      <c r="D61" s="18" t="s">
        <v>495</v>
      </c>
      <c r="E61" s="18"/>
      <c r="F61" s="18" t="s">
        <v>1030</v>
      </c>
      <c r="G61" s="18" t="s">
        <v>1026</v>
      </c>
      <c r="H61" s="30" t="n">
        <v>0</v>
      </c>
      <c r="I61" s="18" t="s">
        <v>527</v>
      </c>
      <c r="J61" s="28" t="n">
        <v>1509.96</v>
      </c>
      <c r="K61" s="12" t="str">
        <f aca="false">TEXT(B61,"yyyy-mm")</f>
        <v>2025-08</v>
      </c>
      <c r="L61" s="21" t="str">
        <f aca="false">IFERROR(INDEX(Projects!$E$2:$E$500,MATCH(C61,Projects!$A$2:$A$500,0)),"")</f>
        <v>Digital Transformation</v>
      </c>
      <c r="M61" s="31" t="n">
        <f aca="false">IF(I61="Yes",H61*INDEX(Resources!$I$2:$I$500,MATCH(E61,Resources!$A$2:$A$500,0)),0)</f>
        <v>0</v>
      </c>
    </row>
    <row r="62" customFormat="false" ht="15" hidden="false" customHeight="false" outlineLevel="0" collapsed="false">
      <c r="A62" s="18" t="s">
        <v>1089</v>
      </c>
      <c r="B62" s="19" t="n">
        <v>45900</v>
      </c>
      <c r="C62" s="18" t="s">
        <v>265</v>
      </c>
      <c r="D62" s="18" t="s">
        <v>876</v>
      </c>
      <c r="E62" s="18"/>
      <c r="F62" s="18" t="s">
        <v>1071</v>
      </c>
      <c r="G62" s="18" t="s">
        <v>1033</v>
      </c>
      <c r="H62" s="30" t="n">
        <v>0</v>
      </c>
      <c r="I62" s="18" t="s">
        <v>527</v>
      </c>
      <c r="J62" s="28" t="n">
        <v>993.27</v>
      </c>
      <c r="K62" s="12" t="str">
        <f aca="false">TEXT(B62,"yyyy-mm")</f>
        <v>2025-08</v>
      </c>
      <c r="L62" s="21" t="str">
        <f aca="false">IFERROR(INDEX(Projects!$E$2:$E$500,MATCH(C62,Projects!$A$2:$A$500,0)),"")</f>
        <v>Digital Transformation</v>
      </c>
      <c r="M62" s="31" t="n">
        <f aca="false">IF(I62="Yes",H62*INDEX(Resources!$I$2:$I$500,MATCH(E62,Resources!$A$2:$A$500,0)),0)</f>
        <v>0</v>
      </c>
    </row>
    <row r="63" customFormat="false" ht="15" hidden="false" customHeight="false" outlineLevel="0" collapsed="false">
      <c r="A63" s="18" t="s">
        <v>1090</v>
      </c>
      <c r="B63" s="19" t="n">
        <v>45900</v>
      </c>
      <c r="C63" s="18" t="s">
        <v>267</v>
      </c>
      <c r="D63" s="18" t="s">
        <v>889</v>
      </c>
      <c r="E63" s="18"/>
      <c r="F63" s="18" t="s">
        <v>1035</v>
      </c>
      <c r="G63" s="18" t="s">
        <v>1026</v>
      </c>
      <c r="H63" s="30" t="n">
        <v>0</v>
      </c>
      <c r="I63" s="18" t="s">
        <v>527</v>
      </c>
      <c r="J63" s="28" t="n">
        <v>5249.87</v>
      </c>
      <c r="K63" s="12" t="str">
        <f aca="false">TEXT(B63,"yyyy-mm")</f>
        <v>2025-08</v>
      </c>
      <c r="L63" s="21" t="str">
        <f aca="false">IFERROR(INDEX(Projects!$E$2:$E$500,MATCH(C63,Projects!$A$2:$A$500,0)),"")</f>
        <v>Cloud &amp; Infrastructure</v>
      </c>
      <c r="M63" s="31" t="n">
        <f aca="false">IF(I63="Yes",H63*INDEX(Resources!$I$2:$I$500,MATCH(E63,Resources!$A$2:$A$500,0)),0)</f>
        <v>0</v>
      </c>
    </row>
    <row r="64" customFormat="false" ht="15" hidden="false" customHeight="false" outlineLevel="0" collapsed="false">
      <c r="A64" s="18" t="s">
        <v>1091</v>
      </c>
      <c r="B64" s="19" t="n">
        <v>45900</v>
      </c>
      <c r="C64" s="18" t="s">
        <v>267</v>
      </c>
      <c r="D64" s="18" t="s">
        <v>869</v>
      </c>
      <c r="E64" s="18" t="s">
        <v>242</v>
      </c>
      <c r="F64" s="18"/>
      <c r="G64" s="18" t="s">
        <v>1019</v>
      </c>
      <c r="H64" s="30" t="n">
        <v>42.1</v>
      </c>
      <c r="I64" s="18" t="s">
        <v>513</v>
      </c>
      <c r="J64" s="28" t="n">
        <v>4001.18</v>
      </c>
      <c r="K64" s="12" t="str">
        <f aca="false">TEXT(B64,"yyyy-mm")</f>
        <v>2025-08</v>
      </c>
      <c r="L64" s="21" t="str">
        <f aca="false">IFERROR(INDEX(Projects!$E$2:$E$500,MATCH(C64,Projects!$A$2:$A$500,0)),"")</f>
        <v>Cloud &amp; Infrastructure</v>
      </c>
      <c r="M64" s="31" t="n">
        <f aca="false">IF(I64="Yes",H64*INDEX(Resources!$I$2:$I$500,MATCH(E64,Resources!$A$2:$A$500,0)),0)</f>
        <v>7999</v>
      </c>
    </row>
    <row r="65" customFormat="false" ht="15" hidden="false" customHeight="false" outlineLevel="0" collapsed="false">
      <c r="A65" s="18" t="s">
        <v>1092</v>
      </c>
      <c r="B65" s="19" t="n">
        <v>45900</v>
      </c>
      <c r="C65" s="18" t="s">
        <v>267</v>
      </c>
      <c r="D65" s="18" t="s">
        <v>869</v>
      </c>
      <c r="E65" s="18" t="s">
        <v>348</v>
      </c>
      <c r="F65" s="18"/>
      <c r="G65" s="18" t="s">
        <v>1019</v>
      </c>
      <c r="H65" s="30" t="n">
        <v>44.5</v>
      </c>
      <c r="I65" s="18" t="s">
        <v>513</v>
      </c>
      <c r="J65" s="28" t="n">
        <v>5781.44</v>
      </c>
      <c r="K65" s="12" t="str">
        <f aca="false">TEXT(B65,"yyyy-mm")</f>
        <v>2025-08</v>
      </c>
      <c r="L65" s="21" t="str">
        <f aca="false">IFERROR(INDEX(Projects!$E$2:$E$500,MATCH(C65,Projects!$A$2:$A$500,0)),"")</f>
        <v>Cloud &amp; Infrastructure</v>
      </c>
      <c r="M65" s="31" t="n">
        <f aca="false">IF(I65="Yes",H65*INDEX(Resources!$I$2:$I$500,MATCH(E65,Resources!$A$2:$A$500,0)),0)</f>
        <v>11570</v>
      </c>
    </row>
    <row r="66" customFormat="false" ht="15" hidden="false" customHeight="false" outlineLevel="0" collapsed="false">
      <c r="A66" s="18" t="s">
        <v>1093</v>
      </c>
      <c r="B66" s="19" t="n">
        <v>45900</v>
      </c>
      <c r="C66" s="18" t="s">
        <v>267</v>
      </c>
      <c r="D66" s="18" t="s">
        <v>869</v>
      </c>
      <c r="E66" s="18" t="s">
        <v>405</v>
      </c>
      <c r="F66" s="18"/>
      <c r="G66" s="18" t="s">
        <v>1019</v>
      </c>
      <c r="H66" s="30" t="n">
        <v>88.9</v>
      </c>
      <c r="I66" s="18" t="s">
        <v>513</v>
      </c>
      <c r="J66" s="28" t="n">
        <v>8833.1</v>
      </c>
      <c r="K66" s="12" t="str">
        <f aca="false">TEXT(B66,"yyyy-mm")</f>
        <v>2025-08</v>
      </c>
      <c r="L66" s="21" t="str">
        <f aca="false">IFERROR(INDEX(Projects!$E$2:$E$500,MATCH(C66,Projects!$A$2:$A$500,0)),"")</f>
        <v>Cloud &amp; Infrastructure</v>
      </c>
      <c r="M66" s="31" t="n">
        <f aca="false">IF(I66="Yes",H66*INDEX(Resources!$I$2:$I$500,MATCH(E66,Resources!$A$2:$A$500,0)),0)</f>
        <v>17780</v>
      </c>
    </row>
    <row r="67" customFormat="false" ht="15" hidden="false" customHeight="false" outlineLevel="0" collapsed="false">
      <c r="A67" s="18" t="s">
        <v>1094</v>
      </c>
      <c r="B67" s="19" t="n">
        <v>45900</v>
      </c>
      <c r="C67" s="18" t="s">
        <v>267</v>
      </c>
      <c r="D67" s="18" t="s">
        <v>869</v>
      </c>
      <c r="E67" s="18" t="s">
        <v>477</v>
      </c>
      <c r="F67" s="18"/>
      <c r="G67" s="18" t="s">
        <v>1019</v>
      </c>
      <c r="H67" s="30" t="n">
        <v>119.3</v>
      </c>
      <c r="I67" s="18" t="s">
        <v>513</v>
      </c>
      <c r="J67" s="28" t="n">
        <v>13008.47</v>
      </c>
      <c r="K67" s="12" t="str">
        <f aca="false">TEXT(B67,"yyyy-mm")</f>
        <v>2025-08</v>
      </c>
      <c r="L67" s="21" t="str">
        <f aca="false">IFERROR(INDEX(Projects!$E$2:$E$500,MATCH(C67,Projects!$A$2:$A$500,0)),"")</f>
        <v>Cloud &amp; Infrastructure</v>
      </c>
      <c r="M67" s="31" t="n">
        <f aca="false">IF(I67="Yes",H67*INDEX(Resources!$I$2:$I$500,MATCH(E67,Resources!$A$2:$A$500,0)),0)</f>
        <v>26246</v>
      </c>
    </row>
    <row r="68" customFormat="false" ht="15" hidden="false" customHeight="false" outlineLevel="0" collapsed="false">
      <c r="A68" s="18" t="s">
        <v>1095</v>
      </c>
      <c r="B68" s="19" t="n">
        <v>45900</v>
      </c>
      <c r="C68" s="18" t="s">
        <v>267</v>
      </c>
      <c r="D68" s="18" t="s">
        <v>869</v>
      </c>
      <c r="E68" s="18" t="s">
        <v>489</v>
      </c>
      <c r="F68" s="18"/>
      <c r="G68" s="18" t="s">
        <v>1019</v>
      </c>
      <c r="H68" s="30" t="n">
        <v>88.8</v>
      </c>
      <c r="I68" s="18" t="s">
        <v>513</v>
      </c>
      <c r="J68" s="28" t="n">
        <v>7636.8</v>
      </c>
      <c r="K68" s="12" t="str">
        <f aca="false">TEXT(B68,"yyyy-mm")</f>
        <v>2025-08</v>
      </c>
      <c r="L68" s="21" t="str">
        <f aca="false">IFERROR(INDEX(Projects!$E$2:$E$500,MATCH(C68,Projects!$A$2:$A$500,0)),"")</f>
        <v>Cloud &amp; Infrastructure</v>
      </c>
      <c r="M68" s="31" t="n">
        <f aca="false">IF(I68="Yes",H68*INDEX(Resources!$I$2:$I$500,MATCH(E68,Resources!$A$2:$A$500,0)),0)</f>
        <v>15540</v>
      </c>
    </row>
    <row r="69" customFormat="false" ht="15" hidden="false" customHeight="false" outlineLevel="0" collapsed="false">
      <c r="A69" s="18" t="s">
        <v>1096</v>
      </c>
      <c r="B69" s="19" t="n">
        <v>45900</v>
      </c>
      <c r="C69" s="18" t="s">
        <v>267</v>
      </c>
      <c r="D69" s="18" t="s">
        <v>872</v>
      </c>
      <c r="E69" s="18"/>
      <c r="F69" s="18" t="s">
        <v>1059</v>
      </c>
      <c r="G69" s="18" t="s">
        <v>1026</v>
      </c>
      <c r="H69" s="30" t="n">
        <v>0</v>
      </c>
      <c r="I69" s="18" t="s">
        <v>527</v>
      </c>
      <c r="J69" s="28" t="n">
        <v>1866.04</v>
      </c>
      <c r="K69" s="12" t="str">
        <f aca="false">TEXT(B69,"yyyy-mm")</f>
        <v>2025-08</v>
      </c>
      <c r="L69" s="21" t="str">
        <f aca="false">IFERROR(INDEX(Projects!$E$2:$E$500,MATCH(C69,Projects!$A$2:$A$500,0)),"")</f>
        <v>Cloud &amp; Infrastructure</v>
      </c>
      <c r="M69" s="31" t="n">
        <f aca="false">IF(I69="Yes",H69*INDEX(Resources!$I$2:$I$500,MATCH(E69,Resources!$A$2:$A$500,0)),0)</f>
        <v>0</v>
      </c>
    </row>
    <row r="70" customFormat="false" ht="15" hidden="false" customHeight="false" outlineLevel="0" collapsed="false">
      <c r="A70" s="18" t="s">
        <v>1097</v>
      </c>
      <c r="B70" s="19" t="n">
        <v>45900</v>
      </c>
      <c r="C70" s="18" t="s">
        <v>267</v>
      </c>
      <c r="D70" s="18" t="s">
        <v>876</v>
      </c>
      <c r="E70" s="18"/>
      <c r="F70" s="18" t="s">
        <v>1032</v>
      </c>
      <c r="G70" s="18" t="s">
        <v>1033</v>
      </c>
      <c r="H70" s="30" t="n">
        <v>0</v>
      </c>
      <c r="I70" s="18" t="s">
        <v>527</v>
      </c>
      <c r="J70" s="28" t="n">
        <v>793.61</v>
      </c>
      <c r="K70" s="12" t="str">
        <f aca="false">TEXT(B70,"yyyy-mm")</f>
        <v>2025-08</v>
      </c>
      <c r="L70" s="21" t="str">
        <f aca="false">IFERROR(INDEX(Projects!$E$2:$E$500,MATCH(C70,Projects!$A$2:$A$500,0)),"")</f>
        <v>Cloud &amp; Infrastructure</v>
      </c>
      <c r="M70" s="31" t="n">
        <f aca="false">IF(I70="Yes",H70*INDEX(Resources!$I$2:$I$500,MATCH(E70,Resources!$A$2:$A$500,0)),0)</f>
        <v>0</v>
      </c>
    </row>
    <row r="71" customFormat="false" ht="15" hidden="false" customHeight="false" outlineLevel="0" collapsed="false">
      <c r="A71" s="18" t="s">
        <v>1098</v>
      </c>
      <c r="B71" s="19" t="n">
        <v>45900</v>
      </c>
      <c r="C71" s="18" t="s">
        <v>277</v>
      </c>
      <c r="D71" s="18" t="s">
        <v>889</v>
      </c>
      <c r="E71" s="18"/>
      <c r="F71" s="18" t="s">
        <v>1035</v>
      </c>
      <c r="G71" s="18" t="s">
        <v>1026</v>
      </c>
      <c r="H71" s="30" t="n">
        <v>0</v>
      </c>
      <c r="I71" s="18" t="s">
        <v>527</v>
      </c>
      <c r="J71" s="28" t="n">
        <v>5215.63</v>
      </c>
      <c r="K71" s="12" t="str">
        <f aca="false">TEXT(B71,"yyyy-mm")</f>
        <v>2025-08</v>
      </c>
      <c r="L71" s="21" t="str">
        <f aca="false">IFERROR(INDEX(Projects!$E$2:$E$500,MATCH(C71,Projects!$A$2:$A$500,0)),"")</f>
        <v>Cloud &amp; Infrastructure</v>
      </c>
      <c r="M71" s="31" t="n">
        <f aca="false">IF(I71="Yes",H71*INDEX(Resources!$I$2:$I$500,MATCH(E71,Resources!$A$2:$A$500,0)),0)</f>
        <v>0</v>
      </c>
    </row>
    <row r="72" customFormat="false" ht="15" hidden="false" customHeight="false" outlineLevel="0" collapsed="false">
      <c r="A72" s="18" t="s">
        <v>1099</v>
      </c>
      <c r="B72" s="19" t="n">
        <v>45900</v>
      </c>
      <c r="C72" s="18" t="s">
        <v>277</v>
      </c>
      <c r="D72" s="18" t="s">
        <v>869</v>
      </c>
      <c r="E72" s="18" t="s">
        <v>226</v>
      </c>
      <c r="F72" s="18"/>
      <c r="G72" s="18" t="s">
        <v>1019</v>
      </c>
      <c r="H72" s="30" t="n">
        <v>79.5</v>
      </c>
      <c r="I72" s="18" t="s">
        <v>513</v>
      </c>
      <c r="J72" s="28" t="n">
        <v>6996</v>
      </c>
      <c r="K72" s="12" t="str">
        <f aca="false">TEXT(B72,"yyyy-mm")</f>
        <v>2025-08</v>
      </c>
      <c r="L72" s="21" t="str">
        <f aca="false">IFERROR(INDEX(Projects!$E$2:$E$500,MATCH(C72,Projects!$A$2:$A$500,0)),"")</f>
        <v>Cloud &amp; Infrastructure</v>
      </c>
      <c r="M72" s="31" t="n">
        <f aca="false">IF(I72="Yes",H72*INDEX(Resources!$I$2:$I$500,MATCH(E72,Resources!$A$2:$A$500,0)),0)</f>
        <v>13912.5</v>
      </c>
    </row>
    <row r="73" customFormat="false" ht="15" hidden="false" customHeight="false" outlineLevel="0" collapsed="false">
      <c r="A73" s="18" t="s">
        <v>1100</v>
      </c>
      <c r="B73" s="19" t="n">
        <v>45900</v>
      </c>
      <c r="C73" s="18" t="s">
        <v>277</v>
      </c>
      <c r="D73" s="18" t="s">
        <v>869</v>
      </c>
      <c r="E73" s="18" t="s">
        <v>354</v>
      </c>
      <c r="F73" s="18"/>
      <c r="G73" s="18" t="s">
        <v>1019</v>
      </c>
      <c r="H73" s="30" t="n">
        <v>43.9</v>
      </c>
      <c r="I73" s="18" t="s">
        <v>513</v>
      </c>
      <c r="J73" s="28" t="n">
        <v>5703.49</v>
      </c>
      <c r="K73" s="12" t="str">
        <f aca="false">TEXT(B73,"yyyy-mm")</f>
        <v>2025-08</v>
      </c>
      <c r="L73" s="21" t="str">
        <f aca="false">IFERROR(INDEX(Projects!$E$2:$E$500,MATCH(C73,Projects!$A$2:$A$500,0)),"")</f>
        <v>Cloud &amp; Infrastructure</v>
      </c>
      <c r="M73" s="31" t="n">
        <f aca="false">IF(I73="Yes",H73*INDEX(Resources!$I$2:$I$500,MATCH(E73,Resources!$A$2:$A$500,0)),0)</f>
        <v>11414</v>
      </c>
    </row>
    <row r="74" customFormat="false" ht="15" hidden="false" customHeight="false" outlineLevel="0" collapsed="false">
      <c r="A74" s="18" t="s">
        <v>1101</v>
      </c>
      <c r="B74" s="19" t="n">
        <v>45900</v>
      </c>
      <c r="C74" s="18" t="s">
        <v>277</v>
      </c>
      <c r="D74" s="18" t="s">
        <v>869</v>
      </c>
      <c r="E74" s="18" t="s">
        <v>400</v>
      </c>
      <c r="F74" s="18"/>
      <c r="G74" s="18" t="s">
        <v>1019</v>
      </c>
      <c r="H74" s="30" t="n">
        <v>76</v>
      </c>
      <c r="I74" s="18" t="s">
        <v>513</v>
      </c>
      <c r="J74" s="28" t="n">
        <v>7551.36</v>
      </c>
      <c r="K74" s="12" t="str">
        <f aca="false">TEXT(B74,"yyyy-mm")</f>
        <v>2025-08</v>
      </c>
      <c r="L74" s="21" t="str">
        <f aca="false">IFERROR(INDEX(Projects!$E$2:$E$500,MATCH(C74,Projects!$A$2:$A$500,0)),"")</f>
        <v>Cloud &amp; Infrastructure</v>
      </c>
      <c r="M74" s="31" t="n">
        <f aca="false">IF(I74="Yes",H74*INDEX(Resources!$I$2:$I$500,MATCH(E74,Resources!$A$2:$A$500,0)),0)</f>
        <v>15200</v>
      </c>
    </row>
    <row r="75" customFormat="false" ht="15" hidden="false" customHeight="false" outlineLevel="0" collapsed="false">
      <c r="A75" s="18" t="s">
        <v>1102</v>
      </c>
      <c r="B75" s="19" t="n">
        <v>45900</v>
      </c>
      <c r="C75" s="18" t="s">
        <v>277</v>
      </c>
      <c r="D75" s="18" t="s">
        <v>869</v>
      </c>
      <c r="E75" s="18" t="s">
        <v>470</v>
      </c>
      <c r="F75" s="18"/>
      <c r="G75" s="18" t="s">
        <v>1019</v>
      </c>
      <c r="H75" s="30" t="n">
        <v>157.5</v>
      </c>
      <c r="I75" s="18" t="s">
        <v>513</v>
      </c>
      <c r="J75" s="28" t="n">
        <v>17173.8</v>
      </c>
      <c r="K75" s="12" t="str">
        <f aca="false">TEXT(B75,"yyyy-mm")</f>
        <v>2025-08</v>
      </c>
      <c r="L75" s="21" t="str">
        <f aca="false">IFERROR(INDEX(Projects!$E$2:$E$500,MATCH(C75,Projects!$A$2:$A$500,0)),"")</f>
        <v>Cloud &amp; Infrastructure</v>
      </c>
      <c r="M75" s="31" t="n">
        <f aca="false">IF(I75="Yes",H75*INDEX(Resources!$I$2:$I$500,MATCH(E75,Resources!$A$2:$A$500,0)),0)</f>
        <v>34650</v>
      </c>
    </row>
    <row r="76" customFormat="false" ht="15" hidden="false" customHeight="false" outlineLevel="0" collapsed="false">
      <c r="A76" s="18" t="s">
        <v>1103</v>
      </c>
      <c r="B76" s="19" t="n">
        <v>45900</v>
      </c>
      <c r="C76" s="18" t="s">
        <v>277</v>
      </c>
      <c r="D76" s="18" t="s">
        <v>869</v>
      </c>
      <c r="E76" s="18" t="s">
        <v>489</v>
      </c>
      <c r="F76" s="18"/>
      <c r="G76" s="18" t="s">
        <v>1019</v>
      </c>
      <c r="H76" s="30" t="n">
        <v>74.7</v>
      </c>
      <c r="I76" s="18" t="s">
        <v>513</v>
      </c>
      <c r="J76" s="28" t="n">
        <v>6424.2</v>
      </c>
      <c r="K76" s="12" t="str">
        <f aca="false">TEXT(B76,"yyyy-mm")</f>
        <v>2025-08</v>
      </c>
      <c r="L76" s="21" t="str">
        <f aca="false">IFERROR(INDEX(Projects!$E$2:$E$500,MATCH(C76,Projects!$A$2:$A$500,0)),"")</f>
        <v>Cloud &amp; Infrastructure</v>
      </c>
      <c r="M76" s="31" t="n">
        <f aca="false">IF(I76="Yes",H76*INDEX(Resources!$I$2:$I$500,MATCH(E76,Resources!$A$2:$A$500,0)),0)</f>
        <v>13072.5</v>
      </c>
    </row>
    <row r="77" customFormat="false" ht="15" hidden="false" customHeight="false" outlineLevel="0" collapsed="false">
      <c r="A77" s="18" t="s">
        <v>1104</v>
      </c>
      <c r="B77" s="19" t="n">
        <v>45900</v>
      </c>
      <c r="C77" s="18" t="s">
        <v>277</v>
      </c>
      <c r="D77" s="18" t="s">
        <v>872</v>
      </c>
      <c r="E77" s="18"/>
      <c r="F77" s="18" t="s">
        <v>1025</v>
      </c>
      <c r="G77" s="18" t="s">
        <v>1026</v>
      </c>
      <c r="H77" s="30" t="n">
        <v>0</v>
      </c>
      <c r="I77" s="18" t="s">
        <v>527</v>
      </c>
      <c r="J77" s="28" t="n">
        <v>1906.29</v>
      </c>
      <c r="K77" s="12" t="str">
        <f aca="false">TEXT(B77,"yyyy-mm")</f>
        <v>2025-08</v>
      </c>
      <c r="L77" s="21" t="str">
        <f aca="false">IFERROR(INDEX(Projects!$E$2:$E$500,MATCH(C77,Projects!$A$2:$A$500,0)),"")</f>
        <v>Cloud &amp; Infrastructure</v>
      </c>
      <c r="M77" s="31" t="n">
        <f aca="false">IF(I77="Yes",H77*INDEX(Resources!$I$2:$I$500,MATCH(E77,Resources!$A$2:$A$500,0)),0)</f>
        <v>0</v>
      </c>
    </row>
    <row r="78" customFormat="false" ht="15" hidden="false" customHeight="false" outlineLevel="0" collapsed="false">
      <c r="A78" s="18" t="s">
        <v>1105</v>
      </c>
      <c r="B78" s="19" t="n">
        <v>45900</v>
      </c>
      <c r="C78" s="18" t="s">
        <v>277</v>
      </c>
      <c r="D78" s="18" t="s">
        <v>876</v>
      </c>
      <c r="E78" s="18"/>
      <c r="F78" s="18" t="s">
        <v>1032</v>
      </c>
      <c r="G78" s="18" t="s">
        <v>1033</v>
      </c>
      <c r="H78" s="30" t="n">
        <v>0</v>
      </c>
      <c r="I78" s="18" t="s">
        <v>527</v>
      </c>
      <c r="J78" s="28" t="n">
        <v>879.18</v>
      </c>
      <c r="K78" s="12" t="str">
        <f aca="false">TEXT(B78,"yyyy-mm")</f>
        <v>2025-08</v>
      </c>
      <c r="L78" s="21" t="str">
        <f aca="false">IFERROR(INDEX(Projects!$E$2:$E$500,MATCH(C78,Projects!$A$2:$A$500,0)),"")</f>
        <v>Cloud &amp; Infrastructure</v>
      </c>
      <c r="M78" s="31" t="n">
        <f aca="false">IF(I78="Yes",H78*INDEX(Resources!$I$2:$I$500,MATCH(E78,Resources!$A$2:$A$500,0)),0)</f>
        <v>0</v>
      </c>
    </row>
    <row r="79" customFormat="false" ht="15" hidden="false" customHeight="false" outlineLevel="0" collapsed="false">
      <c r="A79" s="18" t="s">
        <v>1106</v>
      </c>
      <c r="B79" s="19" t="n">
        <v>45900</v>
      </c>
      <c r="C79" s="18" t="s">
        <v>281</v>
      </c>
      <c r="D79" s="18" t="s">
        <v>869</v>
      </c>
      <c r="E79" s="18" t="s">
        <v>247</v>
      </c>
      <c r="F79" s="18"/>
      <c r="G79" s="18" t="s">
        <v>1019</v>
      </c>
      <c r="H79" s="30" t="n">
        <v>91.7</v>
      </c>
      <c r="I79" s="18" t="s">
        <v>513</v>
      </c>
      <c r="J79" s="28" t="n">
        <v>8069.6</v>
      </c>
      <c r="K79" s="12" t="str">
        <f aca="false">TEXT(B79,"yyyy-mm")</f>
        <v>2025-08</v>
      </c>
      <c r="L79" s="21" t="str">
        <f aca="false">IFERROR(INDEX(Projects!$E$2:$E$500,MATCH(C79,Projects!$A$2:$A$500,0)),"")</f>
        <v>Digital Transformation</v>
      </c>
      <c r="M79" s="31" t="n">
        <f aca="false">IF(I79="Yes",H79*INDEX(Resources!$I$2:$I$500,MATCH(E79,Resources!$A$2:$A$500,0)),0)</f>
        <v>16047.5</v>
      </c>
    </row>
    <row r="80" customFormat="false" ht="15" hidden="false" customHeight="false" outlineLevel="0" collapsed="false">
      <c r="A80" s="18" t="s">
        <v>1107</v>
      </c>
      <c r="B80" s="19" t="n">
        <v>45900</v>
      </c>
      <c r="C80" s="18" t="s">
        <v>281</v>
      </c>
      <c r="D80" s="18" t="s">
        <v>869</v>
      </c>
      <c r="E80" s="18" t="s">
        <v>357</v>
      </c>
      <c r="F80" s="18"/>
      <c r="G80" s="18" t="s">
        <v>1019</v>
      </c>
      <c r="H80" s="30" t="n">
        <v>49.7</v>
      </c>
      <c r="I80" s="18" t="s">
        <v>513</v>
      </c>
      <c r="J80" s="28" t="n">
        <v>6011.71</v>
      </c>
      <c r="K80" s="12" t="str">
        <f aca="false">TEXT(B80,"yyyy-mm")</f>
        <v>2025-08</v>
      </c>
      <c r="L80" s="21" t="str">
        <f aca="false">IFERROR(INDEX(Projects!$E$2:$E$500,MATCH(C80,Projects!$A$2:$A$500,0)),"")</f>
        <v>Digital Transformation</v>
      </c>
      <c r="M80" s="31" t="n">
        <f aca="false">IF(I80="Yes",H80*INDEX(Resources!$I$2:$I$500,MATCH(E80,Resources!$A$2:$A$500,0)),0)</f>
        <v>12176.5</v>
      </c>
    </row>
    <row r="81" customFormat="false" ht="15" hidden="false" customHeight="false" outlineLevel="0" collapsed="false">
      <c r="A81" s="18" t="s">
        <v>1108</v>
      </c>
      <c r="B81" s="19" t="n">
        <v>45900</v>
      </c>
      <c r="C81" s="18" t="s">
        <v>281</v>
      </c>
      <c r="D81" s="18" t="s">
        <v>869</v>
      </c>
      <c r="E81" s="18" t="s">
        <v>371</v>
      </c>
      <c r="F81" s="18"/>
      <c r="G81" s="18" t="s">
        <v>1019</v>
      </c>
      <c r="H81" s="30" t="n">
        <v>132.4</v>
      </c>
      <c r="I81" s="18" t="s">
        <v>513</v>
      </c>
      <c r="J81" s="28" t="n">
        <v>8372.98</v>
      </c>
      <c r="K81" s="12" t="str">
        <f aca="false">TEXT(B81,"yyyy-mm")</f>
        <v>2025-08</v>
      </c>
      <c r="L81" s="21" t="str">
        <f aca="false">IFERROR(INDEX(Projects!$E$2:$E$500,MATCH(C81,Projects!$A$2:$A$500,0)),"")</f>
        <v>Digital Transformation</v>
      </c>
      <c r="M81" s="31" t="n">
        <f aca="false">IF(I81="Yes",H81*INDEX(Resources!$I$2:$I$500,MATCH(E81,Resources!$A$2:$A$500,0)),0)</f>
        <v>17212</v>
      </c>
    </row>
    <row r="82" customFormat="false" ht="15" hidden="false" customHeight="false" outlineLevel="0" collapsed="false">
      <c r="A82" s="18" t="s">
        <v>1109</v>
      </c>
      <c r="B82" s="19" t="n">
        <v>45900</v>
      </c>
      <c r="C82" s="18" t="s">
        <v>281</v>
      </c>
      <c r="D82" s="18" t="s">
        <v>869</v>
      </c>
      <c r="E82" s="18" t="s">
        <v>395</v>
      </c>
      <c r="F82" s="18"/>
      <c r="G82" s="18" t="s">
        <v>1019</v>
      </c>
      <c r="H82" s="30" t="n">
        <v>132.8</v>
      </c>
      <c r="I82" s="18" t="s">
        <v>513</v>
      </c>
      <c r="J82" s="28" t="n">
        <v>14202.96</v>
      </c>
      <c r="K82" s="12" t="str">
        <f aca="false">TEXT(B82,"yyyy-mm")</f>
        <v>2025-08</v>
      </c>
      <c r="L82" s="21" t="str">
        <f aca="false">IFERROR(INDEX(Projects!$E$2:$E$500,MATCH(C82,Projects!$A$2:$A$500,0)),"")</f>
        <v>Digital Transformation</v>
      </c>
      <c r="M82" s="31" t="n">
        <f aca="false">IF(I82="Yes",H82*INDEX(Resources!$I$2:$I$500,MATCH(E82,Resources!$A$2:$A$500,0)),0)</f>
        <v>22576</v>
      </c>
    </row>
    <row r="83" customFormat="false" ht="15" hidden="false" customHeight="false" outlineLevel="0" collapsed="false">
      <c r="A83" s="18" t="s">
        <v>1110</v>
      </c>
      <c r="B83" s="19" t="n">
        <v>45900</v>
      </c>
      <c r="C83" s="18" t="s">
        <v>281</v>
      </c>
      <c r="D83" s="18" t="s">
        <v>869</v>
      </c>
      <c r="E83" s="18" t="s">
        <v>417</v>
      </c>
      <c r="F83" s="18"/>
      <c r="G83" s="18" t="s">
        <v>1019</v>
      </c>
      <c r="H83" s="30" t="n">
        <v>140.1</v>
      </c>
      <c r="I83" s="18" t="s">
        <v>513</v>
      </c>
      <c r="J83" s="28" t="n">
        <v>7621.44</v>
      </c>
      <c r="K83" s="12" t="str">
        <f aca="false">TEXT(B83,"yyyy-mm")</f>
        <v>2025-08</v>
      </c>
      <c r="L83" s="21" t="str">
        <f aca="false">IFERROR(INDEX(Projects!$E$2:$E$500,MATCH(C83,Projects!$A$2:$A$500,0)),"")</f>
        <v>Digital Transformation</v>
      </c>
      <c r="M83" s="31" t="n">
        <f aca="false">IF(I83="Yes",H83*INDEX(Resources!$I$2:$I$500,MATCH(E83,Resources!$A$2:$A$500,0)),0)</f>
        <v>15411</v>
      </c>
    </row>
    <row r="84" customFormat="false" ht="15" hidden="false" customHeight="false" outlineLevel="0" collapsed="false">
      <c r="A84" s="18" t="s">
        <v>1111</v>
      </c>
      <c r="B84" s="19" t="n">
        <v>45900</v>
      </c>
      <c r="C84" s="18" t="s">
        <v>281</v>
      </c>
      <c r="D84" s="18" t="s">
        <v>872</v>
      </c>
      <c r="E84" s="18"/>
      <c r="F84" s="18" t="s">
        <v>1025</v>
      </c>
      <c r="G84" s="18" t="s">
        <v>1026</v>
      </c>
      <c r="H84" s="30" t="n">
        <v>0</v>
      </c>
      <c r="I84" s="18" t="s">
        <v>527</v>
      </c>
      <c r="J84" s="28" t="n">
        <v>3006.99</v>
      </c>
      <c r="K84" s="12" t="str">
        <f aca="false">TEXT(B84,"yyyy-mm")</f>
        <v>2025-08</v>
      </c>
      <c r="L84" s="21" t="str">
        <f aca="false">IFERROR(INDEX(Projects!$E$2:$E$500,MATCH(C84,Projects!$A$2:$A$500,0)),"")</f>
        <v>Digital Transformation</v>
      </c>
      <c r="M84" s="31" t="n">
        <f aca="false">IF(I84="Yes",H84*INDEX(Resources!$I$2:$I$500,MATCH(E84,Resources!$A$2:$A$500,0)),0)</f>
        <v>0</v>
      </c>
    </row>
    <row r="85" customFormat="false" ht="15" hidden="false" customHeight="false" outlineLevel="0" collapsed="false">
      <c r="A85" s="18" t="s">
        <v>1112</v>
      </c>
      <c r="B85" s="19" t="n">
        <v>45900</v>
      </c>
      <c r="C85" s="18" t="s">
        <v>281</v>
      </c>
      <c r="D85" s="18" t="s">
        <v>874</v>
      </c>
      <c r="E85" s="18"/>
      <c r="F85" s="18" t="s">
        <v>1028</v>
      </c>
      <c r="G85" s="18" t="s">
        <v>1026</v>
      </c>
      <c r="H85" s="30" t="n">
        <v>0</v>
      </c>
      <c r="I85" s="18" t="s">
        <v>527</v>
      </c>
      <c r="J85" s="28" t="n">
        <v>6514.26</v>
      </c>
      <c r="K85" s="12" t="str">
        <f aca="false">TEXT(B85,"yyyy-mm")</f>
        <v>2025-08</v>
      </c>
      <c r="L85" s="21" t="str">
        <f aca="false">IFERROR(INDEX(Projects!$E$2:$E$500,MATCH(C85,Projects!$A$2:$A$500,0)),"")</f>
        <v>Digital Transformation</v>
      </c>
      <c r="M85" s="31" t="n">
        <f aca="false">IF(I85="Yes",H85*INDEX(Resources!$I$2:$I$500,MATCH(E85,Resources!$A$2:$A$500,0)),0)</f>
        <v>0</v>
      </c>
    </row>
    <row r="86" customFormat="false" ht="15" hidden="false" customHeight="false" outlineLevel="0" collapsed="false">
      <c r="A86" s="18" t="s">
        <v>1113</v>
      </c>
      <c r="B86" s="19" t="n">
        <v>45900</v>
      </c>
      <c r="C86" s="18" t="s">
        <v>281</v>
      </c>
      <c r="D86" s="18" t="s">
        <v>495</v>
      </c>
      <c r="E86" s="18"/>
      <c r="F86" s="18" t="s">
        <v>1030</v>
      </c>
      <c r="G86" s="18" t="s">
        <v>1026</v>
      </c>
      <c r="H86" s="30" t="n">
        <v>0</v>
      </c>
      <c r="I86" s="18" t="s">
        <v>527</v>
      </c>
      <c r="J86" s="28" t="n">
        <v>1330.84</v>
      </c>
      <c r="K86" s="12" t="str">
        <f aca="false">TEXT(B86,"yyyy-mm")</f>
        <v>2025-08</v>
      </c>
      <c r="L86" s="21" t="str">
        <f aca="false">IFERROR(INDEX(Projects!$E$2:$E$500,MATCH(C86,Projects!$A$2:$A$500,0)),"")</f>
        <v>Digital Transformation</v>
      </c>
      <c r="M86" s="31" t="n">
        <f aca="false">IF(I86="Yes",H86*INDEX(Resources!$I$2:$I$500,MATCH(E86,Resources!$A$2:$A$500,0)),0)</f>
        <v>0</v>
      </c>
    </row>
    <row r="87" customFormat="false" ht="15" hidden="false" customHeight="false" outlineLevel="0" collapsed="false">
      <c r="A87" s="18" t="s">
        <v>1114</v>
      </c>
      <c r="B87" s="19" t="n">
        <v>45900</v>
      </c>
      <c r="C87" s="18" t="s">
        <v>281</v>
      </c>
      <c r="D87" s="18" t="s">
        <v>876</v>
      </c>
      <c r="E87" s="18"/>
      <c r="F87" s="18" t="s">
        <v>1071</v>
      </c>
      <c r="G87" s="18" t="s">
        <v>1033</v>
      </c>
      <c r="H87" s="30" t="n">
        <v>0</v>
      </c>
      <c r="I87" s="18" t="s">
        <v>527</v>
      </c>
      <c r="J87" s="28" t="n">
        <v>845.42</v>
      </c>
      <c r="K87" s="12" t="str">
        <f aca="false">TEXT(B87,"yyyy-mm")</f>
        <v>2025-08</v>
      </c>
      <c r="L87" s="21" t="str">
        <f aca="false">IFERROR(INDEX(Projects!$E$2:$E$500,MATCH(C87,Projects!$A$2:$A$500,0)),"")</f>
        <v>Digital Transformation</v>
      </c>
      <c r="M87" s="31" t="n">
        <f aca="false">IF(I87="Yes",H87*INDEX(Resources!$I$2:$I$500,MATCH(E87,Resources!$A$2:$A$500,0)),0)</f>
        <v>0</v>
      </c>
    </row>
    <row r="88" customFormat="false" ht="15" hidden="false" customHeight="false" outlineLevel="0" collapsed="false">
      <c r="A88" s="18" t="s">
        <v>1115</v>
      </c>
      <c r="B88" s="19" t="n">
        <v>45930</v>
      </c>
      <c r="C88" s="18" t="s">
        <v>215</v>
      </c>
      <c r="D88" s="18" t="s">
        <v>889</v>
      </c>
      <c r="E88" s="18"/>
      <c r="F88" s="18" t="s">
        <v>1035</v>
      </c>
      <c r="G88" s="18" t="s">
        <v>1026</v>
      </c>
      <c r="H88" s="30" t="n">
        <v>0</v>
      </c>
      <c r="I88" s="18" t="s">
        <v>527</v>
      </c>
      <c r="J88" s="28" t="n">
        <v>4487.92</v>
      </c>
      <c r="K88" s="12" t="str">
        <f aca="false">TEXT(B88,"yyyy-mm")</f>
        <v>2025-09</v>
      </c>
      <c r="L88" s="21" t="str">
        <f aca="false">IFERROR(INDEX(Projects!$E$2:$E$500,MATCH(C88,Projects!$A$2:$A$500,0)),"")</f>
        <v>Data &amp; AI</v>
      </c>
      <c r="M88" s="31" t="n">
        <f aca="false">IF(I88="Yes",H88*INDEX(Resources!$I$2:$I$500,MATCH(E88,Resources!$A$2:$A$500,0)),0)</f>
        <v>0</v>
      </c>
    </row>
    <row r="89" customFormat="false" ht="15" hidden="false" customHeight="false" outlineLevel="0" collapsed="false">
      <c r="A89" s="18" t="s">
        <v>1116</v>
      </c>
      <c r="B89" s="19" t="n">
        <v>45930</v>
      </c>
      <c r="C89" s="18" t="s">
        <v>215</v>
      </c>
      <c r="D89" s="18" t="s">
        <v>869</v>
      </c>
      <c r="E89" s="18" t="s">
        <v>218</v>
      </c>
      <c r="F89" s="18"/>
      <c r="G89" s="18" t="s">
        <v>1019</v>
      </c>
      <c r="H89" s="30" t="n">
        <v>38.8</v>
      </c>
      <c r="I89" s="18" t="s">
        <v>527</v>
      </c>
      <c r="J89" s="28" t="n">
        <v>2902.24</v>
      </c>
      <c r="K89" s="12" t="str">
        <f aca="false">TEXT(B89,"yyyy-mm")</f>
        <v>2025-09</v>
      </c>
      <c r="L89" s="21" t="str">
        <f aca="false">IFERROR(INDEX(Projects!$E$2:$E$500,MATCH(C89,Projects!$A$2:$A$500,0)),"")</f>
        <v>Data &amp; AI</v>
      </c>
      <c r="M89" s="31" t="n">
        <f aca="false">IF(I89="Yes",H89*INDEX(Resources!$I$2:$I$500,MATCH(E89,Resources!$A$2:$A$500,0)),0)</f>
        <v>0</v>
      </c>
    </row>
    <row r="90" customFormat="false" ht="15" hidden="false" customHeight="false" outlineLevel="0" collapsed="false">
      <c r="A90" s="18" t="s">
        <v>1117</v>
      </c>
      <c r="B90" s="19" t="n">
        <v>45930</v>
      </c>
      <c r="C90" s="18" t="s">
        <v>215</v>
      </c>
      <c r="D90" s="18" t="s">
        <v>869</v>
      </c>
      <c r="E90" s="18" t="s">
        <v>357</v>
      </c>
      <c r="F90" s="18"/>
      <c r="G90" s="18" t="s">
        <v>1019</v>
      </c>
      <c r="H90" s="30" t="n">
        <v>38.8</v>
      </c>
      <c r="I90" s="18" t="s">
        <v>513</v>
      </c>
      <c r="J90" s="28" t="n">
        <v>4693.25</v>
      </c>
      <c r="K90" s="12" t="str">
        <f aca="false">TEXT(B90,"yyyy-mm")</f>
        <v>2025-09</v>
      </c>
      <c r="L90" s="21" t="str">
        <f aca="false">IFERROR(INDEX(Projects!$E$2:$E$500,MATCH(C90,Projects!$A$2:$A$500,0)),"")</f>
        <v>Data &amp; AI</v>
      </c>
      <c r="M90" s="31" t="n">
        <f aca="false">IF(I90="Yes",H90*INDEX(Resources!$I$2:$I$500,MATCH(E90,Resources!$A$2:$A$500,0)),0)</f>
        <v>9506</v>
      </c>
    </row>
    <row r="91" customFormat="false" ht="15" hidden="false" customHeight="false" outlineLevel="0" collapsed="false">
      <c r="A91" s="18" t="s">
        <v>1118</v>
      </c>
      <c r="B91" s="19" t="n">
        <v>45930</v>
      </c>
      <c r="C91" s="18" t="s">
        <v>215</v>
      </c>
      <c r="D91" s="18" t="s">
        <v>869</v>
      </c>
      <c r="E91" s="18" t="s">
        <v>414</v>
      </c>
      <c r="F91" s="18"/>
      <c r="G91" s="18" t="s">
        <v>1019</v>
      </c>
      <c r="H91" s="30" t="n">
        <v>72</v>
      </c>
      <c r="I91" s="18" t="s">
        <v>513</v>
      </c>
      <c r="J91" s="28" t="n">
        <v>4285.44</v>
      </c>
      <c r="K91" s="12" t="str">
        <f aca="false">TEXT(B91,"yyyy-mm")</f>
        <v>2025-09</v>
      </c>
      <c r="L91" s="21" t="str">
        <f aca="false">IFERROR(INDEX(Projects!$E$2:$E$500,MATCH(C91,Projects!$A$2:$A$500,0)),"")</f>
        <v>Data &amp; AI</v>
      </c>
      <c r="M91" s="31" t="n">
        <f aca="false">IF(I91="Yes",H91*INDEX(Resources!$I$2:$I$500,MATCH(E91,Resources!$A$2:$A$500,0)),0)</f>
        <v>8640</v>
      </c>
    </row>
    <row r="92" customFormat="false" ht="15" hidden="false" customHeight="false" outlineLevel="0" collapsed="false">
      <c r="A92" s="18" t="s">
        <v>1119</v>
      </c>
      <c r="B92" s="19" t="n">
        <v>45930</v>
      </c>
      <c r="C92" s="18" t="s">
        <v>215</v>
      </c>
      <c r="D92" s="18" t="s">
        <v>869</v>
      </c>
      <c r="E92" s="18" t="s">
        <v>450</v>
      </c>
      <c r="F92" s="18"/>
      <c r="G92" s="18" t="s">
        <v>1019</v>
      </c>
      <c r="H92" s="30" t="n">
        <v>164</v>
      </c>
      <c r="I92" s="18" t="s">
        <v>513</v>
      </c>
      <c r="J92" s="28" t="n">
        <v>17121.6</v>
      </c>
      <c r="K92" s="12" t="str">
        <f aca="false">TEXT(B92,"yyyy-mm")</f>
        <v>2025-09</v>
      </c>
      <c r="L92" s="21" t="str">
        <f aca="false">IFERROR(INDEX(Projects!$E$2:$E$500,MATCH(C92,Projects!$A$2:$A$500,0)),"")</f>
        <v>Data &amp; AI</v>
      </c>
      <c r="M92" s="31" t="n">
        <f aca="false">IF(I92="Yes",H92*INDEX(Resources!$I$2:$I$500,MATCH(E92,Resources!$A$2:$A$500,0)),0)</f>
        <v>34440</v>
      </c>
    </row>
    <row r="93" customFormat="false" ht="15" hidden="false" customHeight="false" outlineLevel="0" collapsed="false">
      <c r="A93" s="18" t="s">
        <v>1120</v>
      </c>
      <c r="B93" s="19" t="n">
        <v>45930</v>
      </c>
      <c r="C93" s="18" t="s">
        <v>215</v>
      </c>
      <c r="D93" s="18" t="s">
        <v>872</v>
      </c>
      <c r="E93" s="18"/>
      <c r="F93" s="18" t="s">
        <v>1059</v>
      </c>
      <c r="G93" s="18" t="s">
        <v>1026</v>
      </c>
      <c r="H93" s="30" t="n">
        <v>0</v>
      </c>
      <c r="I93" s="18" t="s">
        <v>527</v>
      </c>
      <c r="J93" s="28" t="n">
        <v>2781.28</v>
      </c>
      <c r="K93" s="12" t="str">
        <f aca="false">TEXT(B93,"yyyy-mm")</f>
        <v>2025-09</v>
      </c>
      <c r="L93" s="21" t="str">
        <f aca="false">IFERROR(INDEX(Projects!$E$2:$E$500,MATCH(C93,Projects!$A$2:$A$500,0)),"")</f>
        <v>Data &amp; AI</v>
      </c>
      <c r="M93" s="31" t="n">
        <f aca="false">IF(I93="Yes",H93*INDEX(Resources!$I$2:$I$500,MATCH(E93,Resources!$A$2:$A$500,0)),0)</f>
        <v>0</v>
      </c>
    </row>
    <row r="94" customFormat="false" ht="15" hidden="false" customHeight="false" outlineLevel="0" collapsed="false">
      <c r="A94" s="18" t="s">
        <v>1121</v>
      </c>
      <c r="B94" s="19" t="n">
        <v>45930</v>
      </c>
      <c r="C94" s="18" t="s">
        <v>215</v>
      </c>
      <c r="D94" s="18" t="s">
        <v>876</v>
      </c>
      <c r="E94" s="18"/>
      <c r="F94" s="18" t="s">
        <v>1032</v>
      </c>
      <c r="G94" s="18" t="s">
        <v>1033</v>
      </c>
      <c r="H94" s="30" t="n">
        <v>0</v>
      </c>
      <c r="I94" s="18" t="s">
        <v>527</v>
      </c>
      <c r="J94" s="28" t="n">
        <v>503.25</v>
      </c>
      <c r="K94" s="12" t="str">
        <f aca="false">TEXT(B94,"yyyy-mm")</f>
        <v>2025-09</v>
      </c>
      <c r="L94" s="21" t="str">
        <f aca="false">IFERROR(INDEX(Projects!$E$2:$E$500,MATCH(C94,Projects!$A$2:$A$500,0)),"")</f>
        <v>Data &amp; AI</v>
      </c>
      <c r="M94" s="31" t="n">
        <f aca="false">IF(I94="Yes",H94*INDEX(Resources!$I$2:$I$500,MATCH(E94,Resources!$A$2:$A$500,0)),0)</f>
        <v>0</v>
      </c>
    </row>
    <row r="95" customFormat="false" ht="15" hidden="false" customHeight="false" outlineLevel="0" collapsed="false">
      <c r="A95" s="18" t="s">
        <v>1122</v>
      </c>
      <c r="B95" s="19" t="n">
        <v>45930</v>
      </c>
      <c r="C95" s="18" t="s">
        <v>265</v>
      </c>
      <c r="D95" s="18" t="s">
        <v>869</v>
      </c>
      <c r="E95" s="18" t="s">
        <v>211</v>
      </c>
      <c r="F95" s="18"/>
      <c r="G95" s="18" t="s">
        <v>1019</v>
      </c>
      <c r="H95" s="30" t="n">
        <v>108.5</v>
      </c>
      <c r="I95" s="18" t="s">
        <v>513</v>
      </c>
      <c r="J95" s="28" t="n">
        <v>11075.68</v>
      </c>
      <c r="K95" s="12" t="str">
        <f aca="false">TEXT(B95,"yyyy-mm")</f>
        <v>2025-09</v>
      </c>
      <c r="L95" s="21" t="str">
        <f aca="false">IFERROR(INDEX(Projects!$E$2:$E$500,MATCH(C95,Projects!$A$2:$A$500,0)),"")</f>
        <v>Digital Transformation</v>
      </c>
      <c r="M95" s="31" t="n">
        <f aca="false">IF(I95="Yes",H95*INDEX(Resources!$I$2:$I$500,MATCH(E95,Resources!$A$2:$A$500,0)),0)</f>
        <v>22242.5</v>
      </c>
    </row>
    <row r="96" customFormat="false" ht="15" hidden="false" customHeight="false" outlineLevel="0" collapsed="false">
      <c r="A96" s="18" t="s">
        <v>1123</v>
      </c>
      <c r="B96" s="19" t="n">
        <v>45930</v>
      </c>
      <c r="C96" s="18" t="s">
        <v>265</v>
      </c>
      <c r="D96" s="18" t="s">
        <v>869</v>
      </c>
      <c r="E96" s="18" t="s">
        <v>360</v>
      </c>
      <c r="F96" s="18"/>
      <c r="G96" s="18" t="s">
        <v>1019</v>
      </c>
      <c r="H96" s="30" t="n">
        <v>106.4</v>
      </c>
      <c r="I96" s="18" t="s">
        <v>513</v>
      </c>
      <c r="J96" s="28" t="n">
        <v>11082.62</v>
      </c>
      <c r="K96" s="12" t="str">
        <f aca="false">TEXT(B96,"yyyy-mm")</f>
        <v>2025-09</v>
      </c>
      <c r="L96" s="21" t="str">
        <f aca="false">IFERROR(INDEX(Projects!$E$2:$E$500,MATCH(C96,Projects!$A$2:$A$500,0)),"")</f>
        <v>Digital Transformation</v>
      </c>
      <c r="M96" s="31" t="n">
        <f aca="false">IF(I96="Yes",H96*INDEX(Resources!$I$2:$I$500,MATCH(E96,Resources!$A$2:$A$500,0)),0)</f>
        <v>22344</v>
      </c>
    </row>
    <row r="97" customFormat="false" ht="15" hidden="false" customHeight="false" outlineLevel="0" collapsed="false">
      <c r="A97" s="18" t="s">
        <v>1124</v>
      </c>
      <c r="B97" s="19" t="n">
        <v>45930</v>
      </c>
      <c r="C97" s="18" t="s">
        <v>265</v>
      </c>
      <c r="D97" s="18" t="s">
        <v>869</v>
      </c>
      <c r="E97" s="18" t="s">
        <v>375</v>
      </c>
      <c r="F97" s="18"/>
      <c r="G97" s="18" t="s">
        <v>1019</v>
      </c>
      <c r="H97" s="30" t="n">
        <v>170.4</v>
      </c>
      <c r="I97" s="18" t="s">
        <v>513</v>
      </c>
      <c r="J97" s="28" t="n">
        <v>12311.4</v>
      </c>
      <c r="K97" s="12" t="str">
        <f aca="false">TEXT(B97,"yyyy-mm")</f>
        <v>2025-09</v>
      </c>
      <c r="L97" s="21" t="str">
        <f aca="false">IFERROR(INDEX(Projects!$E$2:$E$500,MATCH(C97,Projects!$A$2:$A$500,0)),"")</f>
        <v>Digital Transformation</v>
      </c>
      <c r="M97" s="31" t="n">
        <f aca="false">IF(I97="Yes",H97*INDEX(Resources!$I$2:$I$500,MATCH(E97,Resources!$A$2:$A$500,0)),0)</f>
        <v>20448</v>
      </c>
    </row>
    <row r="98" customFormat="false" ht="15" hidden="false" customHeight="false" outlineLevel="0" collapsed="false">
      <c r="A98" s="18" t="s">
        <v>1125</v>
      </c>
      <c r="B98" s="19" t="n">
        <v>45930</v>
      </c>
      <c r="C98" s="18" t="s">
        <v>265</v>
      </c>
      <c r="D98" s="18" t="s">
        <v>869</v>
      </c>
      <c r="E98" s="18" t="s">
        <v>403</v>
      </c>
      <c r="F98" s="18"/>
      <c r="G98" s="18" t="s">
        <v>1019</v>
      </c>
      <c r="H98" s="30" t="n">
        <v>179.7</v>
      </c>
      <c r="I98" s="18" t="s">
        <v>513</v>
      </c>
      <c r="J98" s="28" t="n">
        <v>15375.13</v>
      </c>
      <c r="K98" s="12" t="str">
        <f aca="false">TEXT(B98,"yyyy-mm")</f>
        <v>2025-09</v>
      </c>
      <c r="L98" s="21" t="str">
        <f aca="false">IFERROR(INDEX(Projects!$E$2:$E$500,MATCH(C98,Projects!$A$2:$A$500,0)),"")</f>
        <v>Digital Transformation</v>
      </c>
      <c r="M98" s="31" t="n">
        <f aca="false">IF(I98="Yes",H98*INDEX(Resources!$I$2:$I$500,MATCH(E98,Resources!$A$2:$A$500,0)),0)</f>
        <v>30549</v>
      </c>
    </row>
    <row r="99" customFormat="false" ht="15" hidden="false" customHeight="false" outlineLevel="0" collapsed="false">
      <c r="A99" s="18" t="s">
        <v>1126</v>
      </c>
      <c r="B99" s="19" t="n">
        <v>45930</v>
      </c>
      <c r="C99" s="18" t="s">
        <v>265</v>
      </c>
      <c r="D99" s="18" t="s">
        <v>869</v>
      </c>
      <c r="E99" s="18" t="s">
        <v>432</v>
      </c>
      <c r="F99" s="18"/>
      <c r="G99" s="18" t="s">
        <v>1019</v>
      </c>
      <c r="H99" s="30" t="n">
        <v>117.6</v>
      </c>
      <c r="I99" s="18" t="s">
        <v>513</v>
      </c>
      <c r="J99" s="28" t="n">
        <v>7526.4</v>
      </c>
      <c r="K99" s="12" t="str">
        <f aca="false">TEXT(B99,"yyyy-mm")</f>
        <v>2025-09</v>
      </c>
      <c r="L99" s="21" t="str">
        <f aca="false">IFERROR(INDEX(Projects!$E$2:$E$500,MATCH(C99,Projects!$A$2:$A$500,0)),"")</f>
        <v>Digital Transformation</v>
      </c>
      <c r="M99" s="31" t="n">
        <f aca="false">IF(I99="Yes",H99*INDEX(Resources!$I$2:$I$500,MATCH(E99,Resources!$A$2:$A$500,0)),0)</f>
        <v>15288</v>
      </c>
    </row>
    <row r="100" customFormat="false" ht="15" hidden="false" customHeight="false" outlineLevel="0" collapsed="false">
      <c r="A100" s="18" t="s">
        <v>1127</v>
      </c>
      <c r="B100" s="19" t="n">
        <v>45930</v>
      </c>
      <c r="C100" s="18" t="s">
        <v>265</v>
      </c>
      <c r="D100" s="18" t="s">
        <v>872</v>
      </c>
      <c r="E100" s="18"/>
      <c r="F100" s="18" t="s">
        <v>353</v>
      </c>
      <c r="G100" s="18" t="s">
        <v>1026</v>
      </c>
      <c r="H100" s="30" t="n">
        <v>0</v>
      </c>
      <c r="I100" s="18" t="s">
        <v>527</v>
      </c>
      <c r="J100" s="28" t="n">
        <v>3850.29</v>
      </c>
      <c r="K100" s="12" t="str">
        <f aca="false">TEXT(B100,"yyyy-mm")</f>
        <v>2025-09</v>
      </c>
      <c r="L100" s="21" t="str">
        <f aca="false">IFERROR(INDEX(Projects!$E$2:$E$500,MATCH(C100,Projects!$A$2:$A$500,0)),"")</f>
        <v>Digital Transformation</v>
      </c>
      <c r="M100" s="31" t="n">
        <f aca="false">IF(I100="Yes",H100*INDEX(Resources!$I$2:$I$500,MATCH(E100,Resources!$A$2:$A$500,0)),0)</f>
        <v>0</v>
      </c>
    </row>
    <row r="101" customFormat="false" ht="15" hidden="false" customHeight="false" outlineLevel="0" collapsed="false">
      <c r="A101" s="18" t="s">
        <v>1128</v>
      </c>
      <c r="B101" s="19" t="n">
        <v>45930</v>
      </c>
      <c r="C101" s="18" t="s">
        <v>265</v>
      </c>
      <c r="D101" s="18" t="s">
        <v>874</v>
      </c>
      <c r="E101" s="18"/>
      <c r="F101" s="18" t="s">
        <v>1028</v>
      </c>
      <c r="G101" s="18" t="s">
        <v>1026</v>
      </c>
      <c r="H101" s="30" t="n">
        <v>0</v>
      </c>
      <c r="I101" s="18" t="s">
        <v>527</v>
      </c>
      <c r="J101" s="28" t="n">
        <v>5763.65</v>
      </c>
      <c r="K101" s="12" t="str">
        <f aca="false">TEXT(B101,"yyyy-mm")</f>
        <v>2025-09</v>
      </c>
      <c r="L101" s="21" t="str">
        <f aca="false">IFERROR(INDEX(Projects!$E$2:$E$500,MATCH(C101,Projects!$A$2:$A$500,0)),"")</f>
        <v>Digital Transformation</v>
      </c>
      <c r="M101" s="31" t="n">
        <f aca="false">IF(I101="Yes",H101*INDEX(Resources!$I$2:$I$500,MATCH(E101,Resources!$A$2:$A$500,0)),0)</f>
        <v>0</v>
      </c>
    </row>
    <row r="102" customFormat="false" ht="15" hidden="false" customHeight="false" outlineLevel="0" collapsed="false">
      <c r="A102" s="18" t="s">
        <v>1129</v>
      </c>
      <c r="B102" s="19" t="n">
        <v>45930</v>
      </c>
      <c r="C102" s="18" t="s">
        <v>265</v>
      </c>
      <c r="D102" s="18" t="s">
        <v>495</v>
      </c>
      <c r="E102" s="18"/>
      <c r="F102" s="18" t="s">
        <v>1030</v>
      </c>
      <c r="G102" s="18" t="s">
        <v>1026</v>
      </c>
      <c r="H102" s="30" t="n">
        <v>0</v>
      </c>
      <c r="I102" s="18" t="s">
        <v>527</v>
      </c>
      <c r="J102" s="28" t="n">
        <v>1635.56</v>
      </c>
      <c r="K102" s="12" t="str">
        <f aca="false">TEXT(B102,"yyyy-mm")</f>
        <v>2025-09</v>
      </c>
      <c r="L102" s="21" t="str">
        <f aca="false">IFERROR(INDEX(Projects!$E$2:$E$500,MATCH(C102,Projects!$A$2:$A$500,0)),"")</f>
        <v>Digital Transformation</v>
      </c>
      <c r="M102" s="31" t="n">
        <f aca="false">IF(I102="Yes",H102*INDEX(Resources!$I$2:$I$500,MATCH(E102,Resources!$A$2:$A$500,0)),0)</f>
        <v>0</v>
      </c>
    </row>
    <row r="103" customFormat="false" ht="15" hidden="false" customHeight="false" outlineLevel="0" collapsed="false">
      <c r="A103" s="18" t="s">
        <v>1130</v>
      </c>
      <c r="B103" s="19" t="n">
        <v>45930</v>
      </c>
      <c r="C103" s="18" t="s">
        <v>265</v>
      </c>
      <c r="D103" s="18" t="s">
        <v>876</v>
      </c>
      <c r="E103" s="18"/>
      <c r="F103" s="18" t="s">
        <v>1071</v>
      </c>
      <c r="G103" s="18" t="s">
        <v>1033</v>
      </c>
      <c r="H103" s="30" t="n">
        <v>0</v>
      </c>
      <c r="I103" s="18" t="s">
        <v>527</v>
      </c>
      <c r="J103" s="28" t="n">
        <v>1051.87</v>
      </c>
      <c r="K103" s="12" t="str">
        <f aca="false">TEXT(B103,"yyyy-mm")</f>
        <v>2025-09</v>
      </c>
      <c r="L103" s="21" t="str">
        <f aca="false">IFERROR(INDEX(Projects!$E$2:$E$500,MATCH(C103,Projects!$A$2:$A$500,0)),"")</f>
        <v>Digital Transformation</v>
      </c>
      <c r="M103" s="31" t="n">
        <f aca="false">IF(I103="Yes",H103*INDEX(Resources!$I$2:$I$500,MATCH(E103,Resources!$A$2:$A$500,0)),0)</f>
        <v>0</v>
      </c>
    </row>
    <row r="104" customFormat="false" ht="15" hidden="false" customHeight="false" outlineLevel="0" collapsed="false">
      <c r="A104" s="18" t="s">
        <v>1131</v>
      </c>
      <c r="B104" s="19" t="n">
        <v>45930</v>
      </c>
      <c r="C104" s="18" t="s">
        <v>267</v>
      </c>
      <c r="D104" s="18" t="s">
        <v>889</v>
      </c>
      <c r="E104" s="18"/>
      <c r="F104" s="18" t="s">
        <v>1035</v>
      </c>
      <c r="G104" s="18" t="s">
        <v>1026</v>
      </c>
      <c r="H104" s="30" t="n">
        <v>0</v>
      </c>
      <c r="I104" s="18" t="s">
        <v>527</v>
      </c>
      <c r="J104" s="28" t="n">
        <v>5254.37</v>
      </c>
      <c r="K104" s="12" t="str">
        <f aca="false">TEXT(B104,"yyyy-mm")</f>
        <v>2025-09</v>
      </c>
      <c r="L104" s="21" t="str">
        <f aca="false">IFERROR(INDEX(Projects!$E$2:$E$500,MATCH(C104,Projects!$A$2:$A$500,0)),"")</f>
        <v>Cloud &amp; Infrastructure</v>
      </c>
      <c r="M104" s="31" t="n">
        <f aca="false">IF(I104="Yes",H104*INDEX(Resources!$I$2:$I$500,MATCH(E104,Resources!$A$2:$A$500,0)),0)</f>
        <v>0</v>
      </c>
    </row>
    <row r="105" customFormat="false" ht="15" hidden="false" customHeight="false" outlineLevel="0" collapsed="false">
      <c r="A105" s="18" t="s">
        <v>1132</v>
      </c>
      <c r="B105" s="19" t="n">
        <v>45930</v>
      </c>
      <c r="C105" s="18" t="s">
        <v>267</v>
      </c>
      <c r="D105" s="18" t="s">
        <v>869</v>
      </c>
      <c r="E105" s="18" t="s">
        <v>242</v>
      </c>
      <c r="F105" s="18"/>
      <c r="G105" s="18" t="s">
        <v>1019</v>
      </c>
      <c r="H105" s="30" t="n">
        <v>47.7</v>
      </c>
      <c r="I105" s="18" t="s">
        <v>513</v>
      </c>
      <c r="J105" s="28" t="n">
        <v>4533.41</v>
      </c>
      <c r="K105" s="12" t="str">
        <f aca="false">TEXT(B105,"yyyy-mm")</f>
        <v>2025-09</v>
      </c>
      <c r="L105" s="21" t="str">
        <f aca="false">IFERROR(INDEX(Projects!$E$2:$E$500,MATCH(C105,Projects!$A$2:$A$500,0)),"")</f>
        <v>Cloud &amp; Infrastructure</v>
      </c>
      <c r="M105" s="31" t="n">
        <f aca="false">IF(I105="Yes",H105*INDEX(Resources!$I$2:$I$500,MATCH(E105,Resources!$A$2:$A$500,0)),0)</f>
        <v>9063</v>
      </c>
    </row>
    <row r="106" customFormat="false" ht="15" hidden="false" customHeight="false" outlineLevel="0" collapsed="false">
      <c r="A106" s="18" t="s">
        <v>1133</v>
      </c>
      <c r="B106" s="19" t="n">
        <v>45930</v>
      </c>
      <c r="C106" s="18" t="s">
        <v>267</v>
      </c>
      <c r="D106" s="18" t="s">
        <v>869</v>
      </c>
      <c r="E106" s="18" t="s">
        <v>348</v>
      </c>
      <c r="F106" s="18"/>
      <c r="G106" s="18" t="s">
        <v>1019</v>
      </c>
      <c r="H106" s="30" t="n">
        <v>45.7</v>
      </c>
      <c r="I106" s="18" t="s">
        <v>513</v>
      </c>
      <c r="J106" s="28" t="n">
        <v>5937.34</v>
      </c>
      <c r="K106" s="12" t="str">
        <f aca="false">TEXT(B106,"yyyy-mm")</f>
        <v>2025-09</v>
      </c>
      <c r="L106" s="21" t="str">
        <f aca="false">IFERROR(INDEX(Projects!$E$2:$E$500,MATCH(C106,Projects!$A$2:$A$500,0)),"")</f>
        <v>Cloud &amp; Infrastructure</v>
      </c>
      <c r="M106" s="31" t="n">
        <f aca="false">IF(I106="Yes",H106*INDEX(Resources!$I$2:$I$500,MATCH(E106,Resources!$A$2:$A$500,0)),0)</f>
        <v>11882</v>
      </c>
    </row>
    <row r="107" customFormat="false" ht="15" hidden="false" customHeight="false" outlineLevel="0" collapsed="false">
      <c r="A107" s="18" t="s">
        <v>1134</v>
      </c>
      <c r="B107" s="19" t="n">
        <v>45930</v>
      </c>
      <c r="C107" s="18" t="s">
        <v>267</v>
      </c>
      <c r="D107" s="18" t="s">
        <v>869</v>
      </c>
      <c r="E107" s="18" t="s">
        <v>405</v>
      </c>
      <c r="F107" s="18"/>
      <c r="G107" s="18" t="s">
        <v>1019</v>
      </c>
      <c r="H107" s="30" t="n">
        <v>94.7</v>
      </c>
      <c r="I107" s="18" t="s">
        <v>513</v>
      </c>
      <c r="J107" s="28" t="n">
        <v>9409.39</v>
      </c>
      <c r="K107" s="12" t="str">
        <f aca="false">TEXT(B107,"yyyy-mm")</f>
        <v>2025-09</v>
      </c>
      <c r="L107" s="21" t="str">
        <f aca="false">IFERROR(INDEX(Projects!$E$2:$E$500,MATCH(C107,Projects!$A$2:$A$500,0)),"")</f>
        <v>Cloud &amp; Infrastructure</v>
      </c>
      <c r="M107" s="31" t="n">
        <f aca="false">IF(I107="Yes",H107*INDEX(Resources!$I$2:$I$500,MATCH(E107,Resources!$A$2:$A$500,0)),0)</f>
        <v>18940</v>
      </c>
    </row>
    <row r="108" customFormat="false" ht="15" hidden="false" customHeight="false" outlineLevel="0" collapsed="false">
      <c r="A108" s="18" t="s">
        <v>1135</v>
      </c>
      <c r="B108" s="19" t="n">
        <v>45930</v>
      </c>
      <c r="C108" s="18" t="s">
        <v>267</v>
      </c>
      <c r="D108" s="18" t="s">
        <v>869</v>
      </c>
      <c r="E108" s="18" t="s">
        <v>477</v>
      </c>
      <c r="F108" s="18"/>
      <c r="G108" s="18" t="s">
        <v>1019</v>
      </c>
      <c r="H108" s="30" t="n">
        <v>130.3</v>
      </c>
      <c r="I108" s="18" t="s">
        <v>513</v>
      </c>
      <c r="J108" s="28" t="n">
        <v>14207.91</v>
      </c>
      <c r="K108" s="12" t="str">
        <f aca="false">TEXT(B108,"yyyy-mm")</f>
        <v>2025-09</v>
      </c>
      <c r="L108" s="21" t="str">
        <f aca="false">IFERROR(INDEX(Projects!$E$2:$E$500,MATCH(C108,Projects!$A$2:$A$500,0)),"")</f>
        <v>Cloud &amp; Infrastructure</v>
      </c>
      <c r="M108" s="31" t="n">
        <f aca="false">IF(I108="Yes",H108*INDEX(Resources!$I$2:$I$500,MATCH(E108,Resources!$A$2:$A$500,0)),0)</f>
        <v>28666</v>
      </c>
    </row>
    <row r="109" customFormat="false" ht="15" hidden="false" customHeight="false" outlineLevel="0" collapsed="false">
      <c r="A109" s="18" t="s">
        <v>1136</v>
      </c>
      <c r="B109" s="19" t="n">
        <v>45930</v>
      </c>
      <c r="C109" s="18" t="s">
        <v>267</v>
      </c>
      <c r="D109" s="18" t="s">
        <v>869</v>
      </c>
      <c r="E109" s="18" t="s">
        <v>489</v>
      </c>
      <c r="F109" s="18"/>
      <c r="G109" s="18" t="s">
        <v>1019</v>
      </c>
      <c r="H109" s="30" t="n">
        <v>93.3</v>
      </c>
      <c r="I109" s="18" t="s">
        <v>513</v>
      </c>
      <c r="J109" s="28" t="n">
        <v>8023.8</v>
      </c>
      <c r="K109" s="12" t="str">
        <f aca="false">TEXT(B109,"yyyy-mm")</f>
        <v>2025-09</v>
      </c>
      <c r="L109" s="21" t="str">
        <f aca="false">IFERROR(INDEX(Projects!$E$2:$E$500,MATCH(C109,Projects!$A$2:$A$500,0)),"")</f>
        <v>Cloud &amp; Infrastructure</v>
      </c>
      <c r="M109" s="31" t="n">
        <f aca="false">IF(I109="Yes",H109*INDEX(Resources!$I$2:$I$500,MATCH(E109,Resources!$A$2:$A$500,0)),0)</f>
        <v>16327.5</v>
      </c>
    </row>
    <row r="110" customFormat="false" ht="15" hidden="false" customHeight="false" outlineLevel="0" collapsed="false">
      <c r="A110" s="18" t="s">
        <v>1137</v>
      </c>
      <c r="B110" s="19" t="n">
        <v>45930</v>
      </c>
      <c r="C110" s="18" t="s">
        <v>267</v>
      </c>
      <c r="D110" s="18" t="s">
        <v>872</v>
      </c>
      <c r="E110" s="18"/>
      <c r="F110" s="18" t="s">
        <v>1059</v>
      </c>
      <c r="G110" s="18" t="s">
        <v>1026</v>
      </c>
      <c r="H110" s="30" t="n">
        <v>0</v>
      </c>
      <c r="I110" s="18" t="s">
        <v>527</v>
      </c>
      <c r="J110" s="28" t="n">
        <v>1584.03</v>
      </c>
      <c r="K110" s="12" t="str">
        <f aca="false">TEXT(B110,"yyyy-mm")</f>
        <v>2025-09</v>
      </c>
      <c r="L110" s="21" t="str">
        <f aca="false">IFERROR(INDEX(Projects!$E$2:$E$500,MATCH(C110,Projects!$A$2:$A$500,0)),"")</f>
        <v>Cloud &amp; Infrastructure</v>
      </c>
      <c r="M110" s="31" t="n">
        <f aca="false">IF(I110="Yes",H110*INDEX(Resources!$I$2:$I$500,MATCH(E110,Resources!$A$2:$A$500,0)),0)</f>
        <v>0</v>
      </c>
    </row>
    <row r="111" customFormat="false" ht="15" hidden="false" customHeight="false" outlineLevel="0" collapsed="false">
      <c r="A111" s="18" t="s">
        <v>1138</v>
      </c>
      <c r="B111" s="19" t="n">
        <v>45930</v>
      </c>
      <c r="C111" s="18" t="s">
        <v>267</v>
      </c>
      <c r="D111" s="18" t="s">
        <v>876</v>
      </c>
      <c r="E111" s="18"/>
      <c r="F111" s="18" t="s">
        <v>1032</v>
      </c>
      <c r="G111" s="18" t="s">
        <v>1033</v>
      </c>
      <c r="H111" s="30" t="n">
        <v>0</v>
      </c>
      <c r="I111" s="18" t="s">
        <v>527</v>
      </c>
      <c r="J111" s="28" t="n">
        <v>656.46</v>
      </c>
      <c r="K111" s="12" t="str">
        <f aca="false">TEXT(B111,"yyyy-mm")</f>
        <v>2025-09</v>
      </c>
      <c r="L111" s="21" t="str">
        <f aca="false">IFERROR(INDEX(Projects!$E$2:$E$500,MATCH(C111,Projects!$A$2:$A$500,0)),"")</f>
        <v>Cloud &amp; Infrastructure</v>
      </c>
      <c r="M111" s="31" t="n">
        <f aca="false">IF(I111="Yes",H111*INDEX(Resources!$I$2:$I$500,MATCH(E111,Resources!$A$2:$A$500,0)),0)</f>
        <v>0</v>
      </c>
    </row>
    <row r="112" customFormat="false" ht="15" hidden="false" customHeight="false" outlineLevel="0" collapsed="false">
      <c r="A112" s="18" t="s">
        <v>1139</v>
      </c>
      <c r="B112" s="19" t="n">
        <v>45930</v>
      </c>
      <c r="C112" s="18" t="s">
        <v>277</v>
      </c>
      <c r="D112" s="18" t="s">
        <v>889</v>
      </c>
      <c r="E112" s="18"/>
      <c r="F112" s="18" t="s">
        <v>1035</v>
      </c>
      <c r="G112" s="18" t="s">
        <v>1026</v>
      </c>
      <c r="H112" s="30" t="n">
        <v>0</v>
      </c>
      <c r="I112" s="18" t="s">
        <v>527</v>
      </c>
      <c r="J112" s="28" t="n">
        <v>5766.39</v>
      </c>
      <c r="K112" s="12" t="str">
        <f aca="false">TEXT(B112,"yyyy-mm")</f>
        <v>2025-09</v>
      </c>
      <c r="L112" s="21" t="str">
        <f aca="false">IFERROR(INDEX(Projects!$E$2:$E$500,MATCH(C112,Projects!$A$2:$A$500,0)),"")</f>
        <v>Cloud &amp; Infrastructure</v>
      </c>
      <c r="M112" s="31" t="n">
        <f aca="false">IF(I112="Yes",H112*INDEX(Resources!$I$2:$I$500,MATCH(E112,Resources!$A$2:$A$500,0)),0)</f>
        <v>0</v>
      </c>
    </row>
    <row r="113" customFormat="false" ht="15" hidden="false" customHeight="false" outlineLevel="0" collapsed="false">
      <c r="A113" s="18" t="s">
        <v>1140</v>
      </c>
      <c r="B113" s="19" t="n">
        <v>45930</v>
      </c>
      <c r="C113" s="18" t="s">
        <v>277</v>
      </c>
      <c r="D113" s="18" t="s">
        <v>882</v>
      </c>
      <c r="E113" s="18"/>
      <c r="F113" s="18" t="s">
        <v>1063</v>
      </c>
      <c r="G113" s="18" t="s">
        <v>1026</v>
      </c>
      <c r="H113" s="30" t="n">
        <v>0</v>
      </c>
      <c r="I113" s="18" t="s">
        <v>527</v>
      </c>
      <c r="J113" s="28" t="n">
        <v>12468.47</v>
      </c>
      <c r="K113" s="12" t="str">
        <f aca="false">TEXT(B113,"yyyy-mm")</f>
        <v>2025-09</v>
      </c>
      <c r="L113" s="21" t="str">
        <f aca="false">IFERROR(INDEX(Projects!$E$2:$E$500,MATCH(C113,Projects!$A$2:$A$500,0)),"")</f>
        <v>Cloud &amp; Infrastructure</v>
      </c>
      <c r="M113" s="31" t="n">
        <f aca="false">IF(I113="Yes",H113*INDEX(Resources!$I$2:$I$500,MATCH(E113,Resources!$A$2:$A$500,0)),0)</f>
        <v>0</v>
      </c>
    </row>
    <row r="114" customFormat="false" ht="15" hidden="false" customHeight="false" outlineLevel="0" collapsed="false">
      <c r="A114" s="18" t="s">
        <v>1141</v>
      </c>
      <c r="B114" s="19" t="n">
        <v>45930</v>
      </c>
      <c r="C114" s="18" t="s">
        <v>277</v>
      </c>
      <c r="D114" s="18" t="s">
        <v>869</v>
      </c>
      <c r="E114" s="18" t="s">
        <v>226</v>
      </c>
      <c r="F114" s="18"/>
      <c r="G114" s="18" t="s">
        <v>1019</v>
      </c>
      <c r="H114" s="30" t="n">
        <v>85.3</v>
      </c>
      <c r="I114" s="18" t="s">
        <v>513</v>
      </c>
      <c r="J114" s="28" t="n">
        <v>7506.4</v>
      </c>
      <c r="K114" s="12" t="str">
        <f aca="false">TEXT(B114,"yyyy-mm")</f>
        <v>2025-09</v>
      </c>
      <c r="L114" s="21" t="str">
        <f aca="false">IFERROR(INDEX(Projects!$E$2:$E$500,MATCH(C114,Projects!$A$2:$A$500,0)),"")</f>
        <v>Cloud &amp; Infrastructure</v>
      </c>
      <c r="M114" s="31" t="n">
        <f aca="false">IF(I114="Yes",H114*INDEX(Resources!$I$2:$I$500,MATCH(E114,Resources!$A$2:$A$500,0)),0)</f>
        <v>14927.5</v>
      </c>
    </row>
    <row r="115" customFormat="false" ht="15" hidden="false" customHeight="false" outlineLevel="0" collapsed="false">
      <c r="A115" s="18" t="s">
        <v>1142</v>
      </c>
      <c r="B115" s="19" t="n">
        <v>45930</v>
      </c>
      <c r="C115" s="18" t="s">
        <v>277</v>
      </c>
      <c r="D115" s="18" t="s">
        <v>869</v>
      </c>
      <c r="E115" s="18" t="s">
        <v>354</v>
      </c>
      <c r="F115" s="18"/>
      <c r="G115" s="18" t="s">
        <v>1019</v>
      </c>
      <c r="H115" s="30" t="n">
        <v>30.2</v>
      </c>
      <c r="I115" s="18" t="s">
        <v>513</v>
      </c>
      <c r="J115" s="28" t="n">
        <v>3923.58</v>
      </c>
      <c r="K115" s="12" t="str">
        <f aca="false">TEXT(B115,"yyyy-mm")</f>
        <v>2025-09</v>
      </c>
      <c r="L115" s="21" t="str">
        <f aca="false">IFERROR(INDEX(Projects!$E$2:$E$500,MATCH(C115,Projects!$A$2:$A$500,0)),"")</f>
        <v>Cloud &amp; Infrastructure</v>
      </c>
      <c r="M115" s="31" t="n">
        <f aca="false">IF(I115="Yes",H115*INDEX(Resources!$I$2:$I$500,MATCH(E115,Resources!$A$2:$A$500,0)),0)</f>
        <v>7852</v>
      </c>
    </row>
    <row r="116" customFormat="false" ht="15" hidden="false" customHeight="false" outlineLevel="0" collapsed="false">
      <c r="A116" s="18" t="s">
        <v>1143</v>
      </c>
      <c r="B116" s="19" t="n">
        <v>45930</v>
      </c>
      <c r="C116" s="18" t="s">
        <v>277</v>
      </c>
      <c r="D116" s="18" t="s">
        <v>869</v>
      </c>
      <c r="E116" s="18" t="s">
        <v>400</v>
      </c>
      <c r="F116" s="18"/>
      <c r="G116" s="18" t="s">
        <v>1019</v>
      </c>
      <c r="H116" s="30" t="n">
        <v>90.5</v>
      </c>
      <c r="I116" s="18" t="s">
        <v>513</v>
      </c>
      <c r="J116" s="28" t="n">
        <v>8992.08</v>
      </c>
      <c r="K116" s="12" t="str">
        <f aca="false">TEXT(B116,"yyyy-mm")</f>
        <v>2025-09</v>
      </c>
      <c r="L116" s="21" t="str">
        <f aca="false">IFERROR(INDEX(Projects!$E$2:$E$500,MATCH(C116,Projects!$A$2:$A$500,0)),"")</f>
        <v>Cloud &amp; Infrastructure</v>
      </c>
      <c r="M116" s="31" t="n">
        <f aca="false">IF(I116="Yes",H116*INDEX(Resources!$I$2:$I$500,MATCH(E116,Resources!$A$2:$A$500,0)),0)</f>
        <v>18100</v>
      </c>
    </row>
    <row r="117" customFormat="false" ht="15" hidden="false" customHeight="false" outlineLevel="0" collapsed="false">
      <c r="A117" s="18" t="s">
        <v>1144</v>
      </c>
      <c r="B117" s="19" t="n">
        <v>45930</v>
      </c>
      <c r="C117" s="18" t="s">
        <v>277</v>
      </c>
      <c r="D117" s="18" t="s">
        <v>869</v>
      </c>
      <c r="E117" s="18" t="s">
        <v>470</v>
      </c>
      <c r="F117" s="18"/>
      <c r="G117" s="18" t="s">
        <v>1019</v>
      </c>
      <c r="H117" s="30" t="n">
        <v>189.2</v>
      </c>
      <c r="I117" s="18" t="s">
        <v>513</v>
      </c>
      <c r="J117" s="28" t="n">
        <v>20630.37</v>
      </c>
      <c r="K117" s="12" t="str">
        <f aca="false">TEXT(B117,"yyyy-mm")</f>
        <v>2025-09</v>
      </c>
      <c r="L117" s="21" t="str">
        <f aca="false">IFERROR(INDEX(Projects!$E$2:$E$500,MATCH(C117,Projects!$A$2:$A$500,0)),"")</f>
        <v>Cloud &amp; Infrastructure</v>
      </c>
      <c r="M117" s="31" t="n">
        <f aca="false">IF(I117="Yes",H117*INDEX(Resources!$I$2:$I$500,MATCH(E117,Resources!$A$2:$A$500,0)),0)</f>
        <v>41624</v>
      </c>
    </row>
    <row r="118" customFormat="false" ht="15" hidden="false" customHeight="false" outlineLevel="0" collapsed="false">
      <c r="A118" s="18" t="s">
        <v>1145</v>
      </c>
      <c r="B118" s="19" t="n">
        <v>45930</v>
      </c>
      <c r="C118" s="18" t="s">
        <v>277</v>
      </c>
      <c r="D118" s="18" t="s">
        <v>869</v>
      </c>
      <c r="E118" s="18" t="s">
        <v>489</v>
      </c>
      <c r="F118" s="18"/>
      <c r="G118" s="18" t="s">
        <v>1019</v>
      </c>
      <c r="H118" s="30" t="n">
        <v>85.5</v>
      </c>
      <c r="I118" s="18" t="s">
        <v>513</v>
      </c>
      <c r="J118" s="28" t="n">
        <v>7353</v>
      </c>
      <c r="K118" s="12" t="str">
        <f aca="false">TEXT(B118,"yyyy-mm")</f>
        <v>2025-09</v>
      </c>
      <c r="L118" s="21" t="str">
        <f aca="false">IFERROR(INDEX(Projects!$E$2:$E$500,MATCH(C118,Projects!$A$2:$A$500,0)),"")</f>
        <v>Cloud &amp; Infrastructure</v>
      </c>
      <c r="M118" s="31" t="n">
        <f aca="false">IF(I118="Yes",H118*INDEX(Resources!$I$2:$I$500,MATCH(E118,Resources!$A$2:$A$500,0)),0)</f>
        <v>14962.5</v>
      </c>
    </row>
    <row r="119" customFormat="false" ht="15" hidden="false" customHeight="false" outlineLevel="0" collapsed="false">
      <c r="A119" s="18" t="s">
        <v>1146</v>
      </c>
      <c r="B119" s="19" t="n">
        <v>45930</v>
      </c>
      <c r="C119" s="18" t="s">
        <v>277</v>
      </c>
      <c r="D119" s="18" t="s">
        <v>872</v>
      </c>
      <c r="E119" s="18"/>
      <c r="F119" s="18" t="s">
        <v>1025</v>
      </c>
      <c r="G119" s="18" t="s">
        <v>1026</v>
      </c>
      <c r="H119" s="30" t="n">
        <v>0</v>
      </c>
      <c r="I119" s="18" t="s">
        <v>527</v>
      </c>
      <c r="J119" s="28" t="n">
        <v>1981.18</v>
      </c>
      <c r="K119" s="12" t="str">
        <f aca="false">TEXT(B119,"yyyy-mm")</f>
        <v>2025-09</v>
      </c>
      <c r="L119" s="21" t="str">
        <f aca="false">IFERROR(INDEX(Projects!$E$2:$E$500,MATCH(C119,Projects!$A$2:$A$500,0)),"")</f>
        <v>Cloud &amp; Infrastructure</v>
      </c>
      <c r="M119" s="31" t="n">
        <f aca="false">IF(I119="Yes",H119*INDEX(Resources!$I$2:$I$500,MATCH(E119,Resources!$A$2:$A$500,0)),0)</f>
        <v>0</v>
      </c>
    </row>
    <row r="120" customFormat="false" ht="15" hidden="false" customHeight="false" outlineLevel="0" collapsed="false">
      <c r="A120" s="18" t="s">
        <v>1147</v>
      </c>
      <c r="B120" s="19" t="n">
        <v>45930</v>
      </c>
      <c r="C120" s="18" t="s">
        <v>277</v>
      </c>
      <c r="D120" s="18" t="s">
        <v>876</v>
      </c>
      <c r="E120" s="18"/>
      <c r="F120" s="18" t="s">
        <v>1071</v>
      </c>
      <c r="G120" s="18" t="s">
        <v>1033</v>
      </c>
      <c r="H120" s="30" t="n">
        <v>0</v>
      </c>
      <c r="I120" s="18" t="s">
        <v>527</v>
      </c>
      <c r="J120" s="28" t="n">
        <v>706.33</v>
      </c>
      <c r="K120" s="12" t="str">
        <f aca="false">TEXT(B120,"yyyy-mm")</f>
        <v>2025-09</v>
      </c>
      <c r="L120" s="21" t="str">
        <f aca="false">IFERROR(INDEX(Projects!$E$2:$E$500,MATCH(C120,Projects!$A$2:$A$500,0)),"")</f>
        <v>Cloud &amp; Infrastructure</v>
      </c>
      <c r="M120" s="31" t="n">
        <f aca="false">IF(I120="Yes",H120*INDEX(Resources!$I$2:$I$500,MATCH(E120,Resources!$A$2:$A$500,0)),0)</f>
        <v>0</v>
      </c>
    </row>
    <row r="121" customFormat="false" ht="15" hidden="false" customHeight="false" outlineLevel="0" collapsed="false">
      <c r="A121" s="18" t="s">
        <v>1148</v>
      </c>
      <c r="B121" s="19" t="n">
        <v>45930</v>
      </c>
      <c r="C121" s="18" t="s">
        <v>281</v>
      </c>
      <c r="D121" s="18" t="s">
        <v>869</v>
      </c>
      <c r="E121" s="18" t="s">
        <v>247</v>
      </c>
      <c r="F121" s="18"/>
      <c r="G121" s="18" t="s">
        <v>1019</v>
      </c>
      <c r="H121" s="30" t="n">
        <v>90.1</v>
      </c>
      <c r="I121" s="18" t="s">
        <v>513</v>
      </c>
      <c r="J121" s="28" t="n">
        <v>7928.8</v>
      </c>
      <c r="K121" s="12" t="str">
        <f aca="false">TEXT(B121,"yyyy-mm")</f>
        <v>2025-09</v>
      </c>
      <c r="L121" s="21" t="str">
        <f aca="false">IFERROR(INDEX(Projects!$E$2:$E$500,MATCH(C121,Projects!$A$2:$A$500,0)),"")</f>
        <v>Digital Transformation</v>
      </c>
      <c r="M121" s="31" t="n">
        <f aca="false">IF(I121="Yes",H121*INDEX(Resources!$I$2:$I$500,MATCH(E121,Resources!$A$2:$A$500,0)),0)</f>
        <v>15767.5</v>
      </c>
    </row>
    <row r="122" customFormat="false" ht="15" hidden="false" customHeight="false" outlineLevel="0" collapsed="false">
      <c r="A122" s="18" t="s">
        <v>1149</v>
      </c>
      <c r="B122" s="19" t="n">
        <v>45930</v>
      </c>
      <c r="C122" s="18" t="s">
        <v>281</v>
      </c>
      <c r="D122" s="18" t="s">
        <v>869</v>
      </c>
      <c r="E122" s="18" t="s">
        <v>357</v>
      </c>
      <c r="F122" s="18"/>
      <c r="G122" s="18" t="s">
        <v>1019</v>
      </c>
      <c r="H122" s="30" t="n">
        <v>48.6</v>
      </c>
      <c r="I122" s="18" t="s">
        <v>513</v>
      </c>
      <c r="J122" s="28" t="n">
        <v>5878.66</v>
      </c>
      <c r="K122" s="12" t="str">
        <f aca="false">TEXT(B122,"yyyy-mm")</f>
        <v>2025-09</v>
      </c>
      <c r="L122" s="21" t="str">
        <f aca="false">IFERROR(INDEX(Projects!$E$2:$E$500,MATCH(C122,Projects!$A$2:$A$500,0)),"")</f>
        <v>Digital Transformation</v>
      </c>
      <c r="M122" s="31" t="n">
        <f aca="false">IF(I122="Yes",H122*INDEX(Resources!$I$2:$I$500,MATCH(E122,Resources!$A$2:$A$500,0)),0)</f>
        <v>11907</v>
      </c>
    </row>
    <row r="123" customFormat="false" ht="15" hidden="false" customHeight="false" outlineLevel="0" collapsed="false">
      <c r="A123" s="18" t="s">
        <v>1150</v>
      </c>
      <c r="B123" s="19" t="n">
        <v>45930</v>
      </c>
      <c r="C123" s="18" t="s">
        <v>281</v>
      </c>
      <c r="D123" s="18" t="s">
        <v>869</v>
      </c>
      <c r="E123" s="18" t="s">
        <v>371</v>
      </c>
      <c r="F123" s="18"/>
      <c r="G123" s="18" t="s">
        <v>1019</v>
      </c>
      <c r="H123" s="30" t="n">
        <v>129.2</v>
      </c>
      <c r="I123" s="18" t="s">
        <v>513</v>
      </c>
      <c r="J123" s="28" t="n">
        <v>8170.61</v>
      </c>
      <c r="K123" s="12" t="str">
        <f aca="false">TEXT(B123,"yyyy-mm")</f>
        <v>2025-09</v>
      </c>
      <c r="L123" s="21" t="str">
        <f aca="false">IFERROR(INDEX(Projects!$E$2:$E$500,MATCH(C123,Projects!$A$2:$A$500,0)),"")</f>
        <v>Digital Transformation</v>
      </c>
      <c r="M123" s="31" t="n">
        <f aca="false">IF(I123="Yes",H123*INDEX(Resources!$I$2:$I$500,MATCH(E123,Resources!$A$2:$A$500,0)),0)</f>
        <v>16796</v>
      </c>
    </row>
    <row r="124" customFormat="false" ht="15" hidden="false" customHeight="false" outlineLevel="0" collapsed="false">
      <c r="A124" s="18" t="s">
        <v>1151</v>
      </c>
      <c r="B124" s="19" t="n">
        <v>45930</v>
      </c>
      <c r="C124" s="18" t="s">
        <v>281</v>
      </c>
      <c r="D124" s="18" t="s">
        <v>869</v>
      </c>
      <c r="E124" s="18" t="s">
        <v>395</v>
      </c>
      <c r="F124" s="18"/>
      <c r="G124" s="18" t="s">
        <v>1019</v>
      </c>
      <c r="H124" s="30" t="n">
        <v>139.4</v>
      </c>
      <c r="I124" s="18" t="s">
        <v>513</v>
      </c>
      <c r="J124" s="28" t="n">
        <v>14908.83</v>
      </c>
      <c r="K124" s="12" t="str">
        <f aca="false">TEXT(B124,"yyyy-mm")</f>
        <v>2025-09</v>
      </c>
      <c r="L124" s="21" t="str">
        <f aca="false">IFERROR(INDEX(Projects!$E$2:$E$500,MATCH(C124,Projects!$A$2:$A$500,0)),"")</f>
        <v>Digital Transformation</v>
      </c>
      <c r="M124" s="31" t="n">
        <f aca="false">IF(I124="Yes",H124*INDEX(Resources!$I$2:$I$500,MATCH(E124,Resources!$A$2:$A$500,0)),0)</f>
        <v>23698</v>
      </c>
    </row>
    <row r="125" customFormat="false" ht="15" hidden="false" customHeight="false" outlineLevel="0" collapsed="false">
      <c r="A125" s="18" t="s">
        <v>1152</v>
      </c>
      <c r="B125" s="19" t="n">
        <v>45930</v>
      </c>
      <c r="C125" s="18" t="s">
        <v>281</v>
      </c>
      <c r="D125" s="18" t="s">
        <v>869</v>
      </c>
      <c r="E125" s="18" t="s">
        <v>417</v>
      </c>
      <c r="F125" s="18"/>
      <c r="G125" s="18" t="s">
        <v>1019</v>
      </c>
      <c r="H125" s="30" t="n">
        <v>137.5</v>
      </c>
      <c r="I125" s="18" t="s">
        <v>513</v>
      </c>
      <c r="J125" s="28" t="n">
        <v>7480</v>
      </c>
      <c r="K125" s="12" t="str">
        <f aca="false">TEXT(B125,"yyyy-mm")</f>
        <v>2025-09</v>
      </c>
      <c r="L125" s="21" t="str">
        <f aca="false">IFERROR(INDEX(Projects!$E$2:$E$500,MATCH(C125,Projects!$A$2:$A$500,0)),"")</f>
        <v>Digital Transformation</v>
      </c>
      <c r="M125" s="31" t="n">
        <f aca="false">IF(I125="Yes",H125*INDEX(Resources!$I$2:$I$500,MATCH(E125,Resources!$A$2:$A$500,0)),0)</f>
        <v>15125</v>
      </c>
    </row>
    <row r="126" customFormat="false" ht="15" hidden="false" customHeight="false" outlineLevel="0" collapsed="false">
      <c r="A126" s="18" t="s">
        <v>1153</v>
      </c>
      <c r="B126" s="19" t="n">
        <v>45930</v>
      </c>
      <c r="C126" s="18" t="s">
        <v>281</v>
      </c>
      <c r="D126" s="18" t="s">
        <v>869</v>
      </c>
      <c r="E126" s="18" t="s">
        <v>434</v>
      </c>
      <c r="F126" s="18"/>
      <c r="G126" s="18" t="s">
        <v>1019</v>
      </c>
      <c r="H126" s="30" t="n">
        <v>51.7</v>
      </c>
      <c r="I126" s="18" t="s">
        <v>513</v>
      </c>
      <c r="J126" s="28" t="n">
        <v>3358.43</v>
      </c>
      <c r="K126" s="12" t="str">
        <f aca="false">TEXT(B126,"yyyy-mm")</f>
        <v>2025-09</v>
      </c>
      <c r="L126" s="21" t="str">
        <f aca="false">IFERROR(INDEX(Projects!$E$2:$E$500,MATCH(C126,Projects!$A$2:$A$500,0)),"")</f>
        <v>Digital Transformation</v>
      </c>
      <c r="M126" s="31" t="n">
        <f aca="false">IF(I126="Yes",H126*INDEX(Resources!$I$2:$I$500,MATCH(E126,Resources!$A$2:$A$500,0)),0)</f>
        <v>6979.5</v>
      </c>
    </row>
    <row r="127" customFormat="false" ht="15" hidden="false" customHeight="false" outlineLevel="0" collapsed="false">
      <c r="A127" s="18" t="s">
        <v>1154</v>
      </c>
      <c r="B127" s="19" t="n">
        <v>45930</v>
      </c>
      <c r="C127" s="18" t="s">
        <v>281</v>
      </c>
      <c r="D127" s="18" t="s">
        <v>869</v>
      </c>
      <c r="E127" s="18" t="s">
        <v>492</v>
      </c>
      <c r="F127" s="18"/>
      <c r="G127" s="18" t="s">
        <v>1019</v>
      </c>
      <c r="H127" s="30" t="n">
        <v>23</v>
      </c>
      <c r="I127" s="18" t="s">
        <v>513</v>
      </c>
      <c r="J127" s="28" t="n">
        <v>1920.96</v>
      </c>
      <c r="K127" s="12" t="str">
        <f aca="false">TEXT(B127,"yyyy-mm")</f>
        <v>2025-09</v>
      </c>
      <c r="L127" s="21" t="str">
        <f aca="false">IFERROR(INDEX(Projects!$E$2:$E$500,MATCH(C127,Projects!$A$2:$A$500,0)),"")</f>
        <v>Digital Transformation</v>
      </c>
      <c r="M127" s="31" t="n">
        <f aca="false">IF(I127="Yes",H127*INDEX(Resources!$I$2:$I$500,MATCH(E127,Resources!$A$2:$A$500,0)),0)</f>
        <v>4025</v>
      </c>
    </row>
    <row r="128" customFormat="false" ht="15" hidden="false" customHeight="false" outlineLevel="0" collapsed="false">
      <c r="A128" s="18" t="s">
        <v>1155</v>
      </c>
      <c r="B128" s="19" t="n">
        <v>45930</v>
      </c>
      <c r="C128" s="18" t="s">
        <v>281</v>
      </c>
      <c r="D128" s="18" t="s">
        <v>872</v>
      </c>
      <c r="E128" s="18"/>
      <c r="F128" s="18" t="s">
        <v>1025</v>
      </c>
      <c r="G128" s="18" t="s">
        <v>1026</v>
      </c>
      <c r="H128" s="30" t="n">
        <v>0</v>
      </c>
      <c r="I128" s="18" t="s">
        <v>527</v>
      </c>
      <c r="J128" s="28" t="n">
        <v>3922.38</v>
      </c>
      <c r="K128" s="12" t="str">
        <f aca="false">TEXT(B128,"yyyy-mm")</f>
        <v>2025-09</v>
      </c>
      <c r="L128" s="21" t="str">
        <f aca="false">IFERROR(INDEX(Projects!$E$2:$E$500,MATCH(C128,Projects!$A$2:$A$500,0)),"")</f>
        <v>Digital Transformation</v>
      </c>
      <c r="M128" s="31" t="n">
        <f aca="false">IF(I128="Yes",H128*INDEX(Resources!$I$2:$I$500,MATCH(E128,Resources!$A$2:$A$500,0)),0)</f>
        <v>0</v>
      </c>
    </row>
    <row r="129" customFormat="false" ht="15" hidden="false" customHeight="false" outlineLevel="0" collapsed="false">
      <c r="A129" s="18" t="s">
        <v>1156</v>
      </c>
      <c r="B129" s="19" t="n">
        <v>45930</v>
      </c>
      <c r="C129" s="18" t="s">
        <v>281</v>
      </c>
      <c r="D129" s="18" t="s">
        <v>874</v>
      </c>
      <c r="E129" s="18"/>
      <c r="F129" s="18" t="s">
        <v>1028</v>
      </c>
      <c r="G129" s="18" t="s">
        <v>1026</v>
      </c>
      <c r="H129" s="30" t="n">
        <v>0</v>
      </c>
      <c r="I129" s="18" t="s">
        <v>527</v>
      </c>
      <c r="J129" s="28" t="n">
        <v>6260.32</v>
      </c>
      <c r="K129" s="12" t="str">
        <f aca="false">TEXT(B129,"yyyy-mm")</f>
        <v>2025-09</v>
      </c>
      <c r="L129" s="21" t="str">
        <f aca="false">IFERROR(INDEX(Projects!$E$2:$E$500,MATCH(C129,Projects!$A$2:$A$500,0)),"")</f>
        <v>Digital Transformation</v>
      </c>
      <c r="M129" s="31" t="n">
        <f aca="false">IF(I129="Yes",H129*INDEX(Resources!$I$2:$I$500,MATCH(E129,Resources!$A$2:$A$500,0)),0)</f>
        <v>0</v>
      </c>
    </row>
    <row r="130" customFormat="false" ht="15" hidden="false" customHeight="false" outlineLevel="0" collapsed="false">
      <c r="A130" s="18" t="s">
        <v>1157</v>
      </c>
      <c r="B130" s="19" t="n">
        <v>45930</v>
      </c>
      <c r="C130" s="18" t="s">
        <v>281</v>
      </c>
      <c r="D130" s="18" t="s">
        <v>495</v>
      </c>
      <c r="E130" s="18"/>
      <c r="F130" s="18" t="s">
        <v>1030</v>
      </c>
      <c r="G130" s="18" t="s">
        <v>1026</v>
      </c>
      <c r="H130" s="30" t="n">
        <v>0</v>
      </c>
      <c r="I130" s="18" t="s">
        <v>527</v>
      </c>
      <c r="J130" s="28" t="n">
        <v>1336.84</v>
      </c>
      <c r="K130" s="12" t="str">
        <f aca="false">TEXT(B130,"yyyy-mm")</f>
        <v>2025-09</v>
      </c>
      <c r="L130" s="21" t="str">
        <f aca="false">IFERROR(INDEX(Projects!$E$2:$E$500,MATCH(C130,Projects!$A$2:$A$500,0)),"")</f>
        <v>Digital Transformation</v>
      </c>
      <c r="M130" s="31" t="n">
        <f aca="false">IF(I130="Yes",H130*INDEX(Resources!$I$2:$I$500,MATCH(E130,Resources!$A$2:$A$500,0)),0)</f>
        <v>0</v>
      </c>
    </row>
    <row r="131" customFormat="false" ht="15" hidden="false" customHeight="false" outlineLevel="0" collapsed="false">
      <c r="A131" s="18" t="s">
        <v>1158</v>
      </c>
      <c r="B131" s="19" t="n">
        <v>45930</v>
      </c>
      <c r="C131" s="18" t="s">
        <v>281</v>
      </c>
      <c r="D131" s="18" t="s">
        <v>876</v>
      </c>
      <c r="E131" s="18"/>
      <c r="F131" s="18" t="s">
        <v>1071</v>
      </c>
      <c r="G131" s="18" t="s">
        <v>1033</v>
      </c>
      <c r="H131" s="30" t="n">
        <v>0</v>
      </c>
      <c r="I131" s="18" t="s">
        <v>527</v>
      </c>
      <c r="J131" s="28" t="n">
        <v>868.2</v>
      </c>
      <c r="K131" s="12" t="str">
        <f aca="false">TEXT(B131,"yyyy-mm")</f>
        <v>2025-09</v>
      </c>
      <c r="L131" s="21" t="str">
        <f aca="false">IFERROR(INDEX(Projects!$E$2:$E$500,MATCH(C131,Projects!$A$2:$A$500,0)),"")</f>
        <v>Digital Transformation</v>
      </c>
      <c r="M131" s="31" t="n">
        <f aca="false">IF(I131="Yes",H131*INDEX(Resources!$I$2:$I$500,MATCH(E131,Resources!$A$2:$A$500,0)),0)</f>
        <v>0</v>
      </c>
    </row>
    <row r="132" customFormat="false" ht="15" hidden="false" customHeight="false" outlineLevel="0" collapsed="false">
      <c r="A132" s="18" t="s">
        <v>1159</v>
      </c>
      <c r="B132" s="19" t="n">
        <v>45961</v>
      </c>
      <c r="C132" s="18" t="s">
        <v>215</v>
      </c>
      <c r="D132" s="18" t="s">
        <v>889</v>
      </c>
      <c r="E132" s="18"/>
      <c r="F132" s="18" t="s">
        <v>1035</v>
      </c>
      <c r="G132" s="18" t="s">
        <v>1026</v>
      </c>
      <c r="H132" s="30" t="n">
        <v>0</v>
      </c>
      <c r="I132" s="18" t="s">
        <v>527</v>
      </c>
      <c r="J132" s="28" t="n">
        <v>3956.49</v>
      </c>
      <c r="K132" s="12" t="str">
        <f aca="false">TEXT(B132,"yyyy-mm")</f>
        <v>2025-10</v>
      </c>
      <c r="L132" s="21" t="str">
        <f aca="false">IFERROR(INDEX(Projects!$E$2:$E$500,MATCH(C132,Projects!$A$2:$A$500,0)),"")</f>
        <v>Data &amp; AI</v>
      </c>
      <c r="M132" s="31" t="n">
        <f aca="false">IF(I132="Yes",H132*INDEX(Resources!$I$2:$I$500,MATCH(E132,Resources!$A$2:$A$500,0)),0)</f>
        <v>0</v>
      </c>
    </row>
    <row r="133" customFormat="false" ht="15" hidden="false" customHeight="false" outlineLevel="0" collapsed="false">
      <c r="A133" s="18" t="s">
        <v>1160</v>
      </c>
      <c r="B133" s="19" t="n">
        <v>45961</v>
      </c>
      <c r="C133" s="18" t="s">
        <v>215</v>
      </c>
      <c r="D133" s="18" t="s">
        <v>869</v>
      </c>
      <c r="E133" s="18" t="s">
        <v>218</v>
      </c>
      <c r="F133" s="18"/>
      <c r="G133" s="18" t="s">
        <v>1019</v>
      </c>
      <c r="H133" s="30" t="n">
        <v>52</v>
      </c>
      <c r="I133" s="18" t="s">
        <v>527</v>
      </c>
      <c r="J133" s="28" t="n">
        <v>3889.6</v>
      </c>
      <c r="K133" s="12" t="str">
        <f aca="false">TEXT(B133,"yyyy-mm")</f>
        <v>2025-10</v>
      </c>
      <c r="L133" s="21" t="str">
        <f aca="false">IFERROR(INDEX(Projects!$E$2:$E$500,MATCH(C133,Projects!$A$2:$A$500,0)),"")</f>
        <v>Data &amp; AI</v>
      </c>
      <c r="M133" s="31" t="n">
        <f aca="false">IF(I133="Yes",H133*INDEX(Resources!$I$2:$I$500,MATCH(E133,Resources!$A$2:$A$500,0)),0)</f>
        <v>0</v>
      </c>
    </row>
    <row r="134" customFormat="false" ht="15" hidden="false" customHeight="false" outlineLevel="0" collapsed="false">
      <c r="A134" s="18" t="s">
        <v>1161</v>
      </c>
      <c r="B134" s="19" t="n">
        <v>45961</v>
      </c>
      <c r="C134" s="18" t="s">
        <v>215</v>
      </c>
      <c r="D134" s="18" t="s">
        <v>869</v>
      </c>
      <c r="E134" s="18" t="s">
        <v>357</v>
      </c>
      <c r="F134" s="18"/>
      <c r="G134" s="18" t="s">
        <v>1019</v>
      </c>
      <c r="H134" s="30" t="n">
        <v>48.1</v>
      </c>
      <c r="I134" s="18" t="s">
        <v>513</v>
      </c>
      <c r="J134" s="28" t="n">
        <v>5818.18</v>
      </c>
      <c r="K134" s="12" t="str">
        <f aca="false">TEXT(B134,"yyyy-mm")</f>
        <v>2025-10</v>
      </c>
      <c r="L134" s="21" t="str">
        <f aca="false">IFERROR(INDEX(Projects!$E$2:$E$500,MATCH(C134,Projects!$A$2:$A$500,0)),"")</f>
        <v>Data &amp; AI</v>
      </c>
      <c r="M134" s="31" t="n">
        <f aca="false">IF(I134="Yes",H134*INDEX(Resources!$I$2:$I$500,MATCH(E134,Resources!$A$2:$A$500,0)),0)</f>
        <v>11784.5</v>
      </c>
    </row>
    <row r="135" customFormat="false" ht="15" hidden="false" customHeight="false" outlineLevel="0" collapsed="false">
      <c r="A135" s="18" t="s">
        <v>1162</v>
      </c>
      <c r="B135" s="19" t="n">
        <v>45961</v>
      </c>
      <c r="C135" s="18" t="s">
        <v>215</v>
      </c>
      <c r="D135" s="18" t="s">
        <v>869</v>
      </c>
      <c r="E135" s="18" t="s">
        <v>414</v>
      </c>
      <c r="F135" s="18"/>
      <c r="G135" s="18" t="s">
        <v>1019</v>
      </c>
      <c r="H135" s="30" t="n">
        <v>100.1</v>
      </c>
      <c r="I135" s="18" t="s">
        <v>513</v>
      </c>
      <c r="J135" s="28" t="n">
        <v>5957.95</v>
      </c>
      <c r="K135" s="12" t="str">
        <f aca="false">TEXT(B135,"yyyy-mm")</f>
        <v>2025-10</v>
      </c>
      <c r="L135" s="21" t="str">
        <f aca="false">IFERROR(INDEX(Projects!$E$2:$E$500,MATCH(C135,Projects!$A$2:$A$500,0)),"")</f>
        <v>Data &amp; AI</v>
      </c>
      <c r="M135" s="31" t="n">
        <f aca="false">IF(I135="Yes",H135*INDEX(Resources!$I$2:$I$500,MATCH(E135,Resources!$A$2:$A$500,0)),0)</f>
        <v>12012</v>
      </c>
    </row>
    <row r="136" customFormat="false" ht="15" hidden="false" customHeight="false" outlineLevel="0" collapsed="false">
      <c r="A136" s="18" t="s">
        <v>1163</v>
      </c>
      <c r="B136" s="19" t="n">
        <v>45961</v>
      </c>
      <c r="C136" s="18" t="s">
        <v>215</v>
      </c>
      <c r="D136" s="18" t="s">
        <v>869</v>
      </c>
      <c r="E136" s="18" t="s">
        <v>450</v>
      </c>
      <c r="F136" s="18"/>
      <c r="G136" s="18" t="s">
        <v>1019</v>
      </c>
      <c r="H136" s="30" t="n">
        <v>184.2</v>
      </c>
      <c r="I136" s="18" t="s">
        <v>513</v>
      </c>
      <c r="J136" s="28" t="n">
        <v>19230.48</v>
      </c>
      <c r="K136" s="12" t="str">
        <f aca="false">TEXT(B136,"yyyy-mm")</f>
        <v>2025-10</v>
      </c>
      <c r="L136" s="21" t="str">
        <f aca="false">IFERROR(INDEX(Projects!$E$2:$E$500,MATCH(C136,Projects!$A$2:$A$500,0)),"")</f>
        <v>Data &amp; AI</v>
      </c>
      <c r="M136" s="31" t="n">
        <f aca="false">IF(I136="Yes",H136*INDEX(Resources!$I$2:$I$500,MATCH(E136,Resources!$A$2:$A$500,0)),0)</f>
        <v>38682</v>
      </c>
    </row>
    <row r="137" customFormat="false" ht="15" hidden="false" customHeight="false" outlineLevel="0" collapsed="false">
      <c r="A137" s="18" t="s">
        <v>1164</v>
      </c>
      <c r="B137" s="19" t="n">
        <v>45961</v>
      </c>
      <c r="C137" s="18" t="s">
        <v>215</v>
      </c>
      <c r="D137" s="18" t="s">
        <v>872</v>
      </c>
      <c r="E137" s="18"/>
      <c r="F137" s="18" t="s">
        <v>1059</v>
      </c>
      <c r="G137" s="18" t="s">
        <v>1026</v>
      </c>
      <c r="H137" s="30" t="n">
        <v>0</v>
      </c>
      <c r="I137" s="18" t="s">
        <v>527</v>
      </c>
      <c r="J137" s="28" t="n">
        <v>3060.98</v>
      </c>
      <c r="K137" s="12" t="str">
        <f aca="false">TEXT(B137,"yyyy-mm")</f>
        <v>2025-10</v>
      </c>
      <c r="L137" s="21" t="str">
        <f aca="false">IFERROR(INDEX(Projects!$E$2:$E$500,MATCH(C137,Projects!$A$2:$A$500,0)),"")</f>
        <v>Data &amp; AI</v>
      </c>
      <c r="M137" s="31" t="n">
        <f aca="false">IF(I137="Yes",H137*INDEX(Resources!$I$2:$I$500,MATCH(E137,Resources!$A$2:$A$500,0)),0)</f>
        <v>0</v>
      </c>
    </row>
    <row r="138" customFormat="false" ht="15" hidden="false" customHeight="false" outlineLevel="0" collapsed="false">
      <c r="A138" s="18" t="s">
        <v>1165</v>
      </c>
      <c r="B138" s="19" t="n">
        <v>45961</v>
      </c>
      <c r="C138" s="18" t="s">
        <v>215</v>
      </c>
      <c r="D138" s="18" t="s">
        <v>876</v>
      </c>
      <c r="E138" s="18"/>
      <c r="F138" s="18" t="s">
        <v>1032</v>
      </c>
      <c r="G138" s="18" t="s">
        <v>1033</v>
      </c>
      <c r="H138" s="30" t="n">
        <v>0</v>
      </c>
      <c r="I138" s="18" t="s">
        <v>527</v>
      </c>
      <c r="J138" s="28" t="n">
        <v>511.23</v>
      </c>
      <c r="K138" s="12" t="str">
        <f aca="false">TEXT(B138,"yyyy-mm")</f>
        <v>2025-10</v>
      </c>
      <c r="L138" s="21" t="str">
        <f aca="false">IFERROR(INDEX(Projects!$E$2:$E$500,MATCH(C138,Projects!$A$2:$A$500,0)),"")</f>
        <v>Data &amp; AI</v>
      </c>
      <c r="M138" s="31" t="n">
        <f aca="false">IF(I138="Yes",H138*INDEX(Resources!$I$2:$I$500,MATCH(E138,Resources!$A$2:$A$500,0)),0)</f>
        <v>0</v>
      </c>
    </row>
    <row r="139" customFormat="false" ht="15" hidden="false" customHeight="false" outlineLevel="0" collapsed="false">
      <c r="A139" s="18" t="s">
        <v>1166</v>
      </c>
      <c r="B139" s="19" t="n">
        <v>45961</v>
      </c>
      <c r="C139" s="18" t="s">
        <v>233</v>
      </c>
      <c r="D139" s="18" t="s">
        <v>869</v>
      </c>
      <c r="E139" s="18" t="s">
        <v>237</v>
      </c>
      <c r="F139" s="18"/>
      <c r="G139" s="18" t="s">
        <v>1019</v>
      </c>
      <c r="H139" s="30" t="n">
        <v>108.2</v>
      </c>
      <c r="I139" s="18" t="s">
        <v>513</v>
      </c>
      <c r="J139" s="28" t="n">
        <v>8093.36</v>
      </c>
      <c r="K139" s="12" t="str">
        <f aca="false">TEXT(B139,"yyyy-mm")</f>
        <v>2025-10</v>
      </c>
      <c r="L139" s="21" t="str">
        <f aca="false">IFERROR(INDEX(Projects!$E$2:$E$500,MATCH(C139,Projects!$A$2:$A$500,0)),"")</f>
        <v>Customer Experience</v>
      </c>
      <c r="M139" s="31" t="n">
        <f aca="false">IF(I139="Yes",H139*INDEX(Resources!$I$2:$I$500,MATCH(E139,Resources!$A$2:$A$500,0)),0)</f>
        <v>16230</v>
      </c>
    </row>
    <row r="140" customFormat="false" ht="15" hidden="false" customHeight="false" outlineLevel="0" collapsed="false">
      <c r="A140" s="18" t="s">
        <v>1167</v>
      </c>
      <c r="B140" s="19" t="n">
        <v>45961</v>
      </c>
      <c r="C140" s="18" t="s">
        <v>233</v>
      </c>
      <c r="D140" s="18" t="s">
        <v>869</v>
      </c>
      <c r="E140" s="18" t="s">
        <v>375</v>
      </c>
      <c r="F140" s="18"/>
      <c r="G140" s="18" t="s">
        <v>1019</v>
      </c>
      <c r="H140" s="30" t="n">
        <v>104.1</v>
      </c>
      <c r="I140" s="18" t="s">
        <v>513</v>
      </c>
      <c r="J140" s="28" t="n">
        <v>7521.22</v>
      </c>
      <c r="K140" s="12" t="str">
        <f aca="false">TEXT(B140,"yyyy-mm")</f>
        <v>2025-10</v>
      </c>
      <c r="L140" s="21" t="str">
        <f aca="false">IFERROR(INDEX(Projects!$E$2:$E$500,MATCH(C140,Projects!$A$2:$A$500,0)),"")</f>
        <v>Customer Experience</v>
      </c>
      <c r="M140" s="31" t="n">
        <f aca="false">IF(I140="Yes",H140*INDEX(Resources!$I$2:$I$500,MATCH(E140,Resources!$A$2:$A$500,0)),0)</f>
        <v>12492</v>
      </c>
    </row>
    <row r="141" customFormat="false" ht="15" hidden="false" customHeight="false" outlineLevel="0" collapsed="false">
      <c r="A141" s="18" t="s">
        <v>1168</v>
      </c>
      <c r="B141" s="19" t="n">
        <v>45961</v>
      </c>
      <c r="C141" s="18" t="s">
        <v>233</v>
      </c>
      <c r="D141" s="18" t="s">
        <v>869</v>
      </c>
      <c r="E141" s="18" t="s">
        <v>384</v>
      </c>
      <c r="F141" s="18"/>
      <c r="G141" s="18" t="s">
        <v>1019</v>
      </c>
      <c r="H141" s="30" t="n">
        <v>145.3</v>
      </c>
      <c r="I141" s="18" t="s">
        <v>513</v>
      </c>
      <c r="J141" s="28" t="n">
        <v>9999.55</v>
      </c>
      <c r="K141" s="12" t="str">
        <f aca="false">TEXT(B141,"yyyy-mm")</f>
        <v>2025-10</v>
      </c>
      <c r="L141" s="21" t="str">
        <f aca="false">IFERROR(INDEX(Projects!$E$2:$E$500,MATCH(C141,Projects!$A$2:$A$500,0)),"")</f>
        <v>Customer Experience</v>
      </c>
      <c r="M141" s="31" t="n">
        <f aca="false">IF(I141="Yes",H141*INDEX(Resources!$I$2:$I$500,MATCH(E141,Resources!$A$2:$A$500,0)),0)</f>
        <v>20342</v>
      </c>
    </row>
    <row r="142" customFormat="false" ht="15" hidden="false" customHeight="false" outlineLevel="0" collapsed="false">
      <c r="A142" s="18" t="s">
        <v>1169</v>
      </c>
      <c r="B142" s="19" t="n">
        <v>45961</v>
      </c>
      <c r="C142" s="18" t="s">
        <v>233</v>
      </c>
      <c r="D142" s="18" t="s">
        <v>869</v>
      </c>
      <c r="E142" s="18" t="s">
        <v>398</v>
      </c>
      <c r="F142" s="18"/>
      <c r="G142" s="18" t="s">
        <v>1019</v>
      </c>
      <c r="H142" s="30" t="n">
        <v>138.4</v>
      </c>
      <c r="I142" s="18" t="s">
        <v>513</v>
      </c>
      <c r="J142" s="28" t="n">
        <v>11841.5</v>
      </c>
      <c r="K142" s="12" t="str">
        <f aca="false">TEXT(B142,"yyyy-mm")</f>
        <v>2025-10</v>
      </c>
      <c r="L142" s="21" t="str">
        <f aca="false">IFERROR(INDEX(Projects!$E$2:$E$500,MATCH(C142,Projects!$A$2:$A$500,0)),"")</f>
        <v>Customer Experience</v>
      </c>
      <c r="M142" s="31" t="n">
        <f aca="false">IF(I142="Yes",H142*INDEX(Resources!$I$2:$I$500,MATCH(E142,Resources!$A$2:$A$500,0)),0)</f>
        <v>23528</v>
      </c>
    </row>
    <row r="143" customFormat="false" ht="15" hidden="false" customHeight="false" outlineLevel="0" collapsed="false">
      <c r="A143" s="18" t="s">
        <v>1170</v>
      </c>
      <c r="B143" s="19" t="n">
        <v>45961</v>
      </c>
      <c r="C143" s="18" t="s">
        <v>233</v>
      </c>
      <c r="D143" s="18" t="s">
        <v>869</v>
      </c>
      <c r="E143" s="18" t="s">
        <v>420</v>
      </c>
      <c r="F143" s="18"/>
      <c r="G143" s="18" t="s">
        <v>1019</v>
      </c>
      <c r="H143" s="30" t="n">
        <v>204.2</v>
      </c>
      <c r="I143" s="18" t="s">
        <v>513</v>
      </c>
      <c r="J143" s="28" t="n">
        <v>12153.98</v>
      </c>
      <c r="K143" s="12" t="str">
        <f aca="false">TEXT(B143,"yyyy-mm")</f>
        <v>2025-10</v>
      </c>
      <c r="L143" s="21" t="str">
        <f aca="false">IFERROR(INDEX(Projects!$E$2:$E$500,MATCH(C143,Projects!$A$2:$A$500,0)),"")</f>
        <v>Customer Experience</v>
      </c>
      <c r="M143" s="31" t="n">
        <f aca="false">IF(I143="Yes",H143*INDEX(Resources!$I$2:$I$500,MATCH(E143,Resources!$A$2:$A$500,0)),0)</f>
        <v>24504</v>
      </c>
    </row>
    <row r="144" customFormat="false" ht="15" hidden="false" customHeight="false" outlineLevel="0" collapsed="false">
      <c r="A144" s="18" t="s">
        <v>1171</v>
      </c>
      <c r="B144" s="19" t="n">
        <v>45961</v>
      </c>
      <c r="C144" s="18" t="s">
        <v>233</v>
      </c>
      <c r="D144" s="18" t="s">
        <v>872</v>
      </c>
      <c r="E144" s="18"/>
      <c r="F144" s="18" t="s">
        <v>353</v>
      </c>
      <c r="G144" s="18" t="s">
        <v>1026</v>
      </c>
      <c r="H144" s="30" t="n">
        <v>0</v>
      </c>
      <c r="I144" s="18" t="s">
        <v>527</v>
      </c>
      <c r="J144" s="28" t="n">
        <v>2379.1</v>
      </c>
      <c r="K144" s="12" t="str">
        <f aca="false">TEXT(B144,"yyyy-mm")</f>
        <v>2025-10</v>
      </c>
      <c r="L144" s="21" t="str">
        <f aca="false">IFERROR(INDEX(Projects!$E$2:$E$500,MATCH(C144,Projects!$A$2:$A$500,0)),"")</f>
        <v>Customer Experience</v>
      </c>
      <c r="M144" s="31" t="n">
        <f aca="false">IF(I144="Yes",H144*INDEX(Resources!$I$2:$I$500,MATCH(E144,Resources!$A$2:$A$500,0)),0)</f>
        <v>0</v>
      </c>
    </row>
    <row r="145" customFormat="false" ht="15" hidden="false" customHeight="false" outlineLevel="0" collapsed="false">
      <c r="A145" s="18" t="s">
        <v>1172</v>
      </c>
      <c r="B145" s="19" t="n">
        <v>45961</v>
      </c>
      <c r="C145" s="18" t="s">
        <v>233</v>
      </c>
      <c r="D145" s="18" t="s">
        <v>874</v>
      </c>
      <c r="E145" s="18"/>
      <c r="F145" s="18" t="s">
        <v>1028</v>
      </c>
      <c r="G145" s="18" t="s">
        <v>1026</v>
      </c>
      <c r="H145" s="30" t="n">
        <v>0</v>
      </c>
      <c r="I145" s="18" t="s">
        <v>527</v>
      </c>
      <c r="J145" s="28" t="n">
        <v>4401.28</v>
      </c>
      <c r="K145" s="12" t="str">
        <f aca="false">TEXT(B145,"yyyy-mm")</f>
        <v>2025-10</v>
      </c>
      <c r="L145" s="21" t="str">
        <f aca="false">IFERROR(INDEX(Projects!$E$2:$E$500,MATCH(C145,Projects!$A$2:$A$500,0)),"")</f>
        <v>Customer Experience</v>
      </c>
      <c r="M145" s="31" t="n">
        <f aca="false">IF(I145="Yes",H145*INDEX(Resources!$I$2:$I$500,MATCH(E145,Resources!$A$2:$A$500,0)),0)</f>
        <v>0</v>
      </c>
    </row>
    <row r="146" customFormat="false" ht="15" hidden="false" customHeight="false" outlineLevel="0" collapsed="false">
      <c r="A146" s="18" t="s">
        <v>1173</v>
      </c>
      <c r="B146" s="19" t="n">
        <v>45961</v>
      </c>
      <c r="C146" s="18" t="s">
        <v>233</v>
      </c>
      <c r="D146" s="18" t="s">
        <v>876</v>
      </c>
      <c r="E146" s="18"/>
      <c r="F146" s="18" t="s">
        <v>1032</v>
      </c>
      <c r="G146" s="18" t="s">
        <v>1033</v>
      </c>
      <c r="H146" s="30" t="n">
        <v>0</v>
      </c>
      <c r="I146" s="18" t="s">
        <v>527</v>
      </c>
      <c r="J146" s="28" t="n">
        <v>757.24</v>
      </c>
      <c r="K146" s="12" t="str">
        <f aca="false">TEXT(B146,"yyyy-mm")</f>
        <v>2025-10</v>
      </c>
      <c r="L146" s="21" t="str">
        <f aca="false">IFERROR(INDEX(Projects!$E$2:$E$500,MATCH(C146,Projects!$A$2:$A$500,0)),"")</f>
        <v>Customer Experience</v>
      </c>
      <c r="M146" s="31" t="n">
        <f aca="false">IF(I146="Yes",H146*INDEX(Resources!$I$2:$I$500,MATCH(E146,Resources!$A$2:$A$500,0)),0)</f>
        <v>0</v>
      </c>
    </row>
    <row r="147" customFormat="false" ht="15" hidden="false" customHeight="false" outlineLevel="0" collapsed="false">
      <c r="A147" s="18" t="s">
        <v>1174</v>
      </c>
      <c r="B147" s="19" t="n">
        <v>45961</v>
      </c>
      <c r="C147" s="18" t="s">
        <v>265</v>
      </c>
      <c r="D147" s="18" t="s">
        <v>869</v>
      </c>
      <c r="E147" s="18" t="s">
        <v>211</v>
      </c>
      <c r="F147" s="18"/>
      <c r="G147" s="18" t="s">
        <v>1019</v>
      </c>
      <c r="H147" s="30" t="n">
        <v>119</v>
      </c>
      <c r="I147" s="18" t="s">
        <v>513</v>
      </c>
      <c r="J147" s="28" t="n">
        <v>12147.52</v>
      </c>
      <c r="K147" s="12" t="str">
        <f aca="false">TEXT(B147,"yyyy-mm")</f>
        <v>2025-10</v>
      </c>
      <c r="L147" s="21" t="str">
        <f aca="false">IFERROR(INDEX(Projects!$E$2:$E$500,MATCH(C147,Projects!$A$2:$A$500,0)),"")</f>
        <v>Digital Transformation</v>
      </c>
      <c r="M147" s="31" t="n">
        <f aca="false">IF(I147="Yes",H147*INDEX(Resources!$I$2:$I$500,MATCH(E147,Resources!$A$2:$A$500,0)),0)</f>
        <v>24395</v>
      </c>
    </row>
    <row r="148" customFormat="false" ht="15" hidden="false" customHeight="false" outlineLevel="0" collapsed="false">
      <c r="A148" s="18" t="s">
        <v>1175</v>
      </c>
      <c r="B148" s="19" t="n">
        <v>45961</v>
      </c>
      <c r="C148" s="18" t="s">
        <v>265</v>
      </c>
      <c r="D148" s="18" t="s">
        <v>869</v>
      </c>
      <c r="E148" s="18" t="s">
        <v>360</v>
      </c>
      <c r="F148" s="18"/>
      <c r="G148" s="18" t="s">
        <v>1019</v>
      </c>
      <c r="H148" s="30" t="n">
        <v>109.5</v>
      </c>
      <c r="I148" s="18" t="s">
        <v>513</v>
      </c>
      <c r="J148" s="28" t="n">
        <v>11405.52</v>
      </c>
      <c r="K148" s="12" t="str">
        <f aca="false">TEXT(B148,"yyyy-mm")</f>
        <v>2025-10</v>
      </c>
      <c r="L148" s="21" t="str">
        <f aca="false">IFERROR(INDEX(Projects!$E$2:$E$500,MATCH(C148,Projects!$A$2:$A$500,0)),"")</f>
        <v>Digital Transformation</v>
      </c>
      <c r="M148" s="31" t="n">
        <f aca="false">IF(I148="Yes",H148*INDEX(Resources!$I$2:$I$500,MATCH(E148,Resources!$A$2:$A$500,0)),0)</f>
        <v>22995</v>
      </c>
    </row>
    <row r="149" customFormat="false" ht="15" hidden="false" customHeight="false" outlineLevel="0" collapsed="false">
      <c r="A149" s="18" t="s">
        <v>1176</v>
      </c>
      <c r="B149" s="19" t="n">
        <v>45961</v>
      </c>
      <c r="C149" s="18" t="s">
        <v>265</v>
      </c>
      <c r="D149" s="18" t="s">
        <v>869</v>
      </c>
      <c r="E149" s="18" t="s">
        <v>375</v>
      </c>
      <c r="F149" s="18"/>
      <c r="G149" s="18" t="s">
        <v>1019</v>
      </c>
      <c r="H149" s="30" t="n">
        <v>176.7</v>
      </c>
      <c r="I149" s="18" t="s">
        <v>513</v>
      </c>
      <c r="J149" s="28" t="n">
        <v>12766.57</v>
      </c>
      <c r="K149" s="12" t="str">
        <f aca="false">TEXT(B149,"yyyy-mm")</f>
        <v>2025-10</v>
      </c>
      <c r="L149" s="21" t="str">
        <f aca="false">IFERROR(INDEX(Projects!$E$2:$E$500,MATCH(C149,Projects!$A$2:$A$500,0)),"")</f>
        <v>Digital Transformation</v>
      </c>
      <c r="M149" s="31" t="n">
        <f aca="false">IF(I149="Yes",H149*INDEX(Resources!$I$2:$I$500,MATCH(E149,Resources!$A$2:$A$500,0)),0)</f>
        <v>21204</v>
      </c>
    </row>
    <row r="150" customFormat="false" ht="15" hidden="false" customHeight="false" outlineLevel="0" collapsed="false">
      <c r="A150" s="18" t="s">
        <v>1177</v>
      </c>
      <c r="B150" s="19" t="n">
        <v>45961</v>
      </c>
      <c r="C150" s="18" t="s">
        <v>265</v>
      </c>
      <c r="D150" s="18" t="s">
        <v>869</v>
      </c>
      <c r="E150" s="18" t="s">
        <v>403</v>
      </c>
      <c r="F150" s="18"/>
      <c r="G150" s="18" t="s">
        <v>1019</v>
      </c>
      <c r="H150" s="30" t="n">
        <v>167.2</v>
      </c>
      <c r="I150" s="18" t="s">
        <v>513</v>
      </c>
      <c r="J150" s="28" t="n">
        <v>14305.63</v>
      </c>
      <c r="K150" s="12" t="str">
        <f aca="false">TEXT(B150,"yyyy-mm")</f>
        <v>2025-10</v>
      </c>
      <c r="L150" s="21" t="str">
        <f aca="false">IFERROR(INDEX(Projects!$E$2:$E$500,MATCH(C150,Projects!$A$2:$A$500,0)),"")</f>
        <v>Digital Transformation</v>
      </c>
      <c r="M150" s="31" t="n">
        <f aca="false">IF(I150="Yes",H150*INDEX(Resources!$I$2:$I$500,MATCH(E150,Resources!$A$2:$A$500,0)),0)</f>
        <v>28424</v>
      </c>
    </row>
    <row r="151" customFormat="false" ht="15" hidden="false" customHeight="false" outlineLevel="0" collapsed="false">
      <c r="A151" s="18" t="s">
        <v>1178</v>
      </c>
      <c r="B151" s="19" t="n">
        <v>45961</v>
      </c>
      <c r="C151" s="18" t="s">
        <v>265</v>
      </c>
      <c r="D151" s="18" t="s">
        <v>869</v>
      </c>
      <c r="E151" s="18" t="s">
        <v>432</v>
      </c>
      <c r="F151" s="18"/>
      <c r="G151" s="18" t="s">
        <v>1019</v>
      </c>
      <c r="H151" s="30" t="n">
        <v>128.5</v>
      </c>
      <c r="I151" s="18" t="s">
        <v>513</v>
      </c>
      <c r="J151" s="28" t="n">
        <v>8224</v>
      </c>
      <c r="K151" s="12" t="str">
        <f aca="false">TEXT(B151,"yyyy-mm")</f>
        <v>2025-10</v>
      </c>
      <c r="L151" s="21" t="str">
        <f aca="false">IFERROR(INDEX(Projects!$E$2:$E$500,MATCH(C151,Projects!$A$2:$A$500,0)),"")</f>
        <v>Digital Transformation</v>
      </c>
      <c r="M151" s="31" t="n">
        <f aca="false">IF(I151="Yes",H151*INDEX(Resources!$I$2:$I$500,MATCH(E151,Resources!$A$2:$A$500,0)),0)</f>
        <v>16705</v>
      </c>
    </row>
    <row r="152" customFormat="false" ht="15" hidden="false" customHeight="false" outlineLevel="0" collapsed="false">
      <c r="A152" s="18" t="s">
        <v>1179</v>
      </c>
      <c r="B152" s="19" t="n">
        <v>45961</v>
      </c>
      <c r="C152" s="18" t="s">
        <v>265</v>
      </c>
      <c r="D152" s="18" t="s">
        <v>872</v>
      </c>
      <c r="E152" s="18"/>
      <c r="F152" s="18" t="s">
        <v>353</v>
      </c>
      <c r="G152" s="18" t="s">
        <v>1026</v>
      </c>
      <c r="H152" s="30" t="n">
        <v>0</v>
      </c>
      <c r="I152" s="18" t="s">
        <v>527</v>
      </c>
      <c r="J152" s="28" t="n">
        <v>3866.43</v>
      </c>
      <c r="K152" s="12" t="str">
        <f aca="false">TEXT(B152,"yyyy-mm")</f>
        <v>2025-10</v>
      </c>
      <c r="L152" s="21" t="str">
        <f aca="false">IFERROR(INDEX(Projects!$E$2:$E$500,MATCH(C152,Projects!$A$2:$A$500,0)),"")</f>
        <v>Digital Transformation</v>
      </c>
      <c r="M152" s="31" t="n">
        <f aca="false">IF(I152="Yes",H152*INDEX(Resources!$I$2:$I$500,MATCH(E152,Resources!$A$2:$A$500,0)),0)</f>
        <v>0</v>
      </c>
    </row>
    <row r="153" customFormat="false" ht="15" hidden="false" customHeight="false" outlineLevel="0" collapsed="false">
      <c r="A153" s="18" t="s">
        <v>1180</v>
      </c>
      <c r="B153" s="19" t="n">
        <v>45961</v>
      </c>
      <c r="C153" s="18" t="s">
        <v>265</v>
      </c>
      <c r="D153" s="18" t="s">
        <v>874</v>
      </c>
      <c r="E153" s="18"/>
      <c r="F153" s="18" t="s">
        <v>1028</v>
      </c>
      <c r="G153" s="18" t="s">
        <v>1026</v>
      </c>
      <c r="H153" s="30" t="n">
        <v>0</v>
      </c>
      <c r="I153" s="18" t="s">
        <v>527</v>
      </c>
      <c r="J153" s="28" t="n">
        <v>5103.55</v>
      </c>
      <c r="K153" s="12" t="str">
        <f aca="false">TEXT(B153,"yyyy-mm")</f>
        <v>2025-10</v>
      </c>
      <c r="L153" s="21" t="str">
        <f aca="false">IFERROR(INDEX(Projects!$E$2:$E$500,MATCH(C153,Projects!$A$2:$A$500,0)),"")</f>
        <v>Digital Transformation</v>
      </c>
      <c r="M153" s="31" t="n">
        <f aca="false">IF(I153="Yes",H153*INDEX(Resources!$I$2:$I$500,MATCH(E153,Resources!$A$2:$A$500,0)),0)</f>
        <v>0</v>
      </c>
    </row>
    <row r="154" customFormat="false" ht="15" hidden="false" customHeight="false" outlineLevel="0" collapsed="false">
      <c r="A154" s="18" t="s">
        <v>1181</v>
      </c>
      <c r="B154" s="19" t="n">
        <v>45961</v>
      </c>
      <c r="C154" s="18" t="s">
        <v>265</v>
      </c>
      <c r="D154" s="18" t="s">
        <v>495</v>
      </c>
      <c r="E154" s="18"/>
      <c r="F154" s="18" t="s">
        <v>1030</v>
      </c>
      <c r="G154" s="18" t="s">
        <v>1026</v>
      </c>
      <c r="H154" s="30" t="n">
        <v>0</v>
      </c>
      <c r="I154" s="18" t="s">
        <v>527</v>
      </c>
      <c r="J154" s="28" t="n">
        <v>1259.95</v>
      </c>
      <c r="K154" s="12" t="str">
        <f aca="false">TEXT(B154,"yyyy-mm")</f>
        <v>2025-10</v>
      </c>
      <c r="L154" s="21" t="str">
        <f aca="false">IFERROR(INDEX(Projects!$E$2:$E$500,MATCH(C154,Projects!$A$2:$A$500,0)),"")</f>
        <v>Digital Transformation</v>
      </c>
      <c r="M154" s="31" t="n">
        <f aca="false">IF(I154="Yes",H154*INDEX(Resources!$I$2:$I$500,MATCH(E154,Resources!$A$2:$A$500,0)),0)</f>
        <v>0</v>
      </c>
    </row>
    <row r="155" customFormat="false" ht="15" hidden="false" customHeight="false" outlineLevel="0" collapsed="false">
      <c r="A155" s="18" t="s">
        <v>1182</v>
      </c>
      <c r="B155" s="19" t="n">
        <v>45961</v>
      </c>
      <c r="C155" s="18" t="s">
        <v>265</v>
      </c>
      <c r="D155" s="18" t="s">
        <v>876</v>
      </c>
      <c r="E155" s="18"/>
      <c r="F155" s="18" t="s">
        <v>1032</v>
      </c>
      <c r="G155" s="18" t="s">
        <v>1033</v>
      </c>
      <c r="H155" s="30" t="n">
        <v>0</v>
      </c>
      <c r="I155" s="18" t="s">
        <v>527</v>
      </c>
      <c r="J155" s="28" t="n">
        <v>1184.87</v>
      </c>
      <c r="K155" s="12" t="str">
        <f aca="false">TEXT(B155,"yyyy-mm")</f>
        <v>2025-10</v>
      </c>
      <c r="L155" s="21" t="str">
        <f aca="false">IFERROR(INDEX(Projects!$E$2:$E$500,MATCH(C155,Projects!$A$2:$A$500,0)),"")</f>
        <v>Digital Transformation</v>
      </c>
      <c r="M155" s="31" t="n">
        <f aca="false">IF(I155="Yes",H155*INDEX(Resources!$I$2:$I$500,MATCH(E155,Resources!$A$2:$A$500,0)),0)</f>
        <v>0</v>
      </c>
    </row>
    <row r="156" customFormat="false" ht="15" hidden="false" customHeight="false" outlineLevel="0" collapsed="false">
      <c r="A156" s="18" t="s">
        <v>1183</v>
      </c>
      <c r="B156" s="19" t="n">
        <v>45961</v>
      </c>
      <c r="C156" s="18" t="s">
        <v>267</v>
      </c>
      <c r="D156" s="18" t="s">
        <v>889</v>
      </c>
      <c r="E156" s="18"/>
      <c r="F156" s="18" t="s">
        <v>1035</v>
      </c>
      <c r="G156" s="18" t="s">
        <v>1026</v>
      </c>
      <c r="H156" s="30" t="n">
        <v>0</v>
      </c>
      <c r="I156" s="18" t="s">
        <v>527</v>
      </c>
      <c r="J156" s="28" t="n">
        <v>5564.28</v>
      </c>
      <c r="K156" s="12" t="str">
        <f aca="false">TEXT(B156,"yyyy-mm")</f>
        <v>2025-10</v>
      </c>
      <c r="L156" s="21" t="str">
        <f aca="false">IFERROR(INDEX(Projects!$E$2:$E$500,MATCH(C156,Projects!$A$2:$A$500,0)),"")</f>
        <v>Cloud &amp; Infrastructure</v>
      </c>
      <c r="M156" s="31" t="n">
        <f aca="false">IF(I156="Yes",H156*INDEX(Resources!$I$2:$I$500,MATCH(E156,Resources!$A$2:$A$500,0)),0)</f>
        <v>0</v>
      </c>
    </row>
    <row r="157" customFormat="false" ht="15" hidden="false" customHeight="false" outlineLevel="0" collapsed="false">
      <c r="A157" s="18" t="s">
        <v>1184</v>
      </c>
      <c r="B157" s="19" t="n">
        <v>45961</v>
      </c>
      <c r="C157" s="18" t="s">
        <v>267</v>
      </c>
      <c r="D157" s="18" t="s">
        <v>869</v>
      </c>
      <c r="E157" s="18" t="s">
        <v>242</v>
      </c>
      <c r="F157" s="18"/>
      <c r="G157" s="18" t="s">
        <v>1019</v>
      </c>
      <c r="H157" s="30" t="n">
        <v>45.4</v>
      </c>
      <c r="I157" s="18" t="s">
        <v>513</v>
      </c>
      <c r="J157" s="28" t="n">
        <v>4314.82</v>
      </c>
      <c r="K157" s="12" t="str">
        <f aca="false">TEXT(B157,"yyyy-mm")</f>
        <v>2025-10</v>
      </c>
      <c r="L157" s="21" t="str">
        <f aca="false">IFERROR(INDEX(Projects!$E$2:$E$500,MATCH(C157,Projects!$A$2:$A$500,0)),"")</f>
        <v>Cloud &amp; Infrastructure</v>
      </c>
      <c r="M157" s="31" t="n">
        <f aca="false">IF(I157="Yes",H157*INDEX(Resources!$I$2:$I$500,MATCH(E157,Resources!$A$2:$A$500,0)),0)</f>
        <v>8626</v>
      </c>
    </row>
    <row r="158" customFormat="false" ht="15" hidden="false" customHeight="false" outlineLevel="0" collapsed="false">
      <c r="A158" s="18" t="s">
        <v>1185</v>
      </c>
      <c r="B158" s="19" t="n">
        <v>45961</v>
      </c>
      <c r="C158" s="18" t="s">
        <v>267</v>
      </c>
      <c r="D158" s="18" t="s">
        <v>869</v>
      </c>
      <c r="E158" s="18" t="s">
        <v>348</v>
      </c>
      <c r="F158" s="18"/>
      <c r="G158" s="18" t="s">
        <v>1019</v>
      </c>
      <c r="H158" s="30" t="n">
        <v>47.7</v>
      </c>
      <c r="I158" s="18" t="s">
        <v>513</v>
      </c>
      <c r="J158" s="28" t="n">
        <v>6197.18</v>
      </c>
      <c r="K158" s="12" t="str">
        <f aca="false">TEXT(B158,"yyyy-mm")</f>
        <v>2025-10</v>
      </c>
      <c r="L158" s="21" t="str">
        <f aca="false">IFERROR(INDEX(Projects!$E$2:$E$500,MATCH(C158,Projects!$A$2:$A$500,0)),"")</f>
        <v>Cloud &amp; Infrastructure</v>
      </c>
      <c r="M158" s="31" t="n">
        <f aca="false">IF(I158="Yes",H158*INDEX(Resources!$I$2:$I$500,MATCH(E158,Resources!$A$2:$A$500,0)),0)</f>
        <v>12402</v>
      </c>
    </row>
    <row r="159" customFormat="false" ht="15" hidden="false" customHeight="false" outlineLevel="0" collapsed="false">
      <c r="A159" s="18" t="s">
        <v>1186</v>
      </c>
      <c r="B159" s="19" t="n">
        <v>45961</v>
      </c>
      <c r="C159" s="18" t="s">
        <v>267</v>
      </c>
      <c r="D159" s="18" t="s">
        <v>869</v>
      </c>
      <c r="E159" s="18" t="s">
        <v>405</v>
      </c>
      <c r="F159" s="18"/>
      <c r="G159" s="18" t="s">
        <v>1019</v>
      </c>
      <c r="H159" s="30" t="n">
        <v>93.8</v>
      </c>
      <c r="I159" s="18" t="s">
        <v>513</v>
      </c>
      <c r="J159" s="28" t="n">
        <v>9319.97</v>
      </c>
      <c r="K159" s="12" t="str">
        <f aca="false">TEXT(B159,"yyyy-mm")</f>
        <v>2025-10</v>
      </c>
      <c r="L159" s="21" t="str">
        <f aca="false">IFERROR(INDEX(Projects!$E$2:$E$500,MATCH(C159,Projects!$A$2:$A$500,0)),"")</f>
        <v>Cloud &amp; Infrastructure</v>
      </c>
      <c r="M159" s="31" t="n">
        <f aca="false">IF(I159="Yes",H159*INDEX(Resources!$I$2:$I$500,MATCH(E159,Resources!$A$2:$A$500,0)),0)</f>
        <v>18760</v>
      </c>
    </row>
    <row r="160" customFormat="false" ht="15" hidden="false" customHeight="false" outlineLevel="0" collapsed="false">
      <c r="A160" s="18" t="s">
        <v>1187</v>
      </c>
      <c r="B160" s="19" t="n">
        <v>45961</v>
      </c>
      <c r="C160" s="18" t="s">
        <v>267</v>
      </c>
      <c r="D160" s="18" t="s">
        <v>869</v>
      </c>
      <c r="E160" s="18" t="s">
        <v>477</v>
      </c>
      <c r="F160" s="18"/>
      <c r="G160" s="18" t="s">
        <v>1019</v>
      </c>
      <c r="H160" s="30" t="n">
        <v>127.5</v>
      </c>
      <c r="I160" s="18" t="s">
        <v>513</v>
      </c>
      <c r="J160" s="28" t="n">
        <v>13902.6</v>
      </c>
      <c r="K160" s="12" t="str">
        <f aca="false">TEXT(B160,"yyyy-mm")</f>
        <v>2025-10</v>
      </c>
      <c r="L160" s="21" t="str">
        <f aca="false">IFERROR(INDEX(Projects!$E$2:$E$500,MATCH(C160,Projects!$A$2:$A$500,0)),"")</f>
        <v>Cloud &amp; Infrastructure</v>
      </c>
      <c r="M160" s="31" t="n">
        <f aca="false">IF(I160="Yes",H160*INDEX(Resources!$I$2:$I$500,MATCH(E160,Resources!$A$2:$A$500,0)),0)</f>
        <v>28050</v>
      </c>
    </row>
    <row r="161" customFormat="false" ht="15" hidden="false" customHeight="false" outlineLevel="0" collapsed="false">
      <c r="A161" s="18" t="s">
        <v>1188</v>
      </c>
      <c r="B161" s="19" t="n">
        <v>45961</v>
      </c>
      <c r="C161" s="18" t="s">
        <v>267</v>
      </c>
      <c r="D161" s="18" t="s">
        <v>869</v>
      </c>
      <c r="E161" s="18" t="s">
        <v>489</v>
      </c>
      <c r="F161" s="18"/>
      <c r="G161" s="18" t="s">
        <v>1019</v>
      </c>
      <c r="H161" s="30" t="n">
        <v>87.8</v>
      </c>
      <c r="I161" s="18" t="s">
        <v>513</v>
      </c>
      <c r="J161" s="28" t="n">
        <v>7550.8</v>
      </c>
      <c r="K161" s="12" t="str">
        <f aca="false">TEXT(B161,"yyyy-mm")</f>
        <v>2025-10</v>
      </c>
      <c r="L161" s="21" t="str">
        <f aca="false">IFERROR(INDEX(Projects!$E$2:$E$500,MATCH(C161,Projects!$A$2:$A$500,0)),"")</f>
        <v>Cloud &amp; Infrastructure</v>
      </c>
      <c r="M161" s="31" t="n">
        <f aca="false">IF(I161="Yes",H161*INDEX(Resources!$I$2:$I$500,MATCH(E161,Resources!$A$2:$A$500,0)),0)</f>
        <v>15365</v>
      </c>
    </row>
    <row r="162" customFormat="false" ht="15" hidden="false" customHeight="false" outlineLevel="0" collapsed="false">
      <c r="A162" s="18" t="s">
        <v>1189</v>
      </c>
      <c r="B162" s="19" t="n">
        <v>45961</v>
      </c>
      <c r="C162" s="18" t="s">
        <v>267</v>
      </c>
      <c r="D162" s="18" t="s">
        <v>872</v>
      </c>
      <c r="E162" s="18"/>
      <c r="F162" s="18" t="s">
        <v>1059</v>
      </c>
      <c r="G162" s="18" t="s">
        <v>1026</v>
      </c>
      <c r="H162" s="30" t="n">
        <v>0</v>
      </c>
      <c r="I162" s="18" t="s">
        <v>527</v>
      </c>
      <c r="J162" s="28" t="n">
        <v>1826.85</v>
      </c>
      <c r="K162" s="12" t="str">
        <f aca="false">TEXT(B162,"yyyy-mm")</f>
        <v>2025-10</v>
      </c>
      <c r="L162" s="21" t="str">
        <f aca="false">IFERROR(INDEX(Projects!$E$2:$E$500,MATCH(C162,Projects!$A$2:$A$500,0)),"")</f>
        <v>Cloud &amp; Infrastructure</v>
      </c>
      <c r="M162" s="31" t="n">
        <f aca="false">IF(I162="Yes",H162*INDEX(Resources!$I$2:$I$500,MATCH(E162,Resources!$A$2:$A$500,0)),0)</f>
        <v>0</v>
      </c>
    </row>
    <row r="163" customFormat="false" ht="15" hidden="false" customHeight="false" outlineLevel="0" collapsed="false">
      <c r="A163" s="18" t="s">
        <v>1190</v>
      </c>
      <c r="B163" s="19" t="n">
        <v>45961</v>
      </c>
      <c r="C163" s="18" t="s">
        <v>267</v>
      </c>
      <c r="D163" s="18" t="s">
        <v>876</v>
      </c>
      <c r="E163" s="18"/>
      <c r="F163" s="18" t="s">
        <v>1071</v>
      </c>
      <c r="G163" s="18" t="s">
        <v>1033</v>
      </c>
      <c r="H163" s="30" t="n">
        <v>0</v>
      </c>
      <c r="I163" s="18" t="s">
        <v>527</v>
      </c>
      <c r="J163" s="28" t="n">
        <v>678.71</v>
      </c>
      <c r="K163" s="12" t="str">
        <f aca="false">TEXT(B163,"yyyy-mm")</f>
        <v>2025-10</v>
      </c>
      <c r="L163" s="21" t="str">
        <f aca="false">IFERROR(INDEX(Projects!$E$2:$E$500,MATCH(C163,Projects!$A$2:$A$500,0)),"")</f>
        <v>Cloud &amp; Infrastructure</v>
      </c>
      <c r="M163" s="31" t="n">
        <f aca="false">IF(I163="Yes",H163*INDEX(Resources!$I$2:$I$500,MATCH(E163,Resources!$A$2:$A$500,0)),0)</f>
        <v>0</v>
      </c>
    </row>
    <row r="164" customFormat="false" ht="15" hidden="false" customHeight="false" outlineLevel="0" collapsed="false">
      <c r="A164" s="18" t="s">
        <v>1191</v>
      </c>
      <c r="B164" s="19" t="n">
        <v>45961</v>
      </c>
      <c r="C164" s="18" t="s">
        <v>277</v>
      </c>
      <c r="D164" s="18" t="s">
        <v>889</v>
      </c>
      <c r="E164" s="18"/>
      <c r="F164" s="18" t="s">
        <v>1035</v>
      </c>
      <c r="G164" s="18" t="s">
        <v>1026</v>
      </c>
      <c r="H164" s="30" t="n">
        <v>0</v>
      </c>
      <c r="I164" s="18" t="s">
        <v>527</v>
      </c>
      <c r="J164" s="28" t="n">
        <v>6011.47</v>
      </c>
      <c r="K164" s="12" t="str">
        <f aca="false">TEXT(B164,"yyyy-mm")</f>
        <v>2025-10</v>
      </c>
      <c r="L164" s="21" t="str">
        <f aca="false">IFERROR(INDEX(Projects!$E$2:$E$500,MATCH(C164,Projects!$A$2:$A$500,0)),"")</f>
        <v>Cloud &amp; Infrastructure</v>
      </c>
      <c r="M164" s="31" t="n">
        <f aca="false">IF(I164="Yes",H164*INDEX(Resources!$I$2:$I$500,MATCH(E164,Resources!$A$2:$A$500,0)),0)</f>
        <v>0</v>
      </c>
    </row>
    <row r="165" customFormat="false" ht="15" hidden="false" customHeight="false" outlineLevel="0" collapsed="false">
      <c r="A165" s="18" t="s">
        <v>1192</v>
      </c>
      <c r="B165" s="19" t="n">
        <v>45961</v>
      </c>
      <c r="C165" s="18" t="s">
        <v>277</v>
      </c>
      <c r="D165" s="18" t="s">
        <v>869</v>
      </c>
      <c r="E165" s="18" t="s">
        <v>226</v>
      </c>
      <c r="F165" s="18"/>
      <c r="G165" s="18" t="s">
        <v>1019</v>
      </c>
      <c r="H165" s="30" t="n">
        <v>85.5</v>
      </c>
      <c r="I165" s="18" t="s">
        <v>513</v>
      </c>
      <c r="J165" s="28" t="n">
        <v>7524</v>
      </c>
      <c r="K165" s="12" t="str">
        <f aca="false">TEXT(B165,"yyyy-mm")</f>
        <v>2025-10</v>
      </c>
      <c r="L165" s="21" t="str">
        <f aca="false">IFERROR(INDEX(Projects!$E$2:$E$500,MATCH(C165,Projects!$A$2:$A$500,0)),"")</f>
        <v>Cloud &amp; Infrastructure</v>
      </c>
      <c r="M165" s="31" t="n">
        <f aca="false">IF(I165="Yes",H165*INDEX(Resources!$I$2:$I$500,MATCH(E165,Resources!$A$2:$A$500,0)),0)</f>
        <v>14962.5</v>
      </c>
    </row>
    <row r="166" customFormat="false" ht="15" hidden="false" customHeight="false" outlineLevel="0" collapsed="false">
      <c r="A166" s="18" t="s">
        <v>1193</v>
      </c>
      <c r="B166" s="19" t="n">
        <v>45961</v>
      </c>
      <c r="C166" s="18" t="s">
        <v>277</v>
      </c>
      <c r="D166" s="18" t="s">
        <v>869</v>
      </c>
      <c r="E166" s="18" t="s">
        <v>400</v>
      </c>
      <c r="F166" s="18"/>
      <c r="G166" s="18" t="s">
        <v>1019</v>
      </c>
      <c r="H166" s="30" t="n">
        <v>83.2</v>
      </c>
      <c r="I166" s="18" t="s">
        <v>513</v>
      </c>
      <c r="J166" s="28" t="n">
        <v>8266.75</v>
      </c>
      <c r="K166" s="12" t="str">
        <f aca="false">TEXT(B166,"yyyy-mm")</f>
        <v>2025-10</v>
      </c>
      <c r="L166" s="21" t="str">
        <f aca="false">IFERROR(INDEX(Projects!$E$2:$E$500,MATCH(C166,Projects!$A$2:$A$500,0)),"")</f>
        <v>Cloud &amp; Infrastructure</v>
      </c>
      <c r="M166" s="31" t="n">
        <f aca="false">IF(I166="Yes",H166*INDEX(Resources!$I$2:$I$500,MATCH(E166,Resources!$A$2:$A$500,0)),0)</f>
        <v>16640</v>
      </c>
    </row>
    <row r="167" customFormat="false" ht="15" hidden="false" customHeight="false" outlineLevel="0" collapsed="false">
      <c r="A167" s="18" t="s">
        <v>1194</v>
      </c>
      <c r="B167" s="19" t="n">
        <v>45961</v>
      </c>
      <c r="C167" s="18" t="s">
        <v>277</v>
      </c>
      <c r="D167" s="18" t="s">
        <v>869</v>
      </c>
      <c r="E167" s="18" t="s">
        <v>470</v>
      </c>
      <c r="F167" s="18"/>
      <c r="G167" s="18" t="s">
        <v>1019</v>
      </c>
      <c r="H167" s="30" t="n">
        <v>182.8</v>
      </c>
      <c r="I167" s="18" t="s">
        <v>513</v>
      </c>
      <c r="J167" s="28" t="n">
        <v>19932.51</v>
      </c>
      <c r="K167" s="12" t="str">
        <f aca="false">TEXT(B167,"yyyy-mm")</f>
        <v>2025-10</v>
      </c>
      <c r="L167" s="21" t="str">
        <f aca="false">IFERROR(INDEX(Projects!$E$2:$E$500,MATCH(C167,Projects!$A$2:$A$500,0)),"")</f>
        <v>Cloud &amp; Infrastructure</v>
      </c>
      <c r="M167" s="31" t="n">
        <f aca="false">IF(I167="Yes",H167*INDEX(Resources!$I$2:$I$500,MATCH(E167,Resources!$A$2:$A$500,0)),0)</f>
        <v>40216</v>
      </c>
    </row>
    <row r="168" customFormat="false" ht="15" hidden="false" customHeight="false" outlineLevel="0" collapsed="false">
      <c r="A168" s="18" t="s">
        <v>1195</v>
      </c>
      <c r="B168" s="19" t="n">
        <v>45961</v>
      </c>
      <c r="C168" s="18" t="s">
        <v>277</v>
      </c>
      <c r="D168" s="18" t="s">
        <v>869</v>
      </c>
      <c r="E168" s="18" t="s">
        <v>489</v>
      </c>
      <c r="F168" s="18"/>
      <c r="G168" s="18" t="s">
        <v>1019</v>
      </c>
      <c r="H168" s="30" t="n">
        <v>97.4</v>
      </c>
      <c r="I168" s="18" t="s">
        <v>513</v>
      </c>
      <c r="J168" s="28" t="n">
        <v>8376.4</v>
      </c>
      <c r="K168" s="12" t="str">
        <f aca="false">TEXT(B168,"yyyy-mm")</f>
        <v>2025-10</v>
      </c>
      <c r="L168" s="21" t="str">
        <f aca="false">IFERROR(INDEX(Projects!$E$2:$E$500,MATCH(C168,Projects!$A$2:$A$500,0)),"")</f>
        <v>Cloud &amp; Infrastructure</v>
      </c>
      <c r="M168" s="31" t="n">
        <f aca="false">IF(I168="Yes",H168*INDEX(Resources!$I$2:$I$500,MATCH(E168,Resources!$A$2:$A$500,0)),0)</f>
        <v>17045</v>
      </c>
    </row>
    <row r="169" customFormat="false" ht="15" hidden="false" customHeight="false" outlineLevel="0" collapsed="false">
      <c r="A169" s="18" t="s">
        <v>1196</v>
      </c>
      <c r="B169" s="19" t="n">
        <v>45961</v>
      </c>
      <c r="C169" s="18" t="s">
        <v>277</v>
      </c>
      <c r="D169" s="18" t="s">
        <v>872</v>
      </c>
      <c r="E169" s="18"/>
      <c r="F169" s="18" t="s">
        <v>1025</v>
      </c>
      <c r="G169" s="18" t="s">
        <v>1026</v>
      </c>
      <c r="H169" s="30" t="n">
        <v>0</v>
      </c>
      <c r="I169" s="18" t="s">
        <v>527</v>
      </c>
      <c r="J169" s="28" t="n">
        <v>1748.32</v>
      </c>
      <c r="K169" s="12" t="str">
        <f aca="false">TEXT(B169,"yyyy-mm")</f>
        <v>2025-10</v>
      </c>
      <c r="L169" s="21" t="str">
        <f aca="false">IFERROR(INDEX(Projects!$E$2:$E$500,MATCH(C169,Projects!$A$2:$A$500,0)),"")</f>
        <v>Cloud &amp; Infrastructure</v>
      </c>
      <c r="M169" s="31" t="n">
        <f aca="false">IF(I169="Yes",H169*INDEX(Resources!$I$2:$I$500,MATCH(E169,Resources!$A$2:$A$500,0)),0)</f>
        <v>0</v>
      </c>
    </row>
    <row r="170" customFormat="false" ht="15" hidden="false" customHeight="false" outlineLevel="0" collapsed="false">
      <c r="A170" s="18" t="s">
        <v>1197</v>
      </c>
      <c r="B170" s="19" t="n">
        <v>45961</v>
      </c>
      <c r="C170" s="18" t="s">
        <v>277</v>
      </c>
      <c r="D170" s="18" t="s">
        <v>876</v>
      </c>
      <c r="E170" s="18"/>
      <c r="F170" s="18" t="s">
        <v>1071</v>
      </c>
      <c r="G170" s="18" t="s">
        <v>1033</v>
      </c>
      <c r="H170" s="30" t="n">
        <v>0</v>
      </c>
      <c r="I170" s="18" t="s">
        <v>527</v>
      </c>
      <c r="J170" s="28" t="n">
        <v>735.45</v>
      </c>
      <c r="K170" s="12" t="str">
        <f aca="false">TEXT(B170,"yyyy-mm")</f>
        <v>2025-10</v>
      </c>
      <c r="L170" s="21" t="str">
        <f aca="false">IFERROR(INDEX(Projects!$E$2:$E$500,MATCH(C170,Projects!$A$2:$A$500,0)),"")</f>
        <v>Cloud &amp; Infrastructure</v>
      </c>
      <c r="M170" s="31" t="n">
        <f aca="false">IF(I170="Yes",H170*INDEX(Resources!$I$2:$I$500,MATCH(E170,Resources!$A$2:$A$500,0)),0)</f>
        <v>0</v>
      </c>
    </row>
    <row r="171" customFormat="false" ht="15" hidden="false" customHeight="false" outlineLevel="0" collapsed="false">
      <c r="A171" s="18" t="s">
        <v>1198</v>
      </c>
      <c r="B171" s="19" t="n">
        <v>45961</v>
      </c>
      <c r="C171" s="18" t="s">
        <v>281</v>
      </c>
      <c r="D171" s="18" t="s">
        <v>869</v>
      </c>
      <c r="E171" s="18" t="s">
        <v>247</v>
      </c>
      <c r="F171" s="18"/>
      <c r="G171" s="18" t="s">
        <v>1019</v>
      </c>
      <c r="H171" s="30" t="n">
        <v>101.6</v>
      </c>
      <c r="I171" s="18" t="s">
        <v>513</v>
      </c>
      <c r="J171" s="28" t="n">
        <v>8940.8</v>
      </c>
      <c r="K171" s="12" t="str">
        <f aca="false">TEXT(B171,"yyyy-mm")</f>
        <v>2025-10</v>
      </c>
      <c r="L171" s="21" t="str">
        <f aca="false">IFERROR(INDEX(Projects!$E$2:$E$500,MATCH(C171,Projects!$A$2:$A$500,0)),"")</f>
        <v>Digital Transformation</v>
      </c>
      <c r="M171" s="31" t="n">
        <f aca="false">IF(I171="Yes",H171*INDEX(Resources!$I$2:$I$500,MATCH(E171,Resources!$A$2:$A$500,0)),0)</f>
        <v>17780</v>
      </c>
    </row>
    <row r="172" customFormat="false" ht="15" hidden="false" customHeight="false" outlineLevel="0" collapsed="false">
      <c r="A172" s="18" t="s">
        <v>1199</v>
      </c>
      <c r="B172" s="19" t="n">
        <v>45961</v>
      </c>
      <c r="C172" s="18" t="s">
        <v>281</v>
      </c>
      <c r="D172" s="18" t="s">
        <v>869</v>
      </c>
      <c r="E172" s="18" t="s">
        <v>357</v>
      </c>
      <c r="F172" s="18"/>
      <c r="G172" s="18" t="s">
        <v>1019</v>
      </c>
      <c r="H172" s="30" t="n">
        <v>26</v>
      </c>
      <c r="I172" s="18" t="s">
        <v>513</v>
      </c>
      <c r="J172" s="28" t="n">
        <v>3144.96</v>
      </c>
      <c r="K172" s="12" t="str">
        <f aca="false">TEXT(B172,"yyyy-mm")</f>
        <v>2025-10</v>
      </c>
      <c r="L172" s="21" t="str">
        <f aca="false">IFERROR(INDEX(Projects!$E$2:$E$500,MATCH(C172,Projects!$A$2:$A$500,0)),"")</f>
        <v>Digital Transformation</v>
      </c>
      <c r="M172" s="31" t="n">
        <f aca="false">IF(I172="Yes",H172*INDEX(Resources!$I$2:$I$500,MATCH(E172,Resources!$A$2:$A$500,0)),0)</f>
        <v>6370</v>
      </c>
    </row>
    <row r="173" customFormat="false" ht="15" hidden="false" customHeight="false" outlineLevel="0" collapsed="false">
      <c r="A173" s="18" t="s">
        <v>1200</v>
      </c>
      <c r="B173" s="19" t="n">
        <v>45961</v>
      </c>
      <c r="C173" s="18" t="s">
        <v>281</v>
      </c>
      <c r="D173" s="18" t="s">
        <v>869</v>
      </c>
      <c r="E173" s="18" t="s">
        <v>371</v>
      </c>
      <c r="F173" s="18"/>
      <c r="G173" s="18" t="s">
        <v>1019</v>
      </c>
      <c r="H173" s="30" t="n">
        <v>149.7</v>
      </c>
      <c r="I173" s="18" t="s">
        <v>513</v>
      </c>
      <c r="J173" s="28" t="n">
        <v>9467.03</v>
      </c>
      <c r="K173" s="12" t="str">
        <f aca="false">TEXT(B173,"yyyy-mm")</f>
        <v>2025-10</v>
      </c>
      <c r="L173" s="21" t="str">
        <f aca="false">IFERROR(INDEX(Projects!$E$2:$E$500,MATCH(C173,Projects!$A$2:$A$500,0)),"")</f>
        <v>Digital Transformation</v>
      </c>
      <c r="M173" s="31" t="n">
        <f aca="false">IF(I173="Yes",H173*INDEX(Resources!$I$2:$I$500,MATCH(E173,Resources!$A$2:$A$500,0)),0)</f>
        <v>19461</v>
      </c>
    </row>
    <row r="174" customFormat="false" ht="15" hidden="false" customHeight="false" outlineLevel="0" collapsed="false">
      <c r="A174" s="18" t="s">
        <v>1201</v>
      </c>
      <c r="B174" s="19" t="n">
        <v>45961</v>
      </c>
      <c r="C174" s="18" t="s">
        <v>281</v>
      </c>
      <c r="D174" s="18" t="s">
        <v>869</v>
      </c>
      <c r="E174" s="18" t="s">
        <v>395</v>
      </c>
      <c r="F174" s="18"/>
      <c r="G174" s="18" t="s">
        <v>1019</v>
      </c>
      <c r="H174" s="30" t="n">
        <v>148.3</v>
      </c>
      <c r="I174" s="18" t="s">
        <v>513</v>
      </c>
      <c r="J174" s="28" t="n">
        <v>15860.69</v>
      </c>
      <c r="K174" s="12" t="str">
        <f aca="false">TEXT(B174,"yyyy-mm")</f>
        <v>2025-10</v>
      </c>
      <c r="L174" s="21" t="str">
        <f aca="false">IFERROR(INDEX(Projects!$E$2:$E$500,MATCH(C174,Projects!$A$2:$A$500,0)),"")</f>
        <v>Digital Transformation</v>
      </c>
      <c r="M174" s="31" t="n">
        <f aca="false">IF(I174="Yes",H174*INDEX(Resources!$I$2:$I$500,MATCH(E174,Resources!$A$2:$A$500,0)),0)</f>
        <v>25211</v>
      </c>
    </row>
    <row r="175" customFormat="false" ht="15" hidden="false" customHeight="false" outlineLevel="0" collapsed="false">
      <c r="A175" s="18" t="s">
        <v>1202</v>
      </c>
      <c r="B175" s="19" t="n">
        <v>45961</v>
      </c>
      <c r="C175" s="18" t="s">
        <v>281</v>
      </c>
      <c r="D175" s="18" t="s">
        <v>869</v>
      </c>
      <c r="E175" s="18" t="s">
        <v>417</v>
      </c>
      <c r="F175" s="18"/>
      <c r="G175" s="18" t="s">
        <v>1019</v>
      </c>
      <c r="H175" s="30" t="n">
        <v>167.4</v>
      </c>
      <c r="I175" s="18" t="s">
        <v>513</v>
      </c>
      <c r="J175" s="28" t="n">
        <v>9106.56</v>
      </c>
      <c r="K175" s="12" t="str">
        <f aca="false">TEXT(B175,"yyyy-mm")</f>
        <v>2025-10</v>
      </c>
      <c r="L175" s="21" t="str">
        <f aca="false">IFERROR(INDEX(Projects!$E$2:$E$500,MATCH(C175,Projects!$A$2:$A$500,0)),"")</f>
        <v>Digital Transformation</v>
      </c>
      <c r="M175" s="31" t="n">
        <f aca="false">IF(I175="Yes",H175*INDEX(Resources!$I$2:$I$500,MATCH(E175,Resources!$A$2:$A$500,0)),0)</f>
        <v>18414</v>
      </c>
    </row>
    <row r="176" customFormat="false" ht="15" hidden="false" customHeight="false" outlineLevel="0" collapsed="false">
      <c r="A176" s="18" t="s">
        <v>1203</v>
      </c>
      <c r="B176" s="19" t="n">
        <v>45961</v>
      </c>
      <c r="C176" s="18" t="s">
        <v>281</v>
      </c>
      <c r="D176" s="18" t="s">
        <v>869</v>
      </c>
      <c r="E176" s="18" t="s">
        <v>434</v>
      </c>
      <c r="F176" s="18"/>
      <c r="G176" s="18" t="s">
        <v>1019</v>
      </c>
      <c r="H176" s="30" t="n">
        <v>91.2</v>
      </c>
      <c r="I176" s="18" t="s">
        <v>513</v>
      </c>
      <c r="J176" s="28" t="n">
        <v>5924.35</v>
      </c>
      <c r="K176" s="12" t="str">
        <f aca="false">TEXT(B176,"yyyy-mm")</f>
        <v>2025-10</v>
      </c>
      <c r="L176" s="21" t="str">
        <f aca="false">IFERROR(INDEX(Projects!$E$2:$E$500,MATCH(C176,Projects!$A$2:$A$500,0)),"")</f>
        <v>Digital Transformation</v>
      </c>
      <c r="M176" s="31" t="n">
        <f aca="false">IF(I176="Yes",H176*INDEX(Resources!$I$2:$I$500,MATCH(E176,Resources!$A$2:$A$500,0)),0)</f>
        <v>12312</v>
      </c>
    </row>
    <row r="177" customFormat="false" ht="15" hidden="false" customHeight="false" outlineLevel="0" collapsed="false">
      <c r="A177" s="18" t="s">
        <v>1204</v>
      </c>
      <c r="B177" s="19" t="n">
        <v>45961</v>
      </c>
      <c r="C177" s="18" t="s">
        <v>281</v>
      </c>
      <c r="D177" s="18" t="s">
        <v>869</v>
      </c>
      <c r="E177" s="18" t="s">
        <v>492</v>
      </c>
      <c r="F177" s="18"/>
      <c r="G177" s="18" t="s">
        <v>1019</v>
      </c>
      <c r="H177" s="30" t="n">
        <v>50.2</v>
      </c>
      <c r="I177" s="18" t="s">
        <v>513</v>
      </c>
      <c r="J177" s="28" t="n">
        <v>4192.7</v>
      </c>
      <c r="K177" s="12" t="str">
        <f aca="false">TEXT(B177,"yyyy-mm")</f>
        <v>2025-10</v>
      </c>
      <c r="L177" s="21" t="str">
        <f aca="false">IFERROR(INDEX(Projects!$E$2:$E$500,MATCH(C177,Projects!$A$2:$A$500,0)),"")</f>
        <v>Digital Transformation</v>
      </c>
      <c r="M177" s="31" t="n">
        <f aca="false">IF(I177="Yes",H177*INDEX(Resources!$I$2:$I$500,MATCH(E177,Resources!$A$2:$A$500,0)),0)</f>
        <v>8785</v>
      </c>
    </row>
    <row r="178" customFormat="false" ht="15" hidden="false" customHeight="false" outlineLevel="0" collapsed="false">
      <c r="A178" s="18" t="s">
        <v>1205</v>
      </c>
      <c r="B178" s="19" t="n">
        <v>45961</v>
      </c>
      <c r="C178" s="18" t="s">
        <v>281</v>
      </c>
      <c r="D178" s="18" t="s">
        <v>872</v>
      </c>
      <c r="E178" s="18"/>
      <c r="F178" s="18" t="s">
        <v>1025</v>
      </c>
      <c r="G178" s="18" t="s">
        <v>1026</v>
      </c>
      <c r="H178" s="30" t="n">
        <v>0</v>
      </c>
      <c r="I178" s="18" t="s">
        <v>527</v>
      </c>
      <c r="J178" s="28" t="n">
        <v>3146.58</v>
      </c>
      <c r="K178" s="12" t="str">
        <f aca="false">TEXT(B178,"yyyy-mm")</f>
        <v>2025-10</v>
      </c>
      <c r="L178" s="21" t="str">
        <f aca="false">IFERROR(INDEX(Projects!$E$2:$E$500,MATCH(C178,Projects!$A$2:$A$500,0)),"")</f>
        <v>Digital Transformation</v>
      </c>
      <c r="M178" s="31" t="n">
        <f aca="false">IF(I178="Yes",H178*INDEX(Resources!$I$2:$I$500,MATCH(E178,Resources!$A$2:$A$500,0)),0)</f>
        <v>0</v>
      </c>
    </row>
    <row r="179" customFormat="false" ht="15" hidden="false" customHeight="false" outlineLevel="0" collapsed="false">
      <c r="A179" s="18" t="s">
        <v>1206</v>
      </c>
      <c r="B179" s="19" t="n">
        <v>45961</v>
      </c>
      <c r="C179" s="18" t="s">
        <v>281</v>
      </c>
      <c r="D179" s="18" t="s">
        <v>874</v>
      </c>
      <c r="E179" s="18"/>
      <c r="F179" s="18" t="s">
        <v>1028</v>
      </c>
      <c r="G179" s="18" t="s">
        <v>1026</v>
      </c>
      <c r="H179" s="30" t="n">
        <v>0</v>
      </c>
      <c r="I179" s="18" t="s">
        <v>527</v>
      </c>
      <c r="J179" s="28" t="n">
        <v>5250.91</v>
      </c>
      <c r="K179" s="12" t="str">
        <f aca="false">TEXT(B179,"yyyy-mm")</f>
        <v>2025-10</v>
      </c>
      <c r="L179" s="21" t="str">
        <f aca="false">IFERROR(INDEX(Projects!$E$2:$E$500,MATCH(C179,Projects!$A$2:$A$500,0)),"")</f>
        <v>Digital Transformation</v>
      </c>
      <c r="M179" s="31" t="n">
        <f aca="false">IF(I179="Yes",H179*INDEX(Resources!$I$2:$I$500,MATCH(E179,Resources!$A$2:$A$500,0)),0)</f>
        <v>0</v>
      </c>
    </row>
    <row r="180" customFormat="false" ht="15" hidden="false" customHeight="false" outlineLevel="0" collapsed="false">
      <c r="A180" s="18" t="s">
        <v>1207</v>
      </c>
      <c r="B180" s="19" t="n">
        <v>45961</v>
      </c>
      <c r="C180" s="18" t="s">
        <v>281</v>
      </c>
      <c r="D180" s="18" t="s">
        <v>495</v>
      </c>
      <c r="E180" s="18"/>
      <c r="F180" s="18" t="s">
        <v>1030</v>
      </c>
      <c r="G180" s="18" t="s">
        <v>1026</v>
      </c>
      <c r="H180" s="30" t="n">
        <v>0</v>
      </c>
      <c r="I180" s="18" t="s">
        <v>527</v>
      </c>
      <c r="J180" s="28" t="n">
        <v>1477.95</v>
      </c>
      <c r="K180" s="12" t="str">
        <f aca="false">TEXT(B180,"yyyy-mm")</f>
        <v>2025-10</v>
      </c>
      <c r="L180" s="21" t="str">
        <f aca="false">IFERROR(INDEX(Projects!$E$2:$E$500,MATCH(C180,Projects!$A$2:$A$500,0)),"")</f>
        <v>Digital Transformation</v>
      </c>
      <c r="M180" s="31" t="n">
        <f aca="false">IF(I180="Yes",H180*INDEX(Resources!$I$2:$I$500,MATCH(E180,Resources!$A$2:$A$500,0)),0)</f>
        <v>0</v>
      </c>
    </row>
    <row r="181" customFormat="false" ht="15" hidden="false" customHeight="false" outlineLevel="0" collapsed="false">
      <c r="A181" s="18" t="s">
        <v>1208</v>
      </c>
      <c r="B181" s="19" t="n">
        <v>45961</v>
      </c>
      <c r="C181" s="18" t="s">
        <v>281</v>
      </c>
      <c r="D181" s="18" t="s">
        <v>876</v>
      </c>
      <c r="E181" s="18"/>
      <c r="F181" s="18" t="s">
        <v>1032</v>
      </c>
      <c r="G181" s="18" t="s">
        <v>1033</v>
      </c>
      <c r="H181" s="30" t="n">
        <v>0</v>
      </c>
      <c r="I181" s="18" t="s">
        <v>527</v>
      </c>
      <c r="J181" s="28" t="n">
        <v>841.38</v>
      </c>
      <c r="K181" s="12" t="str">
        <f aca="false">TEXT(B181,"yyyy-mm")</f>
        <v>2025-10</v>
      </c>
      <c r="L181" s="21" t="str">
        <f aca="false">IFERROR(INDEX(Projects!$E$2:$E$500,MATCH(C181,Projects!$A$2:$A$500,0)),"")</f>
        <v>Digital Transformation</v>
      </c>
      <c r="M181" s="31" t="n">
        <f aca="false">IF(I181="Yes",H181*INDEX(Resources!$I$2:$I$500,MATCH(E181,Resources!$A$2:$A$500,0)),0)</f>
        <v>0</v>
      </c>
    </row>
    <row r="182" customFormat="false" ht="15" hidden="false" customHeight="false" outlineLevel="0" collapsed="false">
      <c r="A182" s="18" t="s">
        <v>1209</v>
      </c>
      <c r="B182" s="19" t="n">
        <v>45961</v>
      </c>
      <c r="C182" s="18" t="s">
        <v>283</v>
      </c>
      <c r="D182" s="18" t="s">
        <v>889</v>
      </c>
      <c r="E182" s="18"/>
      <c r="F182" s="18" t="s">
        <v>1210</v>
      </c>
      <c r="G182" s="18" t="s">
        <v>1026</v>
      </c>
      <c r="H182" s="30" t="n">
        <v>0</v>
      </c>
      <c r="I182" s="18" t="s">
        <v>527</v>
      </c>
      <c r="J182" s="28" t="n">
        <v>3448.91</v>
      </c>
      <c r="K182" s="12" t="str">
        <f aca="false">TEXT(B182,"yyyy-mm")</f>
        <v>2025-10</v>
      </c>
      <c r="L182" s="21" t="str">
        <f aca="false">IFERROR(INDEX(Projects!$E$2:$E$500,MATCH(C182,Projects!$A$2:$A$500,0)),"")</f>
        <v>Data &amp; AI</v>
      </c>
      <c r="M182" s="31" t="n">
        <f aca="false">IF(I182="Yes",H182*INDEX(Resources!$I$2:$I$500,MATCH(E182,Resources!$A$2:$A$500,0)),0)</f>
        <v>0</v>
      </c>
    </row>
    <row r="183" customFormat="false" ht="15" hidden="false" customHeight="false" outlineLevel="0" collapsed="false">
      <c r="A183" s="18" t="s">
        <v>1211</v>
      </c>
      <c r="B183" s="19" t="n">
        <v>45961</v>
      </c>
      <c r="C183" s="18" t="s">
        <v>283</v>
      </c>
      <c r="D183" s="18" t="s">
        <v>869</v>
      </c>
      <c r="E183" s="18" t="s">
        <v>226</v>
      </c>
      <c r="F183" s="18"/>
      <c r="G183" s="18" t="s">
        <v>1019</v>
      </c>
      <c r="H183" s="30" t="n">
        <v>57.2</v>
      </c>
      <c r="I183" s="18" t="s">
        <v>527</v>
      </c>
      <c r="J183" s="28" t="n">
        <v>5033.6</v>
      </c>
      <c r="K183" s="12" t="str">
        <f aca="false">TEXT(B183,"yyyy-mm")</f>
        <v>2025-10</v>
      </c>
      <c r="L183" s="21" t="str">
        <f aca="false">IFERROR(INDEX(Projects!$E$2:$E$500,MATCH(C183,Projects!$A$2:$A$500,0)),"")</f>
        <v>Data &amp; AI</v>
      </c>
      <c r="M183" s="31" t="n">
        <f aca="false">IF(I183="Yes",H183*INDEX(Resources!$I$2:$I$500,MATCH(E183,Resources!$A$2:$A$500,0)),0)</f>
        <v>0</v>
      </c>
    </row>
    <row r="184" customFormat="false" ht="15" hidden="false" customHeight="false" outlineLevel="0" collapsed="false">
      <c r="A184" s="18" t="s">
        <v>1212</v>
      </c>
      <c r="B184" s="19" t="n">
        <v>45961</v>
      </c>
      <c r="C184" s="18" t="s">
        <v>283</v>
      </c>
      <c r="D184" s="18" t="s">
        <v>869</v>
      </c>
      <c r="E184" s="18" t="s">
        <v>354</v>
      </c>
      <c r="F184" s="18"/>
      <c r="G184" s="18" t="s">
        <v>1019</v>
      </c>
      <c r="H184" s="30" t="n">
        <v>29.9</v>
      </c>
      <c r="I184" s="18" t="s">
        <v>513</v>
      </c>
      <c r="J184" s="28" t="n">
        <v>3884.61</v>
      </c>
      <c r="K184" s="12" t="str">
        <f aca="false">TEXT(B184,"yyyy-mm")</f>
        <v>2025-10</v>
      </c>
      <c r="L184" s="21" t="str">
        <f aca="false">IFERROR(INDEX(Projects!$E$2:$E$500,MATCH(C184,Projects!$A$2:$A$500,0)),"")</f>
        <v>Data &amp; AI</v>
      </c>
      <c r="M184" s="31" t="n">
        <f aca="false">IF(I184="Yes",H184*INDEX(Resources!$I$2:$I$500,MATCH(E184,Resources!$A$2:$A$500,0)),0)</f>
        <v>7774</v>
      </c>
    </row>
    <row r="185" customFormat="false" ht="15" hidden="false" customHeight="false" outlineLevel="0" collapsed="false">
      <c r="A185" s="18" t="s">
        <v>1213</v>
      </c>
      <c r="B185" s="19" t="n">
        <v>45961</v>
      </c>
      <c r="C185" s="18" t="s">
        <v>283</v>
      </c>
      <c r="D185" s="18" t="s">
        <v>869</v>
      </c>
      <c r="E185" s="18" t="s">
        <v>424</v>
      </c>
      <c r="F185" s="18"/>
      <c r="G185" s="18" t="s">
        <v>1019</v>
      </c>
      <c r="H185" s="30" t="n">
        <v>62.2</v>
      </c>
      <c r="I185" s="18" t="s">
        <v>513</v>
      </c>
      <c r="J185" s="28" t="n">
        <v>4229.6</v>
      </c>
      <c r="K185" s="12" t="str">
        <f aca="false">TEXT(B185,"yyyy-mm")</f>
        <v>2025-10</v>
      </c>
      <c r="L185" s="21" t="str">
        <f aca="false">IFERROR(INDEX(Projects!$E$2:$E$500,MATCH(C185,Projects!$A$2:$A$500,0)),"")</f>
        <v>Data &amp; AI</v>
      </c>
      <c r="M185" s="31" t="n">
        <f aca="false">IF(I185="Yes",H185*INDEX(Resources!$I$2:$I$500,MATCH(E185,Resources!$A$2:$A$500,0)),0)</f>
        <v>6842</v>
      </c>
    </row>
    <row r="186" customFormat="false" ht="15" hidden="false" customHeight="false" outlineLevel="0" collapsed="false">
      <c r="A186" s="18" t="s">
        <v>1214</v>
      </c>
      <c r="B186" s="19" t="n">
        <v>45961</v>
      </c>
      <c r="C186" s="18" t="s">
        <v>283</v>
      </c>
      <c r="D186" s="18" t="s">
        <v>869</v>
      </c>
      <c r="E186" s="18" t="s">
        <v>459</v>
      </c>
      <c r="F186" s="18"/>
      <c r="G186" s="18" t="s">
        <v>1019</v>
      </c>
      <c r="H186" s="30" t="n">
        <v>107.3</v>
      </c>
      <c r="I186" s="18" t="s">
        <v>513</v>
      </c>
      <c r="J186" s="28" t="n">
        <v>10429.56</v>
      </c>
      <c r="K186" s="12" t="str">
        <f aca="false">TEXT(B186,"yyyy-mm")</f>
        <v>2025-10</v>
      </c>
      <c r="L186" s="21" t="str">
        <f aca="false">IFERROR(INDEX(Projects!$E$2:$E$500,MATCH(C186,Projects!$A$2:$A$500,0)),"")</f>
        <v>Data &amp; AI</v>
      </c>
      <c r="M186" s="31" t="n">
        <f aca="false">IF(I186="Yes",H186*INDEX(Resources!$I$2:$I$500,MATCH(E186,Resources!$A$2:$A$500,0)),0)</f>
        <v>20923.5</v>
      </c>
    </row>
    <row r="187" customFormat="false" ht="15" hidden="false" customHeight="false" outlineLevel="0" collapsed="false">
      <c r="A187" s="18" t="s">
        <v>1215</v>
      </c>
      <c r="B187" s="19" t="n">
        <v>45961</v>
      </c>
      <c r="C187" s="18" t="s">
        <v>283</v>
      </c>
      <c r="D187" s="18" t="s">
        <v>872</v>
      </c>
      <c r="E187" s="18"/>
      <c r="F187" s="18" t="s">
        <v>1025</v>
      </c>
      <c r="G187" s="18" t="s">
        <v>1026</v>
      </c>
      <c r="H187" s="30" t="n">
        <v>0</v>
      </c>
      <c r="I187" s="18" t="s">
        <v>527</v>
      </c>
      <c r="J187" s="28" t="n">
        <v>2225.23</v>
      </c>
      <c r="K187" s="12" t="str">
        <f aca="false">TEXT(B187,"yyyy-mm")</f>
        <v>2025-10</v>
      </c>
      <c r="L187" s="21" t="str">
        <f aca="false">IFERROR(INDEX(Projects!$E$2:$E$500,MATCH(C187,Projects!$A$2:$A$500,0)),"")</f>
        <v>Data &amp; AI</v>
      </c>
      <c r="M187" s="31" t="n">
        <f aca="false">IF(I187="Yes",H187*INDEX(Resources!$I$2:$I$500,MATCH(E187,Resources!$A$2:$A$500,0)),0)</f>
        <v>0</v>
      </c>
    </row>
    <row r="188" customFormat="false" ht="15" hidden="false" customHeight="false" outlineLevel="0" collapsed="false">
      <c r="A188" s="18" t="s">
        <v>1216</v>
      </c>
      <c r="B188" s="19" t="n">
        <v>45961</v>
      </c>
      <c r="C188" s="18" t="s">
        <v>283</v>
      </c>
      <c r="D188" s="18" t="s">
        <v>876</v>
      </c>
      <c r="E188" s="18"/>
      <c r="F188" s="18" t="s">
        <v>1032</v>
      </c>
      <c r="G188" s="18" t="s">
        <v>1033</v>
      </c>
      <c r="H188" s="30" t="n">
        <v>0</v>
      </c>
      <c r="I188" s="18" t="s">
        <v>527</v>
      </c>
      <c r="J188" s="28" t="n">
        <v>584.53</v>
      </c>
      <c r="K188" s="12" t="str">
        <f aca="false">TEXT(B188,"yyyy-mm")</f>
        <v>2025-10</v>
      </c>
      <c r="L188" s="21" t="str">
        <f aca="false">IFERROR(INDEX(Projects!$E$2:$E$500,MATCH(C188,Projects!$A$2:$A$500,0)),"")</f>
        <v>Data &amp; AI</v>
      </c>
      <c r="M188" s="31" t="n">
        <f aca="false">IF(I188="Yes",H188*INDEX(Resources!$I$2:$I$500,MATCH(E188,Resources!$A$2:$A$500,0)),0)</f>
        <v>0</v>
      </c>
    </row>
    <row r="189" customFormat="false" ht="15" hidden="false" customHeight="false" outlineLevel="0" collapsed="false">
      <c r="A189" s="18" t="s">
        <v>1217</v>
      </c>
      <c r="B189" s="19" t="n">
        <v>45991</v>
      </c>
      <c r="C189" s="18" t="s">
        <v>197</v>
      </c>
      <c r="D189" s="18" t="s">
        <v>869</v>
      </c>
      <c r="E189" s="18" t="s">
        <v>201</v>
      </c>
      <c r="F189" s="18"/>
      <c r="G189" s="18" t="s">
        <v>1019</v>
      </c>
      <c r="H189" s="30" t="n">
        <v>73.4</v>
      </c>
      <c r="I189" s="18" t="s">
        <v>513</v>
      </c>
      <c r="J189" s="28" t="n">
        <v>7492.67</v>
      </c>
      <c r="K189" s="12" t="str">
        <f aca="false">TEXT(B189,"yyyy-mm")</f>
        <v>2025-11</v>
      </c>
      <c r="L189" s="21" t="str">
        <f aca="false">IFERROR(INDEX(Projects!$E$2:$E$500,MATCH(C189,Projects!$A$2:$A$500,0)),"")</f>
        <v>Customer Experience</v>
      </c>
      <c r="M189" s="31" t="n">
        <f aca="false">IF(I189="Yes",H189*INDEX(Resources!$I$2:$I$500,MATCH(E189,Resources!$A$2:$A$500,0)),0)</f>
        <v>15047</v>
      </c>
    </row>
    <row r="190" customFormat="false" ht="15" hidden="false" customHeight="false" outlineLevel="0" collapsed="false">
      <c r="A190" s="18" t="s">
        <v>1218</v>
      </c>
      <c r="B190" s="19" t="n">
        <v>45991</v>
      </c>
      <c r="C190" s="18" t="s">
        <v>197</v>
      </c>
      <c r="D190" s="18" t="s">
        <v>869</v>
      </c>
      <c r="E190" s="18" t="s">
        <v>363</v>
      </c>
      <c r="F190" s="18"/>
      <c r="G190" s="18" t="s">
        <v>1019</v>
      </c>
      <c r="H190" s="30" t="n">
        <v>79.9</v>
      </c>
      <c r="I190" s="18" t="s">
        <v>513</v>
      </c>
      <c r="J190" s="28" t="n">
        <v>6302.51</v>
      </c>
      <c r="K190" s="12" t="str">
        <f aca="false">TEXT(B190,"yyyy-mm")</f>
        <v>2025-11</v>
      </c>
      <c r="L190" s="21" t="str">
        <f aca="false">IFERROR(INDEX(Projects!$E$2:$E$500,MATCH(C190,Projects!$A$2:$A$500,0)),"")</f>
        <v>Customer Experience</v>
      </c>
      <c r="M190" s="31" t="n">
        <f aca="false">IF(I190="Yes",H190*INDEX(Resources!$I$2:$I$500,MATCH(E190,Resources!$A$2:$A$500,0)),0)</f>
        <v>12784</v>
      </c>
    </row>
    <row r="191" customFormat="false" ht="15" hidden="false" customHeight="false" outlineLevel="0" collapsed="false">
      <c r="A191" s="18" t="s">
        <v>1219</v>
      </c>
      <c r="B191" s="19" t="n">
        <v>45991</v>
      </c>
      <c r="C191" s="18" t="s">
        <v>197</v>
      </c>
      <c r="D191" s="18" t="s">
        <v>869</v>
      </c>
      <c r="E191" s="18" t="s">
        <v>379</v>
      </c>
      <c r="F191" s="18"/>
      <c r="G191" s="18" t="s">
        <v>1019</v>
      </c>
      <c r="H191" s="30" t="n">
        <v>112.2</v>
      </c>
      <c r="I191" s="18" t="s">
        <v>513</v>
      </c>
      <c r="J191" s="28" t="n">
        <v>9631.25</v>
      </c>
      <c r="K191" s="12" t="str">
        <f aca="false">TEXT(B191,"yyyy-mm")</f>
        <v>2025-11</v>
      </c>
      <c r="L191" s="21" t="str">
        <f aca="false">IFERROR(INDEX(Projects!$E$2:$E$500,MATCH(C191,Projects!$A$2:$A$500,0)),"")</f>
        <v>Customer Experience</v>
      </c>
      <c r="M191" s="31" t="n">
        <f aca="false">IF(I191="Yes",H191*INDEX(Resources!$I$2:$I$500,MATCH(E191,Resources!$A$2:$A$500,0)),0)</f>
        <v>19635</v>
      </c>
    </row>
    <row r="192" customFormat="false" ht="15" hidden="false" customHeight="false" outlineLevel="0" collapsed="false">
      <c r="A192" s="18" t="s">
        <v>1220</v>
      </c>
      <c r="B192" s="19" t="n">
        <v>45991</v>
      </c>
      <c r="C192" s="18" t="s">
        <v>197</v>
      </c>
      <c r="D192" s="18" t="s">
        <v>869</v>
      </c>
      <c r="E192" s="18" t="s">
        <v>389</v>
      </c>
      <c r="F192" s="18"/>
      <c r="G192" s="18" t="s">
        <v>1019</v>
      </c>
      <c r="H192" s="30" t="n">
        <v>117.2</v>
      </c>
      <c r="I192" s="18" t="s">
        <v>513</v>
      </c>
      <c r="J192" s="28" t="n">
        <v>12507.58</v>
      </c>
      <c r="K192" s="12" t="str">
        <f aca="false">TEXT(B192,"yyyy-mm")</f>
        <v>2025-11</v>
      </c>
      <c r="L192" s="21" t="str">
        <f aca="false">IFERROR(INDEX(Projects!$E$2:$E$500,MATCH(C192,Projects!$A$2:$A$500,0)),"")</f>
        <v>Customer Experience</v>
      </c>
      <c r="M192" s="31" t="n">
        <f aca="false">IF(I192="Yes",H192*INDEX(Resources!$I$2:$I$500,MATCH(E192,Resources!$A$2:$A$500,0)),0)</f>
        <v>25198</v>
      </c>
    </row>
    <row r="193" customFormat="false" ht="15" hidden="false" customHeight="false" outlineLevel="0" collapsed="false">
      <c r="A193" s="18" t="s">
        <v>1221</v>
      </c>
      <c r="B193" s="19" t="n">
        <v>45991</v>
      </c>
      <c r="C193" s="18" t="s">
        <v>197</v>
      </c>
      <c r="D193" s="18" t="s">
        <v>869</v>
      </c>
      <c r="E193" s="18" t="s">
        <v>409</v>
      </c>
      <c r="F193" s="18"/>
      <c r="G193" s="18" t="s">
        <v>1019</v>
      </c>
      <c r="H193" s="30" t="n">
        <v>148.6</v>
      </c>
      <c r="I193" s="18" t="s">
        <v>513</v>
      </c>
      <c r="J193" s="28" t="n">
        <v>11032.06</v>
      </c>
      <c r="K193" s="12" t="str">
        <f aca="false">TEXT(B193,"yyyy-mm")</f>
        <v>2025-11</v>
      </c>
      <c r="L193" s="21" t="str">
        <f aca="false">IFERROR(INDEX(Projects!$E$2:$E$500,MATCH(C193,Projects!$A$2:$A$500,0)),"")</f>
        <v>Customer Experience</v>
      </c>
      <c r="M193" s="31" t="n">
        <f aca="false">IF(I193="Yes",H193*INDEX(Resources!$I$2:$I$500,MATCH(E193,Resources!$A$2:$A$500,0)),0)</f>
        <v>22290</v>
      </c>
    </row>
    <row r="194" customFormat="false" ht="15" hidden="false" customHeight="false" outlineLevel="0" collapsed="false">
      <c r="A194" s="18" t="s">
        <v>1222</v>
      </c>
      <c r="B194" s="19" t="n">
        <v>45991</v>
      </c>
      <c r="C194" s="18" t="s">
        <v>197</v>
      </c>
      <c r="D194" s="18" t="s">
        <v>872</v>
      </c>
      <c r="E194" s="18"/>
      <c r="F194" s="18" t="s">
        <v>1059</v>
      </c>
      <c r="G194" s="18" t="s">
        <v>1026</v>
      </c>
      <c r="H194" s="30" t="n">
        <v>0</v>
      </c>
      <c r="I194" s="18" t="s">
        <v>527</v>
      </c>
      <c r="J194" s="28" t="n">
        <v>2598.74</v>
      </c>
      <c r="K194" s="12" t="str">
        <f aca="false">TEXT(B194,"yyyy-mm")</f>
        <v>2025-11</v>
      </c>
      <c r="L194" s="21" t="str">
        <f aca="false">IFERROR(INDEX(Projects!$E$2:$E$500,MATCH(C194,Projects!$A$2:$A$500,0)),"")</f>
        <v>Customer Experience</v>
      </c>
      <c r="M194" s="31" t="n">
        <f aca="false">IF(I194="Yes",H194*INDEX(Resources!$I$2:$I$500,MATCH(E194,Resources!$A$2:$A$500,0)),0)</f>
        <v>0</v>
      </c>
    </row>
    <row r="195" customFormat="false" ht="15" hidden="false" customHeight="false" outlineLevel="0" collapsed="false">
      <c r="A195" s="18" t="s">
        <v>1223</v>
      </c>
      <c r="B195" s="19" t="n">
        <v>45991</v>
      </c>
      <c r="C195" s="18" t="s">
        <v>197</v>
      </c>
      <c r="D195" s="18" t="s">
        <v>874</v>
      </c>
      <c r="E195" s="18"/>
      <c r="F195" s="18" t="s">
        <v>1224</v>
      </c>
      <c r="G195" s="18" t="s">
        <v>1026</v>
      </c>
      <c r="H195" s="30" t="n">
        <v>0</v>
      </c>
      <c r="I195" s="18" t="s">
        <v>527</v>
      </c>
      <c r="J195" s="28" t="n">
        <v>4045.6</v>
      </c>
      <c r="K195" s="12" t="str">
        <f aca="false">TEXT(B195,"yyyy-mm")</f>
        <v>2025-11</v>
      </c>
      <c r="L195" s="21" t="str">
        <f aca="false">IFERROR(INDEX(Projects!$E$2:$E$500,MATCH(C195,Projects!$A$2:$A$500,0)),"")</f>
        <v>Customer Experience</v>
      </c>
      <c r="M195" s="31" t="n">
        <f aca="false">IF(I195="Yes",H195*INDEX(Resources!$I$2:$I$500,MATCH(E195,Resources!$A$2:$A$500,0)),0)</f>
        <v>0</v>
      </c>
    </row>
    <row r="196" customFormat="false" ht="15" hidden="false" customHeight="false" outlineLevel="0" collapsed="false">
      <c r="A196" s="18" t="s">
        <v>1225</v>
      </c>
      <c r="B196" s="19" t="n">
        <v>45991</v>
      </c>
      <c r="C196" s="18" t="s">
        <v>197</v>
      </c>
      <c r="D196" s="18" t="s">
        <v>876</v>
      </c>
      <c r="E196" s="18"/>
      <c r="F196" s="18" t="s">
        <v>1032</v>
      </c>
      <c r="G196" s="18" t="s">
        <v>1033</v>
      </c>
      <c r="H196" s="30" t="n">
        <v>0</v>
      </c>
      <c r="I196" s="18" t="s">
        <v>527</v>
      </c>
      <c r="J196" s="28" t="n">
        <v>950.02</v>
      </c>
      <c r="K196" s="12" t="str">
        <f aca="false">TEXT(B196,"yyyy-mm")</f>
        <v>2025-11</v>
      </c>
      <c r="L196" s="21" t="str">
        <f aca="false">IFERROR(INDEX(Projects!$E$2:$E$500,MATCH(C196,Projects!$A$2:$A$500,0)),"")</f>
        <v>Customer Experience</v>
      </c>
      <c r="M196" s="31" t="n">
        <f aca="false">IF(I196="Yes",H196*INDEX(Resources!$I$2:$I$500,MATCH(E196,Resources!$A$2:$A$500,0)),0)</f>
        <v>0</v>
      </c>
    </row>
    <row r="197" customFormat="false" ht="15" hidden="false" customHeight="false" outlineLevel="0" collapsed="false">
      <c r="A197" s="18" t="s">
        <v>1226</v>
      </c>
      <c r="B197" s="19" t="n">
        <v>45991</v>
      </c>
      <c r="C197" s="18" t="s">
        <v>215</v>
      </c>
      <c r="D197" s="18" t="s">
        <v>889</v>
      </c>
      <c r="E197" s="18"/>
      <c r="F197" s="18" t="s">
        <v>1035</v>
      </c>
      <c r="G197" s="18" t="s">
        <v>1026</v>
      </c>
      <c r="H197" s="30" t="n">
        <v>0</v>
      </c>
      <c r="I197" s="18" t="s">
        <v>527</v>
      </c>
      <c r="J197" s="28" t="n">
        <v>4070.52</v>
      </c>
      <c r="K197" s="12" t="str">
        <f aca="false">TEXT(B197,"yyyy-mm")</f>
        <v>2025-11</v>
      </c>
      <c r="L197" s="21" t="str">
        <f aca="false">IFERROR(INDEX(Projects!$E$2:$E$500,MATCH(C197,Projects!$A$2:$A$500,0)),"")</f>
        <v>Data &amp; AI</v>
      </c>
      <c r="M197" s="31" t="n">
        <f aca="false">IF(I197="Yes",H197*INDEX(Resources!$I$2:$I$500,MATCH(E197,Resources!$A$2:$A$500,0)),0)</f>
        <v>0</v>
      </c>
    </row>
    <row r="198" customFormat="false" ht="15" hidden="false" customHeight="false" outlineLevel="0" collapsed="false">
      <c r="A198" s="18" t="s">
        <v>1227</v>
      </c>
      <c r="B198" s="19" t="n">
        <v>45991</v>
      </c>
      <c r="C198" s="18" t="s">
        <v>215</v>
      </c>
      <c r="D198" s="18" t="s">
        <v>869</v>
      </c>
      <c r="E198" s="18" t="s">
        <v>218</v>
      </c>
      <c r="F198" s="18"/>
      <c r="G198" s="18" t="s">
        <v>1019</v>
      </c>
      <c r="H198" s="30" t="n">
        <v>42</v>
      </c>
      <c r="I198" s="18" t="s">
        <v>527</v>
      </c>
      <c r="J198" s="28" t="n">
        <v>3141.6</v>
      </c>
      <c r="K198" s="12" t="str">
        <f aca="false">TEXT(B198,"yyyy-mm")</f>
        <v>2025-11</v>
      </c>
      <c r="L198" s="21" t="str">
        <f aca="false">IFERROR(INDEX(Projects!$E$2:$E$500,MATCH(C198,Projects!$A$2:$A$500,0)),"")</f>
        <v>Data &amp; AI</v>
      </c>
      <c r="M198" s="31" t="n">
        <f aca="false">IF(I198="Yes",H198*INDEX(Resources!$I$2:$I$500,MATCH(E198,Resources!$A$2:$A$500,0)),0)</f>
        <v>0</v>
      </c>
    </row>
    <row r="199" customFormat="false" ht="15" hidden="false" customHeight="false" outlineLevel="0" collapsed="false">
      <c r="A199" s="18" t="s">
        <v>1228</v>
      </c>
      <c r="B199" s="19" t="n">
        <v>45991</v>
      </c>
      <c r="C199" s="18" t="s">
        <v>215</v>
      </c>
      <c r="D199" s="18" t="s">
        <v>869</v>
      </c>
      <c r="E199" s="18" t="s">
        <v>357</v>
      </c>
      <c r="F199" s="18"/>
      <c r="G199" s="18" t="s">
        <v>1019</v>
      </c>
      <c r="H199" s="30" t="n">
        <v>43.5</v>
      </c>
      <c r="I199" s="18" t="s">
        <v>513</v>
      </c>
      <c r="J199" s="28" t="n">
        <v>5261.76</v>
      </c>
      <c r="K199" s="12" t="str">
        <f aca="false">TEXT(B199,"yyyy-mm")</f>
        <v>2025-11</v>
      </c>
      <c r="L199" s="21" t="str">
        <f aca="false">IFERROR(INDEX(Projects!$E$2:$E$500,MATCH(C199,Projects!$A$2:$A$500,0)),"")</f>
        <v>Data &amp; AI</v>
      </c>
      <c r="M199" s="31" t="n">
        <f aca="false">IF(I199="Yes",H199*INDEX(Resources!$I$2:$I$500,MATCH(E199,Resources!$A$2:$A$500,0)),0)</f>
        <v>10657.5</v>
      </c>
    </row>
    <row r="200" customFormat="false" ht="15" hidden="false" customHeight="false" outlineLevel="0" collapsed="false">
      <c r="A200" s="18" t="s">
        <v>1229</v>
      </c>
      <c r="B200" s="19" t="n">
        <v>45991</v>
      </c>
      <c r="C200" s="18" t="s">
        <v>215</v>
      </c>
      <c r="D200" s="18" t="s">
        <v>869</v>
      </c>
      <c r="E200" s="18" t="s">
        <v>414</v>
      </c>
      <c r="F200" s="18"/>
      <c r="G200" s="18" t="s">
        <v>1019</v>
      </c>
      <c r="H200" s="30" t="n">
        <v>95.5</v>
      </c>
      <c r="I200" s="18" t="s">
        <v>513</v>
      </c>
      <c r="J200" s="28" t="n">
        <v>5684.16</v>
      </c>
      <c r="K200" s="12" t="str">
        <f aca="false">TEXT(B200,"yyyy-mm")</f>
        <v>2025-11</v>
      </c>
      <c r="L200" s="21" t="str">
        <f aca="false">IFERROR(INDEX(Projects!$E$2:$E$500,MATCH(C200,Projects!$A$2:$A$500,0)),"")</f>
        <v>Data &amp; AI</v>
      </c>
      <c r="M200" s="31" t="n">
        <f aca="false">IF(I200="Yes",H200*INDEX(Resources!$I$2:$I$500,MATCH(E200,Resources!$A$2:$A$500,0)),0)</f>
        <v>11460</v>
      </c>
    </row>
    <row r="201" customFormat="false" ht="15" hidden="false" customHeight="false" outlineLevel="0" collapsed="false">
      <c r="A201" s="18" t="s">
        <v>1230</v>
      </c>
      <c r="B201" s="19" t="n">
        <v>45991</v>
      </c>
      <c r="C201" s="18" t="s">
        <v>215</v>
      </c>
      <c r="D201" s="18" t="s">
        <v>869</v>
      </c>
      <c r="E201" s="18" t="s">
        <v>450</v>
      </c>
      <c r="F201" s="18"/>
      <c r="G201" s="18" t="s">
        <v>1019</v>
      </c>
      <c r="H201" s="30" t="n">
        <v>182.8</v>
      </c>
      <c r="I201" s="18" t="s">
        <v>513</v>
      </c>
      <c r="J201" s="28" t="n">
        <v>19084.32</v>
      </c>
      <c r="K201" s="12" t="str">
        <f aca="false">TEXT(B201,"yyyy-mm")</f>
        <v>2025-11</v>
      </c>
      <c r="L201" s="21" t="str">
        <f aca="false">IFERROR(INDEX(Projects!$E$2:$E$500,MATCH(C201,Projects!$A$2:$A$500,0)),"")</f>
        <v>Data &amp; AI</v>
      </c>
      <c r="M201" s="31" t="n">
        <f aca="false">IF(I201="Yes",H201*INDEX(Resources!$I$2:$I$500,MATCH(E201,Resources!$A$2:$A$500,0)),0)</f>
        <v>38388</v>
      </c>
    </row>
    <row r="202" customFormat="false" ht="15" hidden="false" customHeight="false" outlineLevel="0" collapsed="false">
      <c r="A202" s="18" t="s">
        <v>1231</v>
      </c>
      <c r="B202" s="19" t="n">
        <v>45991</v>
      </c>
      <c r="C202" s="18" t="s">
        <v>215</v>
      </c>
      <c r="D202" s="18" t="s">
        <v>872</v>
      </c>
      <c r="E202" s="18"/>
      <c r="F202" s="18" t="s">
        <v>1059</v>
      </c>
      <c r="G202" s="18" t="s">
        <v>1026</v>
      </c>
      <c r="H202" s="30" t="n">
        <v>0</v>
      </c>
      <c r="I202" s="18" t="s">
        <v>527</v>
      </c>
      <c r="J202" s="28" t="n">
        <v>2648.45</v>
      </c>
      <c r="K202" s="12" t="str">
        <f aca="false">TEXT(B202,"yyyy-mm")</f>
        <v>2025-11</v>
      </c>
      <c r="L202" s="21" t="str">
        <f aca="false">IFERROR(INDEX(Projects!$E$2:$E$500,MATCH(C202,Projects!$A$2:$A$500,0)),"")</f>
        <v>Data &amp; AI</v>
      </c>
      <c r="M202" s="31" t="n">
        <f aca="false">IF(I202="Yes",H202*INDEX(Resources!$I$2:$I$500,MATCH(E202,Resources!$A$2:$A$500,0)),0)</f>
        <v>0</v>
      </c>
    </row>
    <row r="203" customFormat="false" ht="15" hidden="false" customHeight="false" outlineLevel="0" collapsed="false">
      <c r="A203" s="18" t="s">
        <v>1232</v>
      </c>
      <c r="B203" s="19" t="n">
        <v>45991</v>
      </c>
      <c r="C203" s="18" t="s">
        <v>215</v>
      </c>
      <c r="D203" s="18" t="s">
        <v>876</v>
      </c>
      <c r="E203" s="18"/>
      <c r="F203" s="18" t="s">
        <v>1032</v>
      </c>
      <c r="G203" s="18" t="s">
        <v>1033</v>
      </c>
      <c r="H203" s="30" t="n">
        <v>0</v>
      </c>
      <c r="I203" s="18" t="s">
        <v>527</v>
      </c>
      <c r="J203" s="28" t="n">
        <v>615.33</v>
      </c>
      <c r="K203" s="12" t="str">
        <f aca="false">TEXT(B203,"yyyy-mm")</f>
        <v>2025-11</v>
      </c>
      <c r="L203" s="21" t="str">
        <f aca="false">IFERROR(INDEX(Projects!$E$2:$E$500,MATCH(C203,Projects!$A$2:$A$500,0)),"")</f>
        <v>Data &amp; AI</v>
      </c>
      <c r="M203" s="31" t="n">
        <f aca="false">IF(I203="Yes",H203*INDEX(Resources!$I$2:$I$500,MATCH(E203,Resources!$A$2:$A$500,0)),0)</f>
        <v>0</v>
      </c>
    </row>
    <row r="204" customFormat="false" ht="15" hidden="false" customHeight="false" outlineLevel="0" collapsed="false">
      <c r="A204" s="18" t="s">
        <v>1233</v>
      </c>
      <c r="B204" s="19" t="n">
        <v>45991</v>
      </c>
      <c r="C204" s="18" t="s">
        <v>233</v>
      </c>
      <c r="D204" s="18" t="s">
        <v>869</v>
      </c>
      <c r="E204" s="18" t="s">
        <v>237</v>
      </c>
      <c r="F204" s="18"/>
      <c r="G204" s="18" t="s">
        <v>1019</v>
      </c>
      <c r="H204" s="30" t="n">
        <v>97.5</v>
      </c>
      <c r="I204" s="18" t="s">
        <v>513</v>
      </c>
      <c r="J204" s="28" t="n">
        <v>7293</v>
      </c>
      <c r="K204" s="12" t="str">
        <f aca="false">TEXT(B204,"yyyy-mm")</f>
        <v>2025-11</v>
      </c>
      <c r="L204" s="21" t="str">
        <f aca="false">IFERROR(INDEX(Projects!$E$2:$E$500,MATCH(C204,Projects!$A$2:$A$500,0)),"")</f>
        <v>Customer Experience</v>
      </c>
      <c r="M204" s="31" t="n">
        <f aca="false">IF(I204="Yes",H204*INDEX(Resources!$I$2:$I$500,MATCH(E204,Resources!$A$2:$A$500,0)),0)</f>
        <v>14625</v>
      </c>
    </row>
    <row r="205" customFormat="false" ht="15" hidden="false" customHeight="false" outlineLevel="0" collapsed="false">
      <c r="A205" s="18" t="s">
        <v>1234</v>
      </c>
      <c r="B205" s="19" t="n">
        <v>45991</v>
      </c>
      <c r="C205" s="18" t="s">
        <v>233</v>
      </c>
      <c r="D205" s="18" t="s">
        <v>869</v>
      </c>
      <c r="E205" s="18" t="s">
        <v>375</v>
      </c>
      <c r="F205" s="18"/>
      <c r="G205" s="18" t="s">
        <v>1019</v>
      </c>
      <c r="H205" s="30" t="n">
        <v>110.3</v>
      </c>
      <c r="I205" s="18" t="s">
        <v>513</v>
      </c>
      <c r="J205" s="28" t="n">
        <v>7969.18</v>
      </c>
      <c r="K205" s="12" t="str">
        <f aca="false">TEXT(B205,"yyyy-mm")</f>
        <v>2025-11</v>
      </c>
      <c r="L205" s="21" t="str">
        <f aca="false">IFERROR(INDEX(Projects!$E$2:$E$500,MATCH(C205,Projects!$A$2:$A$500,0)),"")</f>
        <v>Customer Experience</v>
      </c>
      <c r="M205" s="31" t="n">
        <f aca="false">IF(I205="Yes",H205*INDEX(Resources!$I$2:$I$500,MATCH(E205,Resources!$A$2:$A$500,0)),0)</f>
        <v>13236</v>
      </c>
    </row>
    <row r="206" customFormat="false" ht="15" hidden="false" customHeight="false" outlineLevel="0" collapsed="false">
      <c r="A206" s="18" t="s">
        <v>1235</v>
      </c>
      <c r="B206" s="19" t="n">
        <v>45991</v>
      </c>
      <c r="C206" s="18" t="s">
        <v>233</v>
      </c>
      <c r="D206" s="18" t="s">
        <v>869</v>
      </c>
      <c r="E206" s="18" t="s">
        <v>384</v>
      </c>
      <c r="F206" s="18"/>
      <c r="G206" s="18" t="s">
        <v>1019</v>
      </c>
      <c r="H206" s="30" t="n">
        <v>151.3</v>
      </c>
      <c r="I206" s="18" t="s">
        <v>513</v>
      </c>
      <c r="J206" s="28" t="n">
        <v>10412.47</v>
      </c>
      <c r="K206" s="12" t="str">
        <f aca="false">TEXT(B206,"yyyy-mm")</f>
        <v>2025-11</v>
      </c>
      <c r="L206" s="21" t="str">
        <f aca="false">IFERROR(INDEX(Projects!$E$2:$E$500,MATCH(C206,Projects!$A$2:$A$500,0)),"")</f>
        <v>Customer Experience</v>
      </c>
      <c r="M206" s="31" t="n">
        <f aca="false">IF(I206="Yes",H206*INDEX(Resources!$I$2:$I$500,MATCH(E206,Resources!$A$2:$A$500,0)),0)</f>
        <v>21182</v>
      </c>
    </row>
    <row r="207" customFormat="false" ht="15" hidden="false" customHeight="false" outlineLevel="0" collapsed="false">
      <c r="A207" s="18" t="s">
        <v>1236</v>
      </c>
      <c r="B207" s="19" t="n">
        <v>45991</v>
      </c>
      <c r="C207" s="18" t="s">
        <v>233</v>
      </c>
      <c r="D207" s="18" t="s">
        <v>869</v>
      </c>
      <c r="E207" s="18" t="s">
        <v>398</v>
      </c>
      <c r="F207" s="18"/>
      <c r="G207" s="18" t="s">
        <v>1019</v>
      </c>
      <c r="H207" s="30" t="n">
        <v>153.8</v>
      </c>
      <c r="I207" s="18" t="s">
        <v>513</v>
      </c>
      <c r="J207" s="28" t="n">
        <v>13159.13</v>
      </c>
      <c r="K207" s="12" t="str">
        <f aca="false">TEXT(B207,"yyyy-mm")</f>
        <v>2025-11</v>
      </c>
      <c r="L207" s="21" t="str">
        <f aca="false">IFERROR(INDEX(Projects!$E$2:$E$500,MATCH(C207,Projects!$A$2:$A$500,0)),"")</f>
        <v>Customer Experience</v>
      </c>
      <c r="M207" s="31" t="n">
        <f aca="false">IF(I207="Yes",H207*INDEX(Resources!$I$2:$I$500,MATCH(E207,Resources!$A$2:$A$500,0)),0)</f>
        <v>26146</v>
      </c>
    </row>
    <row r="208" customFormat="false" ht="15" hidden="false" customHeight="false" outlineLevel="0" collapsed="false">
      <c r="A208" s="18" t="s">
        <v>1237</v>
      </c>
      <c r="B208" s="19" t="n">
        <v>45991</v>
      </c>
      <c r="C208" s="18" t="s">
        <v>233</v>
      </c>
      <c r="D208" s="18" t="s">
        <v>869</v>
      </c>
      <c r="E208" s="18" t="s">
        <v>420</v>
      </c>
      <c r="F208" s="18"/>
      <c r="G208" s="18" t="s">
        <v>1019</v>
      </c>
      <c r="H208" s="30" t="n">
        <v>194.4</v>
      </c>
      <c r="I208" s="18" t="s">
        <v>513</v>
      </c>
      <c r="J208" s="28" t="n">
        <v>11570.69</v>
      </c>
      <c r="K208" s="12" t="str">
        <f aca="false">TEXT(B208,"yyyy-mm")</f>
        <v>2025-11</v>
      </c>
      <c r="L208" s="21" t="str">
        <f aca="false">IFERROR(INDEX(Projects!$E$2:$E$500,MATCH(C208,Projects!$A$2:$A$500,0)),"")</f>
        <v>Customer Experience</v>
      </c>
      <c r="M208" s="31" t="n">
        <f aca="false">IF(I208="Yes",H208*INDEX(Resources!$I$2:$I$500,MATCH(E208,Resources!$A$2:$A$500,0)),0)</f>
        <v>23328</v>
      </c>
    </row>
    <row r="209" customFormat="false" ht="15" hidden="false" customHeight="false" outlineLevel="0" collapsed="false">
      <c r="A209" s="18" t="s">
        <v>1238</v>
      </c>
      <c r="B209" s="19" t="n">
        <v>45991</v>
      </c>
      <c r="C209" s="18" t="s">
        <v>233</v>
      </c>
      <c r="D209" s="18" t="s">
        <v>872</v>
      </c>
      <c r="E209" s="18"/>
      <c r="F209" s="18" t="s">
        <v>353</v>
      </c>
      <c r="G209" s="18" t="s">
        <v>1026</v>
      </c>
      <c r="H209" s="30" t="n">
        <v>0</v>
      </c>
      <c r="I209" s="18" t="s">
        <v>527</v>
      </c>
      <c r="J209" s="28" t="n">
        <v>2489.39</v>
      </c>
      <c r="K209" s="12" t="str">
        <f aca="false">TEXT(B209,"yyyy-mm")</f>
        <v>2025-11</v>
      </c>
      <c r="L209" s="21" t="str">
        <f aca="false">IFERROR(INDEX(Projects!$E$2:$E$500,MATCH(C209,Projects!$A$2:$A$500,0)),"")</f>
        <v>Customer Experience</v>
      </c>
      <c r="M209" s="31" t="n">
        <f aca="false">IF(I209="Yes",H209*INDEX(Resources!$I$2:$I$500,MATCH(E209,Resources!$A$2:$A$500,0)),0)</f>
        <v>0</v>
      </c>
    </row>
    <row r="210" customFormat="false" ht="15" hidden="false" customHeight="false" outlineLevel="0" collapsed="false">
      <c r="A210" s="18" t="s">
        <v>1239</v>
      </c>
      <c r="B210" s="19" t="n">
        <v>45991</v>
      </c>
      <c r="C210" s="18" t="s">
        <v>233</v>
      </c>
      <c r="D210" s="18" t="s">
        <v>874</v>
      </c>
      <c r="E210" s="18"/>
      <c r="F210" s="18" t="s">
        <v>1028</v>
      </c>
      <c r="G210" s="18" t="s">
        <v>1026</v>
      </c>
      <c r="H210" s="30" t="n">
        <v>0</v>
      </c>
      <c r="I210" s="18" t="s">
        <v>527</v>
      </c>
      <c r="J210" s="28" t="n">
        <v>3723.13</v>
      </c>
      <c r="K210" s="12" t="str">
        <f aca="false">TEXT(B210,"yyyy-mm")</f>
        <v>2025-11</v>
      </c>
      <c r="L210" s="21" t="str">
        <f aca="false">IFERROR(INDEX(Projects!$E$2:$E$500,MATCH(C210,Projects!$A$2:$A$500,0)),"")</f>
        <v>Customer Experience</v>
      </c>
      <c r="M210" s="31" t="n">
        <f aca="false">IF(I210="Yes",H210*INDEX(Resources!$I$2:$I$500,MATCH(E210,Resources!$A$2:$A$500,0)),0)</f>
        <v>0</v>
      </c>
    </row>
    <row r="211" customFormat="false" ht="15" hidden="false" customHeight="false" outlineLevel="0" collapsed="false">
      <c r="A211" s="18" t="s">
        <v>1240</v>
      </c>
      <c r="B211" s="19" t="n">
        <v>45991</v>
      </c>
      <c r="C211" s="18" t="s">
        <v>233</v>
      </c>
      <c r="D211" s="18" t="s">
        <v>876</v>
      </c>
      <c r="E211" s="18"/>
      <c r="F211" s="18" t="s">
        <v>1032</v>
      </c>
      <c r="G211" s="18" t="s">
        <v>1033</v>
      </c>
      <c r="H211" s="30" t="n">
        <v>0</v>
      </c>
      <c r="I211" s="18" t="s">
        <v>527</v>
      </c>
      <c r="J211" s="28" t="n">
        <v>691.88</v>
      </c>
      <c r="K211" s="12" t="str">
        <f aca="false">TEXT(B211,"yyyy-mm")</f>
        <v>2025-11</v>
      </c>
      <c r="L211" s="21" t="str">
        <f aca="false">IFERROR(INDEX(Projects!$E$2:$E$500,MATCH(C211,Projects!$A$2:$A$500,0)),"")</f>
        <v>Customer Experience</v>
      </c>
      <c r="M211" s="31" t="n">
        <f aca="false">IF(I211="Yes",H211*INDEX(Resources!$I$2:$I$500,MATCH(E211,Resources!$A$2:$A$500,0)),0)</f>
        <v>0</v>
      </c>
    </row>
    <row r="212" customFormat="false" ht="15" hidden="false" customHeight="false" outlineLevel="0" collapsed="false">
      <c r="A212" s="18" t="s">
        <v>1241</v>
      </c>
      <c r="B212" s="19" t="n">
        <v>45991</v>
      </c>
      <c r="C212" s="18" t="s">
        <v>265</v>
      </c>
      <c r="D212" s="18" t="s">
        <v>869</v>
      </c>
      <c r="E212" s="18" t="s">
        <v>211</v>
      </c>
      <c r="F212" s="18"/>
      <c r="G212" s="18" t="s">
        <v>1019</v>
      </c>
      <c r="H212" s="30" t="n">
        <v>99.4</v>
      </c>
      <c r="I212" s="18" t="s">
        <v>513</v>
      </c>
      <c r="J212" s="28" t="n">
        <v>10146.75</v>
      </c>
      <c r="K212" s="12" t="str">
        <f aca="false">TEXT(B212,"yyyy-mm")</f>
        <v>2025-11</v>
      </c>
      <c r="L212" s="21" t="str">
        <f aca="false">IFERROR(INDEX(Projects!$E$2:$E$500,MATCH(C212,Projects!$A$2:$A$500,0)),"")</f>
        <v>Digital Transformation</v>
      </c>
      <c r="M212" s="31" t="n">
        <f aca="false">IF(I212="Yes",H212*INDEX(Resources!$I$2:$I$500,MATCH(E212,Resources!$A$2:$A$500,0)),0)</f>
        <v>20377</v>
      </c>
    </row>
    <row r="213" customFormat="false" ht="15" hidden="false" customHeight="false" outlineLevel="0" collapsed="false">
      <c r="A213" s="18" t="s">
        <v>1242</v>
      </c>
      <c r="B213" s="19" t="n">
        <v>45991</v>
      </c>
      <c r="C213" s="18" t="s">
        <v>265</v>
      </c>
      <c r="D213" s="18" t="s">
        <v>869</v>
      </c>
      <c r="E213" s="18" t="s">
        <v>360</v>
      </c>
      <c r="F213" s="18"/>
      <c r="G213" s="18" t="s">
        <v>1019</v>
      </c>
      <c r="H213" s="30" t="n">
        <v>108.7</v>
      </c>
      <c r="I213" s="18" t="s">
        <v>513</v>
      </c>
      <c r="J213" s="28" t="n">
        <v>11322.19</v>
      </c>
      <c r="K213" s="12" t="str">
        <f aca="false">TEXT(B213,"yyyy-mm")</f>
        <v>2025-11</v>
      </c>
      <c r="L213" s="21" t="str">
        <f aca="false">IFERROR(INDEX(Projects!$E$2:$E$500,MATCH(C213,Projects!$A$2:$A$500,0)),"")</f>
        <v>Digital Transformation</v>
      </c>
      <c r="M213" s="31" t="n">
        <f aca="false">IF(I213="Yes",H213*INDEX(Resources!$I$2:$I$500,MATCH(E213,Resources!$A$2:$A$500,0)),0)</f>
        <v>22827</v>
      </c>
    </row>
    <row r="214" customFormat="false" ht="15" hidden="false" customHeight="false" outlineLevel="0" collapsed="false">
      <c r="A214" s="18" t="s">
        <v>1243</v>
      </c>
      <c r="B214" s="19" t="n">
        <v>45991</v>
      </c>
      <c r="C214" s="18" t="s">
        <v>265</v>
      </c>
      <c r="D214" s="18" t="s">
        <v>869</v>
      </c>
      <c r="E214" s="18" t="s">
        <v>375</v>
      </c>
      <c r="F214" s="18"/>
      <c r="G214" s="18" t="s">
        <v>1019</v>
      </c>
      <c r="H214" s="30" t="n">
        <v>157</v>
      </c>
      <c r="I214" s="18" t="s">
        <v>513</v>
      </c>
      <c r="J214" s="28" t="n">
        <v>11343.25</v>
      </c>
      <c r="K214" s="12" t="str">
        <f aca="false">TEXT(B214,"yyyy-mm")</f>
        <v>2025-11</v>
      </c>
      <c r="L214" s="21" t="str">
        <f aca="false">IFERROR(INDEX(Projects!$E$2:$E$500,MATCH(C214,Projects!$A$2:$A$500,0)),"")</f>
        <v>Digital Transformation</v>
      </c>
      <c r="M214" s="31" t="n">
        <f aca="false">IF(I214="Yes",H214*INDEX(Resources!$I$2:$I$500,MATCH(E214,Resources!$A$2:$A$500,0)),0)</f>
        <v>18840</v>
      </c>
    </row>
    <row r="215" customFormat="false" ht="15" hidden="false" customHeight="false" outlineLevel="0" collapsed="false">
      <c r="A215" s="18" t="s">
        <v>1244</v>
      </c>
      <c r="B215" s="19" t="n">
        <v>45991</v>
      </c>
      <c r="C215" s="18" t="s">
        <v>265</v>
      </c>
      <c r="D215" s="18" t="s">
        <v>869</v>
      </c>
      <c r="E215" s="18" t="s">
        <v>403</v>
      </c>
      <c r="F215" s="18"/>
      <c r="G215" s="18" t="s">
        <v>1019</v>
      </c>
      <c r="H215" s="30" t="n">
        <v>153.4</v>
      </c>
      <c r="I215" s="18" t="s">
        <v>513</v>
      </c>
      <c r="J215" s="28" t="n">
        <v>13124.9</v>
      </c>
      <c r="K215" s="12" t="str">
        <f aca="false">TEXT(B215,"yyyy-mm")</f>
        <v>2025-11</v>
      </c>
      <c r="L215" s="21" t="str">
        <f aca="false">IFERROR(INDEX(Projects!$E$2:$E$500,MATCH(C215,Projects!$A$2:$A$500,0)),"")</f>
        <v>Digital Transformation</v>
      </c>
      <c r="M215" s="31" t="n">
        <f aca="false">IF(I215="Yes",H215*INDEX(Resources!$I$2:$I$500,MATCH(E215,Resources!$A$2:$A$500,0)),0)</f>
        <v>26078</v>
      </c>
    </row>
    <row r="216" customFormat="false" ht="15" hidden="false" customHeight="false" outlineLevel="0" collapsed="false">
      <c r="A216" s="18" t="s">
        <v>1245</v>
      </c>
      <c r="B216" s="19" t="n">
        <v>45991</v>
      </c>
      <c r="C216" s="18" t="s">
        <v>265</v>
      </c>
      <c r="D216" s="18" t="s">
        <v>869</v>
      </c>
      <c r="E216" s="18" t="s">
        <v>432</v>
      </c>
      <c r="F216" s="18"/>
      <c r="G216" s="18" t="s">
        <v>1019</v>
      </c>
      <c r="H216" s="30" t="n">
        <v>94</v>
      </c>
      <c r="I216" s="18" t="s">
        <v>513</v>
      </c>
      <c r="J216" s="28" t="n">
        <v>6016</v>
      </c>
      <c r="K216" s="12" t="str">
        <f aca="false">TEXT(B216,"yyyy-mm")</f>
        <v>2025-11</v>
      </c>
      <c r="L216" s="21" t="str">
        <f aca="false">IFERROR(INDEX(Projects!$E$2:$E$500,MATCH(C216,Projects!$A$2:$A$500,0)),"")</f>
        <v>Digital Transformation</v>
      </c>
      <c r="M216" s="31" t="n">
        <f aca="false">IF(I216="Yes",H216*INDEX(Resources!$I$2:$I$500,MATCH(E216,Resources!$A$2:$A$500,0)),0)</f>
        <v>12220</v>
      </c>
    </row>
    <row r="217" customFormat="false" ht="15" hidden="false" customHeight="false" outlineLevel="0" collapsed="false">
      <c r="A217" s="18" t="s">
        <v>1246</v>
      </c>
      <c r="B217" s="19" t="n">
        <v>45991</v>
      </c>
      <c r="C217" s="18" t="s">
        <v>265</v>
      </c>
      <c r="D217" s="18" t="s">
        <v>872</v>
      </c>
      <c r="E217" s="18"/>
      <c r="F217" s="18" t="s">
        <v>353</v>
      </c>
      <c r="G217" s="18" t="s">
        <v>1026</v>
      </c>
      <c r="H217" s="30" t="n">
        <v>0</v>
      </c>
      <c r="I217" s="18" t="s">
        <v>527</v>
      </c>
      <c r="J217" s="28" t="n">
        <v>4180.8</v>
      </c>
      <c r="K217" s="12" t="str">
        <f aca="false">TEXT(B217,"yyyy-mm")</f>
        <v>2025-11</v>
      </c>
      <c r="L217" s="21" t="str">
        <f aca="false">IFERROR(INDEX(Projects!$E$2:$E$500,MATCH(C217,Projects!$A$2:$A$500,0)),"")</f>
        <v>Digital Transformation</v>
      </c>
      <c r="M217" s="31" t="n">
        <f aca="false">IF(I217="Yes",H217*INDEX(Resources!$I$2:$I$500,MATCH(E217,Resources!$A$2:$A$500,0)),0)</f>
        <v>0</v>
      </c>
    </row>
    <row r="218" customFormat="false" ht="15" hidden="false" customHeight="false" outlineLevel="0" collapsed="false">
      <c r="A218" s="18" t="s">
        <v>1247</v>
      </c>
      <c r="B218" s="19" t="n">
        <v>45991</v>
      </c>
      <c r="C218" s="18" t="s">
        <v>265</v>
      </c>
      <c r="D218" s="18" t="s">
        <v>874</v>
      </c>
      <c r="E218" s="18"/>
      <c r="F218" s="18" t="s">
        <v>1028</v>
      </c>
      <c r="G218" s="18" t="s">
        <v>1026</v>
      </c>
      <c r="H218" s="30" t="n">
        <v>0</v>
      </c>
      <c r="I218" s="18" t="s">
        <v>527</v>
      </c>
      <c r="J218" s="28" t="n">
        <v>5402.52</v>
      </c>
      <c r="K218" s="12" t="str">
        <f aca="false">TEXT(B218,"yyyy-mm")</f>
        <v>2025-11</v>
      </c>
      <c r="L218" s="21" t="str">
        <f aca="false">IFERROR(INDEX(Projects!$E$2:$E$500,MATCH(C218,Projects!$A$2:$A$500,0)),"")</f>
        <v>Digital Transformation</v>
      </c>
      <c r="M218" s="31" t="n">
        <f aca="false">IF(I218="Yes",H218*INDEX(Resources!$I$2:$I$500,MATCH(E218,Resources!$A$2:$A$500,0)),0)</f>
        <v>0</v>
      </c>
    </row>
    <row r="219" customFormat="false" ht="15" hidden="false" customHeight="false" outlineLevel="0" collapsed="false">
      <c r="A219" s="18" t="s">
        <v>1248</v>
      </c>
      <c r="B219" s="19" t="n">
        <v>45991</v>
      </c>
      <c r="C219" s="18" t="s">
        <v>265</v>
      </c>
      <c r="D219" s="18" t="s">
        <v>495</v>
      </c>
      <c r="E219" s="18"/>
      <c r="F219" s="18" t="s">
        <v>1030</v>
      </c>
      <c r="G219" s="18" t="s">
        <v>1026</v>
      </c>
      <c r="H219" s="30" t="n">
        <v>0</v>
      </c>
      <c r="I219" s="18" t="s">
        <v>527</v>
      </c>
      <c r="J219" s="28" t="n">
        <v>1299.06</v>
      </c>
      <c r="K219" s="12" t="str">
        <f aca="false">TEXT(B219,"yyyy-mm")</f>
        <v>2025-11</v>
      </c>
      <c r="L219" s="21" t="str">
        <f aca="false">IFERROR(INDEX(Projects!$E$2:$E$500,MATCH(C219,Projects!$A$2:$A$500,0)),"")</f>
        <v>Digital Transformation</v>
      </c>
      <c r="M219" s="31" t="n">
        <f aca="false">IF(I219="Yes",H219*INDEX(Resources!$I$2:$I$500,MATCH(E219,Resources!$A$2:$A$500,0)),0)</f>
        <v>0</v>
      </c>
    </row>
    <row r="220" customFormat="false" ht="15" hidden="false" customHeight="false" outlineLevel="0" collapsed="false">
      <c r="A220" s="18" t="s">
        <v>1249</v>
      </c>
      <c r="B220" s="19" t="n">
        <v>45991</v>
      </c>
      <c r="C220" s="18" t="s">
        <v>265</v>
      </c>
      <c r="D220" s="18" t="s">
        <v>876</v>
      </c>
      <c r="E220" s="18"/>
      <c r="F220" s="18" t="s">
        <v>1032</v>
      </c>
      <c r="G220" s="18" t="s">
        <v>1033</v>
      </c>
      <c r="H220" s="30" t="n">
        <v>0</v>
      </c>
      <c r="I220" s="18" t="s">
        <v>527</v>
      </c>
      <c r="J220" s="28" t="n">
        <v>1171.85</v>
      </c>
      <c r="K220" s="12" t="str">
        <f aca="false">TEXT(B220,"yyyy-mm")</f>
        <v>2025-11</v>
      </c>
      <c r="L220" s="21" t="str">
        <f aca="false">IFERROR(INDEX(Projects!$E$2:$E$500,MATCH(C220,Projects!$A$2:$A$500,0)),"")</f>
        <v>Digital Transformation</v>
      </c>
      <c r="M220" s="31" t="n">
        <f aca="false">IF(I220="Yes",H220*INDEX(Resources!$I$2:$I$500,MATCH(E220,Resources!$A$2:$A$500,0)),0)</f>
        <v>0</v>
      </c>
    </row>
    <row r="221" customFormat="false" ht="15" hidden="false" customHeight="false" outlineLevel="0" collapsed="false">
      <c r="A221" s="18" t="s">
        <v>1250</v>
      </c>
      <c r="B221" s="19" t="n">
        <v>45991</v>
      </c>
      <c r="C221" s="18" t="s">
        <v>267</v>
      </c>
      <c r="D221" s="18" t="s">
        <v>889</v>
      </c>
      <c r="E221" s="18"/>
      <c r="F221" s="18" t="s">
        <v>1035</v>
      </c>
      <c r="G221" s="18" t="s">
        <v>1026</v>
      </c>
      <c r="H221" s="30" t="n">
        <v>0</v>
      </c>
      <c r="I221" s="18" t="s">
        <v>527</v>
      </c>
      <c r="J221" s="28" t="n">
        <v>5296.53</v>
      </c>
      <c r="K221" s="12" t="str">
        <f aca="false">TEXT(B221,"yyyy-mm")</f>
        <v>2025-11</v>
      </c>
      <c r="L221" s="21" t="str">
        <f aca="false">IFERROR(INDEX(Projects!$E$2:$E$500,MATCH(C221,Projects!$A$2:$A$500,0)),"")</f>
        <v>Cloud &amp; Infrastructure</v>
      </c>
      <c r="M221" s="31" t="n">
        <f aca="false">IF(I221="Yes",H221*INDEX(Resources!$I$2:$I$500,MATCH(E221,Resources!$A$2:$A$500,0)),0)</f>
        <v>0</v>
      </c>
    </row>
    <row r="222" customFormat="false" ht="15" hidden="false" customHeight="false" outlineLevel="0" collapsed="false">
      <c r="A222" s="18" t="s">
        <v>1251</v>
      </c>
      <c r="B222" s="19" t="n">
        <v>45991</v>
      </c>
      <c r="C222" s="18" t="s">
        <v>267</v>
      </c>
      <c r="D222" s="18" t="s">
        <v>882</v>
      </c>
      <c r="E222" s="18"/>
      <c r="F222" s="18" t="s">
        <v>1252</v>
      </c>
      <c r="G222" s="18" t="s">
        <v>1026</v>
      </c>
      <c r="H222" s="30" t="n">
        <v>0</v>
      </c>
      <c r="I222" s="18" t="s">
        <v>527</v>
      </c>
      <c r="J222" s="28" t="n">
        <v>45081.33</v>
      </c>
      <c r="K222" s="12" t="str">
        <f aca="false">TEXT(B222,"yyyy-mm")</f>
        <v>2025-11</v>
      </c>
      <c r="L222" s="21" t="str">
        <f aca="false">IFERROR(INDEX(Projects!$E$2:$E$500,MATCH(C222,Projects!$A$2:$A$500,0)),"")</f>
        <v>Cloud &amp; Infrastructure</v>
      </c>
      <c r="M222" s="31" t="n">
        <f aca="false">IF(I222="Yes",H222*INDEX(Resources!$I$2:$I$500,MATCH(E222,Resources!$A$2:$A$500,0)),0)</f>
        <v>0</v>
      </c>
    </row>
    <row r="223" customFormat="false" ht="15" hidden="false" customHeight="false" outlineLevel="0" collapsed="false">
      <c r="A223" s="18" t="s">
        <v>1253</v>
      </c>
      <c r="B223" s="19" t="n">
        <v>45991</v>
      </c>
      <c r="C223" s="18" t="s">
        <v>267</v>
      </c>
      <c r="D223" s="18" t="s">
        <v>869</v>
      </c>
      <c r="E223" s="18" t="s">
        <v>242</v>
      </c>
      <c r="F223" s="18"/>
      <c r="G223" s="18" t="s">
        <v>1019</v>
      </c>
      <c r="H223" s="30" t="n">
        <v>42.9</v>
      </c>
      <c r="I223" s="18" t="s">
        <v>513</v>
      </c>
      <c r="J223" s="28" t="n">
        <v>4077.22</v>
      </c>
      <c r="K223" s="12" t="str">
        <f aca="false">TEXT(B223,"yyyy-mm")</f>
        <v>2025-11</v>
      </c>
      <c r="L223" s="21" t="str">
        <f aca="false">IFERROR(INDEX(Projects!$E$2:$E$500,MATCH(C223,Projects!$A$2:$A$500,0)),"")</f>
        <v>Cloud &amp; Infrastructure</v>
      </c>
      <c r="M223" s="31" t="n">
        <f aca="false">IF(I223="Yes",H223*INDEX(Resources!$I$2:$I$500,MATCH(E223,Resources!$A$2:$A$500,0)),0)</f>
        <v>8151</v>
      </c>
    </row>
    <row r="224" customFormat="false" ht="15" hidden="false" customHeight="false" outlineLevel="0" collapsed="false">
      <c r="A224" s="18" t="s">
        <v>1254</v>
      </c>
      <c r="B224" s="19" t="n">
        <v>45991</v>
      </c>
      <c r="C224" s="18" t="s">
        <v>267</v>
      </c>
      <c r="D224" s="18" t="s">
        <v>869</v>
      </c>
      <c r="E224" s="18" t="s">
        <v>348</v>
      </c>
      <c r="F224" s="18"/>
      <c r="G224" s="18" t="s">
        <v>1019</v>
      </c>
      <c r="H224" s="30" t="n">
        <v>41.2</v>
      </c>
      <c r="I224" s="18" t="s">
        <v>513</v>
      </c>
      <c r="J224" s="28" t="n">
        <v>5352.7</v>
      </c>
      <c r="K224" s="12" t="str">
        <f aca="false">TEXT(B224,"yyyy-mm")</f>
        <v>2025-11</v>
      </c>
      <c r="L224" s="21" t="str">
        <f aca="false">IFERROR(INDEX(Projects!$E$2:$E$500,MATCH(C224,Projects!$A$2:$A$500,0)),"")</f>
        <v>Cloud &amp; Infrastructure</v>
      </c>
      <c r="M224" s="31" t="n">
        <f aca="false">IF(I224="Yes",H224*INDEX(Resources!$I$2:$I$500,MATCH(E224,Resources!$A$2:$A$500,0)),0)</f>
        <v>10712</v>
      </c>
    </row>
    <row r="225" customFormat="false" ht="15" hidden="false" customHeight="false" outlineLevel="0" collapsed="false">
      <c r="A225" s="18" t="s">
        <v>1255</v>
      </c>
      <c r="B225" s="19" t="n">
        <v>45991</v>
      </c>
      <c r="C225" s="18" t="s">
        <v>267</v>
      </c>
      <c r="D225" s="18" t="s">
        <v>869</v>
      </c>
      <c r="E225" s="18" t="s">
        <v>405</v>
      </c>
      <c r="F225" s="18"/>
      <c r="G225" s="18" t="s">
        <v>1019</v>
      </c>
      <c r="H225" s="30" t="n">
        <v>84.2</v>
      </c>
      <c r="I225" s="18" t="s">
        <v>513</v>
      </c>
      <c r="J225" s="28" t="n">
        <v>8366.11</v>
      </c>
      <c r="K225" s="12" t="str">
        <f aca="false">TEXT(B225,"yyyy-mm")</f>
        <v>2025-11</v>
      </c>
      <c r="L225" s="21" t="str">
        <f aca="false">IFERROR(INDEX(Projects!$E$2:$E$500,MATCH(C225,Projects!$A$2:$A$500,0)),"")</f>
        <v>Cloud &amp; Infrastructure</v>
      </c>
      <c r="M225" s="31" t="n">
        <f aca="false">IF(I225="Yes",H225*INDEX(Resources!$I$2:$I$500,MATCH(E225,Resources!$A$2:$A$500,0)),0)</f>
        <v>16840</v>
      </c>
    </row>
    <row r="226" customFormat="false" ht="15" hidden="false" customHeight="false" outlineLevel="0" collapsed="false">
      <c r="A226" s="18" t="s">
        <v>1256</v>
      </c>
      <c r="B226" s="19" t="n">
        <v>45991</v>
      </c>
      <c r="C226" s="18" t="s">
        <v>267</v>
      </c>
      <c r="D226" s="18" t="s">
        <v>869</v>
      </c>
      <c r="E226" s="18" t="s">
        <v>477</v>
      </c>
      <c r="F226" s="18"/>
      <c r="G226" s="18" t="s">
        <v>1019</v>
      </c>
      <c r="H226" s="30" t="n">
        <v>120.5</v>
      </c>
      <c r="I226" s="18" t="s">
        <v>513</v>
      </c>
      <c r="J226" s="28" t="n">
        <v>13139.32</v>
      </c>
      <c r="K226" s="12" t="str">
        <f aca="false">TEXT(B226,"yyyy-mm")</f>
        <v>2025-11</v>
      </c>
      <c r="L226" s="21" t="str">
        <f aca="false">IFERROR(INDEX(Projects!$E$2:$E$500,MATCH(C226,Projects!$A$2:$A$500,0)),"")</f>
        <v>Cloud &amp; Infrastructure</v>
      </c>
      <c r="M226" s="31" t="n">
        <f aca="false">IF(I226="Yes",H226*INDEX(Resources!$I$2:$I$500,MATCH(E226,Resources!$A$2:$A$500,0)),0)</f>
        <v>26510</v>
      </c>
    </row>
    <row r="227" customFormat="false" ht="15" hidden="false" customHeight="false" outlineLevel="0" collapsed="false">
      <c r="A227" s="18" t="s">
        <v>1257</v>
      </c>
      <c r="B227" s="19" t="n">
        <v>45991</v>
      </c>
      <c r="C227" s="18" t="s">
        <v>267</v>
      </c>
      <c r="D227" s="18" t="s">
        <v>869</v>
      </c>
      <c r="E227" s="18" t="s">
        <v>489</v>
      </c>
      <c r="F227" s="18"/>
      <c r="G227" s="18" t="s">
        <v>1019</v>
      </c>
      <c r="H227" s="30" t="n">
        <v>85.7</v>
      </c>
      <c r="I227" s="18" t="s">
        <v>513</v>
      </c>
      <c r="J227" s="28" t="n">
        <v>7370.2</v>
      </c>
      <c r="K227" s="12" t="str">
        <f aca="false">TEXT(B227,"yyyy-mm")</f>
        <v>2025-11</v>
      </c>
      <c r="L227" s="21" t="str">
        <f aca="false">IFERROR(INDEX(Projects!$E$2:$E$500,MATCH(C227,Projects!$A$2:$A$500,0)),"")</f>
        <v>Cloud &amp; Infrastructure</v>
      </c>
      <c r="M227" s="31" t="n">
        <f aca="false">IF(I227="Yes",H227*INDEX(Resources!$I$2:$I$500,MATCH(E227,Resources!$A$2:$A$500,0)),0)</f>
        <v>14997.5</v>
      </c>
    </row>
    <row r="228" customFormat="false" ht="15" hidden="false" customHeight="false" outlineLevel="0" collapsed="false">
      <c r="A228" s="18" t="s">
        <v>1258</v>
      </c>
      <c r="B228" s="19" t="n">
        <v>45991</v>
      </c>
      <c r="C228" s="18" t="s">
        <v>267</v>
      </c>
      <c r="D228" s="18" t="s">
        <v>872</v>
      </c>
      <c r="E228" s="18"/>
      <c r="F228" s="18" t="s">
        <v>1059</v>
      </c>
      <c r="G228" s="18" t="s">
        <v>1026</v>
      </c>
      <c r="H228" s="30" t="n">
        <v>0</v>
      </c>
      <c r="I228" s="18" t="s">
        <v>527</v>
      </c>
      <c r="J228" s="28" t="n">
        <v>1733.83</v>
      </c>
      <c r="K228" s="12" t="str">
        <f aca="false">TEXT(B228,"yyyy-mm")</f>
        <v>2025-11</v>
      </c>
      <c r="L228" s="21" t="str">
        <f aca="false">IFERROR(INDEX(Projects!$E$2:$E$500,MATCH(C228,Projects!$A$2:$A$500,0)),"")</f>
        <v>Cloud &amp; Infrastructure</v>
      </c>
      <c r="M228" s="31" t="n">
        <f aca="false">IF(I228="Yes",H228*INDEX(Resources!$I$2:$I$500,MATCH(E228,Resources!$A$2:$A$500,0)),0)</f>
        <v>0</v>
      </c>
    </row>
    <row r="229" customFormat="false" ht="15" hidden="false" customHeight="false" outlineLevel="0" collapsed="false">
      <c r="A229" s="18" t="s">
        <v>1259</v>
      </c>
      <c r="B229" s="19" t="n">
        <v>45991</v>
      </c>
      <c r="C229" s="18" t="s">
        <v>267</v>
      </c>
      <c r="D229" s="18" t="s">
        <v>876</v>
      </c>
      <c r="E229" s="18"/>
      <c r="F229" s="18" t="s">
        <v>1071</v>
      </c>
      <c r="G229" s="18" t="s">
        <v>1033</v>
      </c>
      <c r="H229" s="30" t="n">
        <v>0</v>
      </c>
      <c r="I229" s="18" t="s">
        <v>527</v>
      </c>
      <c r="J229" s="28" t="n">
        <v>690.22</v>
      </c>
      <c r="K229" s="12" t="str">
        <f aca="false">TEXT(B229,"yyyy-mm")</f>
        <v>2025-11</v>
      </c>
      <c r="L229" s="21" t="str">
        <f aca="false">IFERROR(INDEX(Projects!$E$2:$E$500,MATCH(C229,Projects!$A$2:$A$500,0)),"")</f>
        <v>Cloud &amp; Infrastructure</v>
      </c>
      <c r="M229" s="31" t="n">
        <f aca="false">IF(I229="Yes",H229*INDEX(Resources!$I$2:$I$500,MATCH(E229,Resources!$A$2:$A$500,0)),0)</f>
        <v>0</v>
      </c>
    </row>
    <row r="230" customFormat="false" ht="15" hidden="false" customHeight="false" outlineLevel="0" collapsed="false">
      <c r="A230" s="18" t="s">
        <v>1260</v>
      </c>
      <c r="B230" s="19" t="n">
        <v>45991</v>
      </c>
      <c r="C230" s="18" t="s">
        <v>277</v>
      </c>
      <c r="D230" s="18" t="s">
        <v>889</v>
      </c>
      <c r="E230" s="18"/>
      <c r="F230" s="18" t="s">
        <v>1035</v>
      </c>
      <c r="G230" s="18" t="s">
        <v>1026</v>
      </c>
      <c r="H230" s="30" t="n">
        <v>0</v>
      </c>
      <c r="I230" s="18" t="s">
        <v>527</v>
      </c>
      <c r="J230" s="28" t="n">
        <v>6118.98</v>
      </c>
      <c r="K230" s="12" t="str">
        <f aca="false">TEXT(B230,"yyyy-mm")</f>
        <v>2025-11</v>
      </c>
      <c r="L230" s="21" t="str">
        <f aca="false">IFERROR(INDEX(Projects!$E$2:$E$500,MATCH(C230,Projects!$A$2:$A$500,0)),"")</f>
        <v>Cloud &amp; Infrastructure</v>
      </c>
      <c r="M230" s="31" t="n">
        <f aca="false">IF(I230="Yes",H230*INDEX(Resources!$I$2:$I$500,MATCH(E230,Resources!$A$2:$A$500,0)),0)</f>
        <v>0</v>
      </c>
    </row>
    <row r="231" customFormat="false" ht="15" hidden="false" customHeight="false" outlineLevel="0" collapsed="false">
      <c r="A231" s="18" t="s">
        <v>1261</v>
      </c>
      <c r="B231" s="19" t="n">
        <v>45991</v>
      </c>
      <c r="C231" s="18" t="s">
        <v>277</v>
      </c>
      <c r="D231" s="18" t="s">
        <v>869</v>
      </c>
      <c r="E231" s="18" t="s">
        <v>226</v>
      </c>
      <c r="F231" s="18"/>
      <c r="G231" s="18" t="s">
        <v>1019</v>
      </c>
      <c r="H231" s="30" t="n">
        <v>81.4</v>
      </c>
      <c r="I231" s="18" t="s">
        <v>513</v>
      </c>
      <c r="J231" s="28" t="n">
        <v>7163.2</v>
      </c>
      <c r="K231" s="12" t="str">
        <f aca="false">TEXT(B231,"yyyy-mm")</f>
        <v>2025-11</v>
      </c>
      <c r="L231" s="21" t="str">
        <f aca="false">IFERROR(INDEX(Projects!$E$2:$E$500,MATCH(C231,Projects!$A$2:$A$500,0)),"")</f>
        <v>Cloud &amp; Infrastructure</v>
      </c>
      <c r="M231" s="31" t="n">
        <f aca="false">IF(I231="Yes",H231*INDEX(Resources!$I$2:$I$500,MATCH(E231,Resources!$A$2:$A$500,0)),0)</f>
        <v>14245</v>
      </c>
    </row>
    <row r="232" customFormat="false" ht="15" hidden="false" customHeight="false" outlineLevel="0" collapsed="false">
      <c r="A232" s="18" t="s">
        <v>1262</v>
      </c>
      <c r="B232" s="19" t="n">
        <v>45991</v>
      </c>
      <c r="C232" s="18" t="s">
        <v>277</v>
      </c>
      <c r="D232" s="18" t="s">
        <v>869</v>
      </c>
      <c r="E232" s="18" t="s">
        <v>400</v>
      </c>
      <c r="F232" s="18"/>
      <c r="G232" s="18" t="s">
        <v>1019</v>
      </c>
      <c r="H232" s="30" t="n">
        <v>86.4</v>
      </c>
      <c r="I232" s="18" t="s">
        <v>513</v>
      </c>
      <c r="J232" s="28" t="n">
        <v>8584.7</v>
      </c>
      <c r="K232" s="12" t="str">
        <f aca="false">TEXT(B232,"yyyy-mm")</f>
        <v>2025-11</v>
      </c>
      <c r="L232" s="21" t="str">
        <f aca="false">IFERROR(INDEX(Projects!$E$2:$E$500,MATCH(C232,Projects!$A$2:$A$500,0)),"")</f>
        <v>Cloud &amp; Infrastructure</v>
      </c>
      <c r="M232" s="31" t="n">
        <f aca="false">IF(I232="Yes",H232*INDEX(Resources!$I$2:$I$500,MATCH(E232,Resources!$A$2:$A$500,0)),0)</f>
        <v>17280</v>
      </c>
    </row>
    <row r="233" customFormat="false" ht="15" hidden="false" customHeight="false" outlineLevel="0" collapsed="false">
      <c r="A233" s="18" t="s">
        <v>1263</v>
      </c>
      <c r="B233" s="19" t="n">
        <v>45991</v>
      </c>
      <c r="C233" s="18" t="s">
        <v>277</v>
      </c>
      <c r="D233" s="18" t="s">
        <v>869</v>
      </c>
      <c r="E233" s="18" t="s">
        <v>470</v>
      </c>
      <c r="F233" s="18"/>
      <c r="G233" s="18" t="s">
        <v>1019</v>
      </c>
      <c r="H233" s="30" t="n">
        <v>146.6</v>
      </c>
      <c r="I233" s="18" t="s">
        <v>513</v>
      </c>
      <c r="J233" s="28" t="n">
        <v>15985.26</v>
      </c>
      <c r="K233" s="12" t="str">
        <f aca="false">TEXT(B233,"yyyy-mm")</f>
        <v>2025-11</v>
      </c>
      <c r="L233" s="21" t="str">
        <f aca="false">IFERROR(INDEX(Projects!$E$2:$E$500,MATCH(C233,Projects!$A$2:$A$500,0)),"")</f>
        <v>Cloud &amp; Infrastructure</v>
      </c>
      <c r="M233" s="31" t="n">
        <f aca="false">IF(I233="Yes",H233*INDEX(Resources!$I$2:$I$500,MATCH(E233,Resources!$A$2:$A$500,0)),0)</f>
        <v>32252</v>
      </c>
    </row>
    <row r="234" customFormat="false" ht="15" hidden="false" customHeight="false" outlineLevel="0" collapsed="false">
      <c r="A234" s="18" t="s">
        <v>1264</v>
      </c>
      <c r="B234" s="19" t="n">
        <v>45991</v>
      </c>
      <c r="C234" s="18" t="s">
        <v>277</v>
      </c>
      <c r="D234" s="18" t="s">
        <v>869</v>
      </c>
      <c r="E234" s="18" t="s">
        <v>489</v>
      </c>
      <c r="F234" s="18"/>
      <c r="G234" s="18" t="s">
        <v>1019</v>
      </c>
      <c r="H234" s="30" t="n">
        <v>77.2</v>
      </c>
      <c r="I234" s="18" t="s">
        <v>513</v>
      </c>
      <c r="J234" s="28" t="n">
        <v>6639.2</v>
      </c>
      <c r="K234" s="12" t="str">
        <f aca="false">TEXT(B234,"yyyy-mm")</f>
        <v>2025-11</v>
      </c>
      <c r="L234" s="21" t="str">
        <f aca="false">IFERROR(INDEX(Projects!$E$2:$E$500,MATCH(C234,Projects!$A$2:$A$500,0)),"")</f>
        <v>Cloud &amp; Infrastructure</v>
      </c>
      <c r="M234" s="31" t="n">
        <f aca="false">IF(I234="Yes",H234*INDEX(Resources!$I$2:$I$500,MATCH(E234,Resources!$A$2:$A$500,0)),0)</f>
        <v>13510</v>
      </c>
    </row>
    <row r="235" customFormat="false" ht="15" hidden="false" customHeight="false" outlineLevel="0" collapsed="false">
      <c r="A235" s="18" t="s">
        <v>1265</v>
      </c>
      <c r="B235" s="19" t="n">
        <v>45991</v>
      </c>
      <c r="C235" s="18" t="s">
        <v>277</v>
      </c>
      <c r="D235" s="18" t="s">
        <v>872</v>
      </c>
      <c r="E235" s="18"/>
      <c r="F235" s="18" t="s">
        <v>1025</v>
      </c>
      <c r="G235" s="18" t="s">
        <v>1026</v>
      </c>
      <c r="H235" s="30" t="n">
        <v>0</v>
      </c>
      <c r="I235" s="18" t="s">
        <v>527</v>
      </c>
      <c r="J235" s="28" t="n">
        <v>1789.88</v>
      </c>
      <c r="K235" s="12" t="str">
        <f aca="false">TEXT(B235,"yyyy-mm")</f>
        <v>2025-11</v>
      </c>
      <c r="L235" s="21" t="str">
        <f aca="false">IFERROR(INDEX(Projects!$E$2:$E$500,MATCH(C235,Projects!$A$2:$A$500,0)),"")</f>
        <v>Cloud &amp; Infrastructure</v>
      </c>
      <c r="M235" s="31" t="n">
        <f aca="false">IF(I235="Yes",H235*INDEX(Resources!$I$2:$I$500,MATCH(E235,Resources!$A$2:$A$500,0)),0)</f>
        <v>0</v>
      </c>
    </row>
    <row r="236" customFormat="false" ht="15" hidden="false" customHeight="false" outlineLevel="0" collapsed="false">
      <c r="A236" s="18" t="s">
        <v>1266</v>
      </c>
      <c r="B236" s="19" t="n">
        <v>45991</v>
      </c>
      <c r="C236" s="18" t="s">
        <v>277</v>
      </c>
      <c r="D236" s="18" t="s">
        <v>876</v>
      </c>
      <c r="E236" s="18"/>
      <c r="F236" s="18" t="s">
        <v>1071</v>
      </c>
      <c r="G236" s="18" t="s">
        <v>1033</v>
      </c>
      <c r="H236" s="30" t="n">
        <v>0</v>
      </c>
      <c r="I236" s="18" t="s">
        <v>527</v>
      </c>
      <c r="J236" s="28" t="n">
        <v>757.14</v>
      </c>
      <c r="K236" s="12" t="str">
        <f aca="false">TEXT(B236,"yyyy-mm")</f>
        <v>2025-11</v>
      </c>
      <c r="L236" s="21" t="str">
        <f aca="false">IFERROR(INDEX(Projects!$E$2:$E$500,MATCH(C236,Projects!$A$2:$A$500,0)),"")</f>
        <v>Cloud &amp; Infrastructure</v>
      </c>
      <c r="M236" s="31" t="n">
        <f aca="false">IF(I236="Yes",H236*INDEX(Resources!$I$2:$I$500,MATCH(E236,Resources!$A$2:$A$500,0)),0)</f>
        <v>0</v>
      </c>
    </row>
    <row r="237" customFormat="false" ht="15" hidden="false" customHeight="false" outlineLevel="0" collapsed="false">
      <c r="A237" s="18" t="s">
        <v>1267</v>
      </c>
      <c r="B237" s="19" t="n">
        <v>45991</v>
      </c>
      <c r="C237" s="18" t="s">
        <v>281</v>
      </c>
      <c r="D237" s="18" t="s">
        <v>869</v>
      </c>
      <c r="E237" s="18" t="s">
        <v>247</v>
      </c>
      <c r="F237" s="18"/>
      <c r="G237" s="18" t="s">
        <v>1019</v>
      </c>
      <c r="H237" s="30" t="n">
        <v>88.5</v>
      </c>
      <c r="I237" s="18" t="s">
        <v>513</v>
      </c>
      <c r="J237" s="28" t="n">
        <v>7788</v>
      </c>
      <c r="K237" s="12" t="str">
        <f aca="false">TEXT(B237,"yyyy-mm")</f>
        <v>2025-11</v>
      </c>
      <c r="L237" s="21" t="str">
        <f aca="false">IFERROR(INDEX(Projects!$E$2:$E$500,MATCH(C237,Projects!$A$2:$A$500,0)),"")</f>
        <v>Digital Transformation</v>
      </c>
      <c r="M237" s="31" t="n">
        <f aca="false">IF(I237="Yes",H237*INDEX(Resources!$I$2:$I$500,MATCH(E237,Resources!$A$2:$A$500,0)),0)</f>
        <v>15487.5</v>
      </c>
    </row>
    <row r="238" customFormat="false" ht="15" hidden="false" customHeight="false" outlineLevel="0" collapsed="false">
      <c r="A238" s="18" t="s">
        <v>1268</v>
      </c>
      <c r="B238" s="19" t="n">
        <v>45991</v>
      </c>
      <c r="C238" s="18" t="s">
        <v>281</v>
      </c>
      <c r="D238" s="18" t="s">
        <v>869</v>
      </c>
      <c r="E238" s="18" t="s">
        <v>371</v>
      </c>
      <c r="F238" s="18"/>
      <c r="G238" s="18" t="s">
        <v>1019</v>
      </c>
      <c r="H238" s="30" t="n">
        <v>137.1</v>
      </c>
      <c r="I238" s="18" t="s">
        <v>513</v>
      </c>
      <c r="J238" s="28" t="n">
        <v>8670.2</v>
      </c>
      <c r="K238" s="12" t="str">
        <f aca="false">TEXT(B238,"yyyy-mm")</f>
        <v>2025-11</v>
      </c>
      <c r="L238" s="21" t="str">
        <f aca="false">IFERROR(INDEX(Projects!$E$2:$E$500,MATCH(C238,Projects!$A$2:$A$500,0)),"")</f>
        <v>Digital Transformation</v>
      </c>
      <c r="M238" s="31" t="n">
        <f aca="false">IF(I238="Yes",H238*INDEX(Resources!$I$2:$I$500,MATCH(E238,Resources!$A$2:$A$500,0)),0)</f>
        <v>17823</v>
      </c>
    </row>
    <row r="239" customFormat="false" ht="15" hidden="false" customHeight="false" outlineLevel="0" collapsed="false">
      <c r="A239" s="18" t="s">
        <v>1269</v>
      </c>
      <c r="B239" s="19" t="n">
        <v>45991</v>
      </c>
      <c r="C239" s="18" t="s">
        <v>281</v>
      </c>
      <c r="D239" s="18" t="s">
        <v>869</v>
      </c>
      <c r="E239" s="18" t="s">
        <v>395</v>
      </c>
      <c r="F239" s="18"/>
      <c r="G239" s="18" t="s">
        <v>1019</v>
      </c>
      <c r="H239" s="30" t="n">
        <v>125.3</v>
      </c>
      <c r="I239" s="18" t="s">
        <v>513</v>
      </c>
      <c r="J239" s="28" t="n">
        <v>13400.84</v>
      </c>
      <c r="K239" s="12" t="str">
        <f aca="false">TEXT(B239,"yyyy-mm")</f>
        <v>2025-11</v>
      </c>
      <c r="L239" s="21" t="str">
        <f aca="false">IFERROR(INDEX(Projects!$E$2:$E$500,MATCH(C239,Projects!$A$2:$A$500,0)),"")</f>
        <v>Digital Transformation</v>
      </c>
      <c r="M239" s="31" t="n">
        <f aca="false">IF(I239="Yes",H239*INDEX(Resources!$I$2:$I$500,MATCH(E239,Resources!$A$2:$A$500,0)),0)</f>
        <v>21301</v>
      </c>
    </row>
    <row r="240" customFormat="false" ht="15" hidden="false" customHeight="false" outlineLevel="0" collapsed="false">
      <c r="A240" s="18" t="s">
        <v>1270</v>
      </c>
      <c r="B240" s="19" t="n">
        <v>45991</v>
      </c>
      <c r="C240" s="18" t="s">
        <v>281</v>
      </c>
      <c r="D240" s="18" t="s">
        <v>869</v>
      </c>
      <c r="E240" s="18" t="s">
        <v>417</v>
      </c>
      <c r="F240" s="18"/>
      <c r="G240" s="18" t="s">
        <v>1019</v>
      </c>
      <c r="H240" s="30" t="n">
        <v>137.8</v>
      </c>
      <c r="I240" s="18" t="s">
        <v>513</v>
      </c>
      <c r="J240" s="28" t="n">
        <v>7496.32</v>
      </c>
      <c r="K240" s="12" t="str">
        <f aca="false">TEXT(B240,"yyyy-mm")</f>
        <v>2025-11</v>
      </c>
      <c r="L240" s="21" t="str">
        <f aca="false">IFERROR(INDEX(Projects!$E$2:$E$500,MATCH(C240,Projects!$A$2:$A$500,0)),"")</f>
        <v>Digital Transformation</v>
      </c>
      <c r="M240" s="31" t="n">
        <f aca="false">IF(I240="Yes",H240*INDEX(Resources!$I$2:$I$500,MATCH(E240,Resources!$A$2:$A$500,0)),0)</f>
        <v>15158</v>
      </c>
    </row>
    <row r="241" customFormat="false" ht="15" hidden="false" customHeight="false" outlineLevel="0" collapsed="false">
      <c r="A241" s="18" t="s">
        <v>1271</v>
      </c>
      <c r="B241" s="19" t="n">
        <v>45991</v>
      </c>
      <c r="C241" s="18" t="s">
        <v>281</v>
      </c>
      <c r="D241" s="18" t="s">
        <v>869</v>
      </c>
      <c r="E241" s="18" t="s">
        <v>434</v>
      </c>
      <c r="F241" s="18"/>
      <c r="G241" s="18" t="s">
        <v>1019</v>
      </c>
      <c r="H241" s="30" t="n">
        <v>89.1</v>
      </c>
      <c r="I241" s="18" t="s">
        <v>513</v>
      </c>
      <c r="J241" s="28" t="n">
        <v>5787.94</v>
      </c>
      <c r="K241" s="12" t="str">
        <f aca="false">TEXT(B241,"yyyy-mm")</f>
        <v>2025-11</v>
      </c>
      <c r="L241" s="21" t="str">
        <f aca="false">IFERROR(INDEX(Projects!$E$2:$E$500,MATCH(C241,Projects!$A$2:$A$500,0)),"")</f>
        <v>Digital Transformation</v>
      </c>
      <c r="M241" s="31" t="n">
        <f aca="false">IF(I241="Yes",H241*INDEX(Resources!$I$2:$I$500,MATCH(E241,Resources!$A$2:$A$500,0)),0)</f>
        <v>12028.5</v>
      </c>
    </row>
    <row r="242" customFormat="false" ht="15" hidden="false" customHeight="false" outlineLevel="0" collapsed="false">
      <c r="A242" s="18" t="s">
        <v>1272</v>
      </c>
      <c r="B242" s="19" t="n">
        <v>45991</v>
      </c>
      <c r="C242" s="18" t="s">
        <v>281</v>
      </c>
      <c r="D242" s="18" t="s">
        <v>869</v>
      </c>
      <c r="E242" s="18" t="s">
        <v>492</v>
      </c>
      <c r="F242" s="18"/>
      <c r="G242" s="18" t="s">
        <v>1019</v>
      </c>
      <c r="H242" s="30" t="n">
        <v>40.5</v>
      </c>
      <c r="I242" s="18" t="s">
        <v>513</v>
      </c>
      <c r="J242" s="28" t="n">
        <v>3382.56</v>
      </c>
      <c r="K242" s="12" t="str">
        <f aca="false">TEXT(B242,"yyyy-mm")</f>
        <v>2025-11</v>
      </c>
      <c r="L242" s="21" t="str">
        <f aca="false">IFERROR(INDEX(Projects!$E$2:$E$500,MATCH(C242,Projects!$A$2:$A$500,0)),"")</f>
        <v>Digital Transformation</v>
      </c>
      <c r="M242" s="31" t="n">
        <f aca="false">IF(I242="Yes",H242*INDEX(Resources!$I$2:$I$500,MATCH(E242,Resources!$A$2:$A$500,0)),0)</f>
        <v>7087.5</v>
      </c>
    </row>
    <row r="243" customFormat="false" ht="15" hidden="false" customHeight="false" outlineLevel="0" collapsed="false">
      <c r="A243" s="18" t="s">
        <v>1273</v>
      </c>
      <c r="B243" s="19" t="n">
        <v>45991</v>
      </c>
      <c r="C243" s="18" t="s">
        <v>281</v>
      </c>
      <c r="D243" s="18" t="s">
        <v>872</v>
      </c>
      <c r="E243" s="18"/>
      <c r="F243" s="18" t="s">
        <v>1025</v>
      </c>
      <c r="G243" s="18" t="s">
        <v>1026</v>
      </c>
      <c r="H243" s="30" t="n">
        <v>0</v>
      </c>
      <c r="I243" s="18" t="s">
        <v>527</v>
      </c>
      <c r="J243" s="28" t="n">
        <v>3480.75</v>
      </c>
      <c r="K243" s="12" t="str">
        <f aca="false">TEXT(B243,"yyyy-mm")</f>
        <v>2025-11</v>
      </c>
      <c r="L243" s="21" t="str">
        <f aca="false">IFERROR(INDEX(Projects!$E$2:$E$500,MATCH(C243,Projects!$A$2:$A$500,0)),"")</f>
        <v>Digital Transformation</v>
      </c>
      <c r="M243" s="31" t="n">
        <f aca="false">IF(I243="Yes",H243*INDEX(Resources!$I$2:$I$500,MATCH(E243,Resources!$A$2:$A$500,0)),0)</f>
        <v>0</v>
      </c>
    </row>
    <row r="244" customFormat="false" ht="15" hidden="false" customHeight="false" outlineLevel="0" collapsed="false">
      <c r="A244" s="18" t="s">
        <v>1274</v>
      </c>
      <c r="B244" s="19" t="n">
        <v>45991</v>
      </c>
      <c r="C244" s="18" t="s">
        <v>281</v>
      </c>
      <c r="D244" s="18" t="s">
        <v>874</v>
      </c>
      <c r="E244" s="18"/>
      <c r="F244" s="18" t="s">
        <v>1028</v>
      </c>
      <c r="G244" s="18" t="s">
        <v>1026</v>
      </c>
      <c r="H244" s="30" t="n">
        <v>0</v>
      </c>
      <c r="I244" s="18" t="s">
        <v>527</v>
      </c>
      <c r="J244" s="28" t="n">
        <v>5911.68</v>
      </c>
      <c r="K244" s="12" t="str">
        <f aca="false">TEXT(B244,"yyyy-mm")</f>
        <v>2025-11</v>
      </c>
      <c r="L244" s="21" t="str">
        <f aca="false">IFERROR(INDEX(Projects!$E$2:$E$500,MATCH(C244,Projects!$A$2:$A$500,0)),"")</f>
        <v>Digital Transformation</v>
      </c>
      <c r="M244" s="31" t="n">
        <f aca="false">IF(I244="Yes",H244*INDEX(Resources!$I$2:$I$500,MATCH(E244,Resources!$A$2:$A$500,0)),0)</f>
        <v>0</v>
      </c>
    </row>
    <row r="245" customFormat="false" ht="15" hidden="false" customHeight="false" outlineLevel="0" collapsed="false">
      <c r="A245" s="18" t="s">
        <v>1275</v>
      </c>
      <c r="B245" s="19" t="n">
        <v>45991</v>
      </c>
      <c r="C245" s="18" t="s">
        <v>281</v>
      </c>
      <c r="D245" s="18" t="s">
        <v>495</v>
      </c>
      <c r="E245" s="18"/>
      <c r="F245" s="18" t="s">
        <v>1030</v>
      </c>
      <c r="G245" s="18" t="s">
        <v>1026</v>
      </c>
      <c r="H245" s="30" t="n">
        <v>0</v>
      </c>
      <c r="I245" s="18" t="s">
        <v>527</v>
      </c>
      <c r="J245" s="28" t="n">
        <v>1303.34</v>
      </c>
      <c r="K245" s="12" t="str">
        <f aca="false">TEXT(B245,"yyyy-mm")</f>
        <v>2025-11</v>
      </c>
      <c r="L245" s="21" t="str">
        <f aca="false">IFERROR(INDEX(Projects!$E$2:$E$500,MATCH(C245,Projects!$A$2:$A$500,0)),"")</f>
        <v>Digital Transformation</v>
      </c>
      <c r="M245" s="31" t="n">
        <f aca="false">IF(I245="Yes",H245*INDEX(Resources!$I$2:$I$500,MATCH(E245,Resources!$A$2:$A$500,0)),0)</f>
        <v>0</v>
      </c>
    </row>
    <row r="246" customFormat="false" ht="15" hidden="false" customHeight="false" outlineLevel="0" collapsed="false">
      <c r="A246" s="18" t="s">
        <v>1276</v>
      </c>
      <c r="B246" s="19" t="n">
        <v>45991</v>
      </c>
      <c r="C246" s="18" t="s">
        <v>281</v>
      </c>
      <c r="D246" s="18" t="s">
        <v>876</v>
      </c>
      <c r="E246" s="18"/>
      <c r="F246" s="18" t="s">
        <v>1032</v>
      </c>
      <c r="G246" s="18" t="s">
        <v>1033</v>
      </c>
      <c r="H246" s="30" t="n">
        <v>0</v>
      </c>
      <c r="I246" s="18" t="s">
        <v>527</v>
      </c>
      <c r="J246" s="28" t="n">
        <v>1029.42</v>
      </c>
      <c r="K246" s="12" t="str">
        <f aca="false">TEXT(B246,"yyyy-mm")</f>
        <v>2025-11</v>
      </c>
      <c r="L246" s="21" t="str">
        <f aca="false">IFERROR(INDEX(Projects!$E$2:$E$500,MATCH(C246,Projects!$A$2:$A$500,0)),"")</f>
        <v>Digital Transformation</v>
      </c>
      <c r="M246" s="31" t="n">
        <f aca="false">IF(I246="Yes",H246*INDEX(Resources!$I$2:$I$500,MATCH(E246,Resources!$A$2:$A$500,0)),0)</f>
        <v>0</v>
      </c>
    </row>
    <row r="247" customFormat="false" ht="15" hidden="false" customHeight="false" outlineLevel="0" collapsed="false">
      <c r="A247" s="18" t="s">
        <v>1277</v>
      </c>
      <c r="B247" s="19" t="n">
        <v>45991</v>
      </c>
      <c r="C247" s="18" t="s">
        <v>283</v>
      </c>
      <c r="D247" s="18" t="s">
        <v>889</v>
      </c>
      <c r="E247" s="18"/>
      <c r="F247" s="18" t="s">
        <v>1210</v>
      </c>
      <c r="G247" s="18" t="s">
        <v>1026</v>
      </c>
      <c r="H247" s="30" t="n">
        <v>0</v>
      </c>
      <c r="I247" s="18" t="s">
        <v>527</v>
      </c>
      <c r="J247" s="28" t="n">
        <v>3519.7</v>
      </c>
      <c r="K247" s="12" t="str">
        <f aca="false">TEXT(B247,"yyyy-mm")</f>
        <v>2025-11</v>
      </c>
      <c r="L247" s="21" t="str">
        <f aca="false">IFERROR(INDEX(Projects!$E$2:$E$500,MATCH(C247,Projects!$A$2:$A$500,0)),"")</f>
        <v>Data &amp; AI</v>
      </c>
      <c r="M247" s="31" t="n">
        <f aca="false">IF(I247="Yes",H247*INDEX(Resources!$I$2:$I$500,MATCH(E247,Resources!$A$2:$A$500,0)),0)</f>
        <v>0</v>
      </c>
    </row>
    <row r="248" customFormat="false" ht="15" hidden="false" customHeight="false" outlineLevel="0" collapsed="false">
      <c r="A248" s="18" t="s">
        <v>1278</v>
      </c>
      <c r="B248" s="19" t="n">
        <v>45991</v>
      </c>
      <c r="C248" s="18" t="s">
        <v>283</v>
      </c>
      <c r="D248" s="18" t="s">
        <v>869</v>
      </c>
      <c r="E248" s="18" t="s">
        <v>226</v>
      </c>
      <c r="F248" s="18"/>
      <c r="G248" s="18" t="s">
        <v>1019</v>
      </c>
      <c r="H248" s="30" t="n">
        <v>75</v>
      </c>
      <c r="I248" s="18" t="s">
        <v>527</v>
      </c>
      <c r="J248" s="28" t="n">
        <v>6600</v>
      </c>
      <c r="K248" s="12" t="str">
        <f aca="false">TEXT(B248,"yyyy-mm")</f>
        <v>2025-11</v>
      </c>
      <c r="L248" s="21" t="str">
        <f aca="false">IFERROR(INDEX(Projects!$E$2:$E$500,MATCH(C248,Projects!$A$2:$A$500,0)),"")</f>
        <v>Data &amp; AI</v>
      </c>
      <c r="M248" s="31" t="n">
        <f aca="false">IF(I248="Yes",H248*INDEX(Resources!$I$2:$I$500,MATCH(E248,Resources!$A$2:$A$500,0)),0)</f>
        <v>0</v>
      </c>
    </row>
    <row r="249" customFormat="false" ht="15" hidden="false" customHeight="false" outlineLevel="0" collapsed="false">
      <c r="A249" s="18" t="s">
        <v>1279</v>
      </c>
      <c r="B249" s="19" t="n">
        <v>45991</v>
      </c>
      <c r="C249" s="18" t="s">
        <v>283</v>
      </c>
      <c r="D249" s="18" t="s">
        <v>869</v>
      </c>
      <c r="E249" s="18" t="s">
        <v>354</v>
      </c>
      <c r="F249" s="18"/>
      <c r="G249" s="18" t="s">
        <v>1019</v>
      </c>
      <c r="H249" s="30" t="n">
        <v>35.5</v>
      </c>
      <c r="I249" s="18" t="s">
        <v>513</v>
      </c>
      <c r="J249" s="28" t="n">
        <v>4612.16</v>
      </c>
      <c r="K249" s="12" t="str">
        <f aca="false">TEXT(B249,"yyyy-mm")</f>
        <v>2025-11</v>
      </c>
      <c r="L249" s="21" t="str">
        <f aca="false">IFERROR(INDEX(Projects!$E$2:$E$500,MATCH(C249,Projects!$A$2:$A$500,0)),"")</f>
        <v>Data &amp; AI</v>
      </c>
      <c r="M249" s="31" t="n">
        <f aca="false">IF(I249="Yes",H249*INDEX(Resources!$I$2:$I$500,MATCH(E249,Resources!$A$2:$A$500,0)),0)</f>
        <v>9230</v>
      </c>
    </row>
    <row r="250" customFormat="false" ht="15" hidden="false" customHeight="false" outlineLevel="0" collapsed="false">
      <c r="A250" s="18" t="s">
        <v>1280</v>
      </c>
      <c r="B250" s="19" t="n">
        <v>45991</v>
      </c>
      <c r="C250" s="18" t="s">
        <v>283</v>
      </c>
      <c r="D250" s="18" t="s">
        <v>869</v>
      </c>
      <c r="E250" s="18" t="s">
        <v>424</v>
      </c>
      <c r="F250" s="18"/>
      <c r="G250" s="18" t="s">
        <v>1019</v>
      </c>
      <c r="H250" s="30" t="n">
        <v>82.7</v>
      </c>
      <c r="I250" s="18" t="s">
        <v>513</v>
      </c>
      <c r="J250" s="28" t="n">
        <v>5623.6</v>
      </c>
      <c r="K250" s="12" t="str">
        <f aca="false">TEXT(B250,"yyyy-mm")</f>
        <v>2025-11</v>
      </c>
      <c r="L250" s="21" t="str">
        <f aca="false">IFERROR(INDEX(Projects!$E$2:$E$500,MATCH(C250,Projects!$A$2:$A$500,0)),"")</f>
        <v>Data &amp; AI</v>
      </c>
      <c r="M250" s="31" t="n">
        <f aca="false">IF(I250="Yes",H250*INDEX(Resources!$I$2:$I$500,MATCH(E250,Resources!$A$2:$A$500,0)),0)</f>
        <v>9097</v>
      </c>
    </row>
    <row r="251" customFormat="false" ht="15" hidden="false" customHeight="false" outlineLevel="0" collapsed="false">
      <c r="A251" s="18" t="s">
        <v>1281</v>
      </c>
      <c r="B251" s="19" t="n">
        <v>45991</v>
      </c>
      <c r="C251" s="18" t="s">
        <v>283</v>
      </c>
      <c r="D251" s="18" t="s">
        <v>869</v>
      </c>
      <c r="E251" s="18" t="s">
        <v>459</v>
      </c>
      <c r="F251" s="18"/>
      <c r="G251" s="18" t="s">
        <v>1019</v>
      </c>
      <c r="H251" s="30" t="n">
        <v>152.4</v>
      </c>
      <c r="I251" s="18" t="s">
        <v>513</v>
      </c>
      <c r="J251" s="28" t="n">
        <v>14813.28</v>
      </c>
      <c r="K251" s="12" t="str">
        <f aca="false">TEXT(B251,"yyyy-mm")</f>
        <v>2025-11</v>
      </c>
      <c r="L251" s="21" t="str">
        <f aca="false">IFERROR(INDEX(Projects!$E$2:$E$500,MATCH(C251,Projects!$A$2:$A$500,0)),"")</f>
        <v>Data &amp; AI</v>
      </c>
      <c r="M251" s="31" t="n">
        <f aca="false">IF(I251="Yes",H251*INDEX(Resources!$I$2:$I$500,MATCH(E251,Resources!$A$2:$A$500,0)),0)</f>
        <v>29718</v>
      </c>
    </row>
    <row r="252" customFormat="false" ht="15" hidden="false" customHeight="false" outlineLevel="0" collapsed="false">
      <c r="A252" s="18" t="s">
        <v>1282</v>
      </c>
      <c r="B252" s="19" t="n">
        <v>45991</v>
      </c>
      <c r="C252" s="18" t="s">
        <v>283</v>
      </c>
      <c r="D252" s="18" t="s">
        <v>869</v>
      </c>
      <c r="E252" s="18" t="s">
        <v>466</v>
      </c>
      <c r="F252" s="18"/>
      <c r="G252" s="18" t="s">
        <v>1019</v>
      </c>
      <c r="H252" s="30" t="n">
        <v>12</v>
      </c>
      <c r="I252" s="18" t="s">
        <v>513</v>
      </c>
      <c r="J252" s="28" t="n">
        <v>1176</v>
      </c>
      <c r="K252" s="12" t="str">
        <f aca="false">TEXT(B252,"yyyy-mm")</f>
        <v>2025-11</v>
      </c>
      <c r="L252" s="21" t="str">
        <f aca="false">IFERROR(INDEX(Projects!$E$2:$E$500,MATCH(C252,Projects!$A$2:$A$500,0)),"")</f>
        <v>Data &amp; AI</v>
      </c>
      <c r="M252" s="31" t="n">
        <f aca="false">IF(I252="Yes",H252*INDEX(Resources!$I$2:$I$500,MATCH(E252,Resources!$A$2:$A$500,0)),0)</f>
        <v>2400</v>
      </c>
    </row>
    <row r="253" customFormat="false" ht="15" hidden="false" customHeight="false" outlineLevel="0" collapsed="false">
      <c r="A253" s="18" t="s">
        <v>1283</v>
      </c>
      <c r="B253" s="19" t="n">
        <v>45991</v>
      </c>
      <c r="C253" s="18" t="s">
        <v>283</v>
      </c>
      <c r="D253" s="18" t="s">
        <v>872</v>
      </c>
      <c r="E253" s="18"/>
      <c r="F253" s="18" t="s">
        <v>1025</v>
      </c>
      <c r="G253" s="18" t="s">
        <v>1026</v>
      </c>
      <c r="H253" s="30" t="n">
        <v>0</v>
      </c>
      <c r="I253" s="18" t="s">
        <v>527</v>
      </c>
      <c r="J253" s="28" t="n">
        <v>2715.46</v>
      </c>
      <c r="K253" s="12" t="str">
        <f aca="false">TEXT(B253,"yyyy-mm")</f>
        <v>2025-11</v>
      </c>
      <c r="L253" s="21" t="str">
        <f aca="false">IFERROR(INDEX(Projects!$E$2:$E$500,MATCH(C253,Projects!$A$2:$A$500,0)),"")</f>
        <v>Data &amp; AI</v>
      </c>
      <c r="M253" s="31" t="n">
        <f aca="false">IF(I253="Yes",H253*INDEX(Resources!$I$2:$I$500,MATCH(E253,Resources!$A$2:$A$500,0)),0)</f>
        <v>0</v>
      </c>
    </row>
    <row r="254" customFormat="false" ht="15" hidden="false" customHeight="false" outlineLevel="0" collapsed="false">
      <c r="A254" s="18" t="s">
        <v>1284</v>
      </c>
      <c r="B254" s="19" t="n">
        <v>45991</v>
      </c>
      <c r="C254" s="18" t="s">
        <v>283</v>
      </c>
      <c r="D254" s="18" t="s">
        <v>876</v>
      </c>
      <c r="E254" s="18"/>
      <c r="F254" s="18" t="s">
        <v>1071</v>
      </c>
      <c r="G254" s="18" t="s">
        <v>1033</v>
      </c>
      <c r="H254" s="30" t="n">
        <v>0</v>
      </c>
      <c r="I254" s="18" t="s">
        <v>527</v>
      </c>
      <c r="J254" s="28" t="n">
        <v>563.35</v>
      </c>
      <c r="K254" s="12" t="str">
        <f aca="false">TEXT(B254,"yyyy-mm")</f>
        <v>2025-11</v>
      </c>
      <c r="L254" s="21" t="str">
        <f aca="false">IFERROR(INDEX(Projects!$E$2:$E$500,MATCH(C254,Projects!$A$2:$A$500,0)),"")</f>
        <v>Data &amp; AI</v>
      </c>
      <c r="M254" s="31" t="n">
        <f aca="false">IF(I254="Yes",H254*INDEX(Resources!$I$2:$I$500,MATCH(E254,Resources!$A$2:$A$500,0)),0)</f>
        <v>0</v>
      </c>
    </row>
    <row r="255" customFormat="false" ht="15" hidden="false" customHeight="false" outlineLevel="0" collapsed="false">
      <c r="A255" s="18" t="s">
        <v>1285</v>
      </c>
      <c r="B255" s="19" t="n">
        <v>46022</v>
      </c>
      <c r="C255" s="18" t="s">
        <v>197</v>
      </c>
      <c r="D255" s="18" t="s">
        <v>869</v>
      </c>
      <c r="E255" s="18" t="s">
        <v>201</v>
      </c>
      <c r="F255" s="18"/>
      <c r="G255" s="18" t="s">
        <v>1019</v>
      </c>
      <c r="H255" s="30" t="n">
        <v>82.6</v>
      </c>
      <c r="I255" s="18" t="s">
        <v>513</v>
      </c>
      <c r="J255" s="28" t="n">
        <v>8431.81</v>
      </c>
      <c r="K255" s="12" t="str">
        <f aca="false">TEXT(B255,"yyyy-mm")</f>
        <v>2025-12</v>
      </c>
      <c r="L255" s="21" t="str">
        <f aca="false">IFERROR(INDEX(Projects!$E$2:$E$500,MATCH(C255,Projects!$A$2:$A$500,0)),"")</f>
        <v>Customer Experience</v>
      </c>
      <c r="M255" s="31" t="n">
        <f aca="false">IF(I255="Yes",H255*INDEX(Resources!$I$2:$I$500,MATCH(E255,Resources!$A$2:$A$500,0)),0)</f>
        <v>16933</v>
      </c>
    </row>
    <row r="256" customFormat="false" ht="15" hidden="false" customHeight="false" outlineLevel="0" collapsed="false">
      <c r="A256" s="18" t="s">
        <v>1286</v>
      </c>
      <c r="B256" s="19" t="n">
        <v>46022</v>
      </c>
      <c r="C256" s="18" t="s">
        <v>197</v>
      </c>
      <c r="D256" s="18" t="s">
        <v>869</v>
      </c>
      <c r="E256" s="18" t="s">
        <v>363</v>
      </c>
      <c r="F256" s="18"/>
      <c r="G256" s="18" t="s">
        <v>1019</v>
      </c>
      <c r="H256" s="30" t="n">
        <v>92.3</v>
      </c>
      <c r="I256" s="18" t="s">
        <v>513</v>
      </c>
      <c r="J256" s="28" t="n">
        <v>7280.62</v>
      </c>
      <c r="K256" s="12" t="str">
        <f aca="false">TEXT(B256,"yyyy-mm")</f>
        <v>2025-12</v>
      </c>
      <c r="L256" s="21" t="str">
        <f aca="false">IFERROR(INDEX(Projects!$E$2:$E$500,MATCH(C256,Projects!$A$2:$A$500,0)),"")</f>
        <v>Customer Experience</v>
      </c>
      <c r="M256" s="31" t="n">
        <f aca="false">IF(I256="Yes",H256*INDEX(Resources!$I$2:$I$500,MATCH(E256,Resources!$A$2:$A$500,0)),0)</f>
        <v>14768</v>
      </c>
    </row>
    <row r="257" customFormat="false" ht="15" hidden="false" customHeight="false" outlineLevel="0" collapsed="false">
      <c r="A257" s="18" t="s">
        <v>1287</v>
      </c>
      <c r="B257" s="19" t="n">
        <v>46022</v>
      </c>
      <c r="C257" s="18" t="s">
        <v>197</v>
      </c>
      <c r="D257" s="18" t="s">
        <v>869</v>
      </c>
      <c r="E257" s="18" t="s">
        <v>379</v>
      </c>
      <c r="F257" s="18"/>
      <c r="G257" s="18" t="s">
        <v>1019</v>
      </c>
      <c r="H257" s="30" t="n">
        <v>129.5</v>
      </c>
      <c r="I257" s="18" t="s">
        <v>513</v>
      </c>
      <c r="J257" s="28" t="n">
        <v>11116.28</v>
      </c>
      <c r="K257" s="12" t="str">
        <f aca="false">TEXT(B257,"yyyy-mm")</f>
        <v>2025-12</v>
      </c>
      <c r="L257" s="21" t="str">
        <f aca="false">IFERROR(INDEX(Projects!$E$2:$E$500,MATCH(C257,Projects!$A$2:$A$500,0)),"")</f>
        <v>Customer Experience</v>
      </c>
      <c r="M257" s="31" t="n">
        <f aca="false">IF(I257="Yes",H257*INDEX(Resources!$I$2:$I$500,MATCH(E257,Resources!$A$2:$A$500,0)),0)</f>
        <v>22662.5</v>
      </c>
    </row>
    <row r="258" customFormat="false" ht="15" hidden="false" customHeight="false" outlineLevel="0" collapsed="false">
      <c r="A258" s="18" t="s">
        <v>1288</v>
      </c>
      <c r="B258" s="19" t="n">
        <v>46022</v>
      </c>
      <c r="C258" s="18" t="s">
        <v>197</v>
      </c>
      <c r="D258" s="18" t="s">
        <v>869</v>
      </c>
      <c r="E258" s="18" t="s">
        <v>389</v>
      </c>
      <c r="F258" s="18"/>
      <c r="G258" s="18" t="s">
        <v>1019</v>
      </c>
      <c r="H258" s="30" t="n">
        <v>150.8</v>
      </c>
      <c r="I258" s="18" t="s">
        <v>513</v>
      </c>
      <c r="J258" s="28" t="n">
        <v>16093.38</v>
      </c>
      <c r="K258" s="12" t="str">
        <f aca="false">TEXT(B258,"yyyy-mm")</f>
        <v>2025-12</v>
      </c>
      <c r="L258" s="21" t="str">
        <f aca="false">IFERROR(INDEX(Projects!$E$2:$E$500,MATCH(C258,Projects!$A$2:$A$500,0)),"")</f>
        <v>Customer Experience</v>
      </c>
      <c r="M258" s="31" t="n">
        <f aca="false">IF(I258="Yes",H258*INDEX(Resources!$I$2:$I$500,MATCH(E258,Resources!$A$2:$A$500,0)),0)</f>
        <v>32422</v>
      </c>
    </row>
    <row r="259" customFormat="false" ht="15" hidden="false" customHeight="false" outlineLevel="0" collapsed="false">
      <c r="A259" s="18" t="s">
        <v>1289</v>
      </c>
      <c r="B259" s="19" t="n">
        <v>46022</v>
      </c>
      <c r="C259" s="18" t="s">
        <v>197</v>
      </c>
      <c r="D259" s="18" t="s">
        <v>869</v>
      </c>
      <c r="E259" s="18" t="s">
        <v>409</v>
      </c>
      <c r="F259" s="18"/>
      <c r="G259" s="18" t="s">
        <v>1019</v>
      </c>
      <c r="H259" s="30" t="n">
        <v>166.3</v>
      </c>
      <c r="I259" s="18" t="s">
        <v>513</v>
      </c>
      <c r="J259" s="28" t="n">
        <v>12346.11</v>
      </c>
      <c r="K259" s="12" t="str">
        <f aca="false">TEXT(B259,"yyyy-mm")</f>
        <v>2025-12</v>
      </c>
      <c r="L259" s="21" t="str">
        <f aca="false">IFERROR(INDEX(Projects!$E$2:$E$500,MATCH(C259,Projects!$A$2:$A$500,0)),"")</f>
        <v>Customer Experience</v>
      </c>
      <c r="M259" s="31" t="n">
        <f aca="false">IF(I259="Yes",H259*INDEX(Resources!$I$2:$I$500,MATCH(E259,Resources!$A$2:$A$500,0)),0)</f>
        <v>24945</v>
      </c>
    </row>
    <row r="260" customFormat="false" ht="15" hidden="false" customHeight="false" outlineLevel="0" collapsed="false">
      <c r="A260" s="18" t="s">
        <v>1290</v>
      </c>
      <c r="B260" s="19" t="n">
        <v>46022</v>
      </c>
      <c r="C260" s="18" t="s">
        <v>197</v>
      </c>
      <c r="D260" s="18" t="s">
        <v>872</v>
      </c>
      <c r="E260" s="18"/>
      <c r="F260" s="18" t="s">
        <v>1059</v>
      </c>
      <c r="G260" s="18" t="s">
        <v>1026</v>
      </c>
      <c r="H260" s="30" t="n">
        <v>0</v>
      </c>
      <c r="I260" s="18" t="s">
        <v>527</v>
      </c>
      <c r="J260" s="28" t="n">
        <v>3302.95</v>
      </c>
      <c r="K260" s="12" t="str">
        <f aca="false">TEXT(B260,"yyyy-mm")</f>
        <v>2025-12</v>
      </c>
      <c r="L260" s="21" t="str">
        <f aca="false">IFERROR(INDEX(Projects!$E$2:$E$500,MATCH(C260,Projects!$A$2:$A$500,0)),"")</f>
        <v>Customer Experience</v>
      </c>
      <c r="M260" s="31" t="n">
        <f aca="false">IF(I260="Yes",H260*INDEX(Resources!$I$2:$I$500,MATCH(E260,Resources!$A$2:$A$500,0)),0)</f>
        <v>0</v>
      </c>
    </row>
    <row r="261" customFormat="false" ht="15" hidden="false" customHeight="false" outlineLevel="0" collapsed="false">
      <c r="A261" s="18" t="s">
        <v>1291</v>
      </c>
      <c r="B261" s="19" t="n">
        <v>46022</v>
      </c>
      <c r="C261" s="18" t="s">
        <v>197</v>
      </c>
      <c r="D261" s="18" t="s">
        <v>874</v>
      </c>
      <c r="E261" s="18"/>
      <c r="F261" s="18" t="s">
        <v>1224</v>
      </c>
      <c r="G261" s="18" t="s">
        <v>1026</v>
      </c>
      <c r="H261" s="30" t="n">
        <v>0</v>
      </c>
      <c r="I261" s="18" t="s">
        <v>527</v>
      </c>
      <c r="J261" s="28" t="n">
        <v>4760.19</v>
      </c>
      <c r="K261" s="12" t="str">
        <f aca="false">TEXT(B261,"yyyy-mm")</f>
        <v>2025-12</v>
      </c>
      <c r="L261" s="21" t="str">
        <f aca="false">IFERROR(INDEX(Projects!$E$2:$E$500,MATCH(C261,Projects!$A$2:$A$500,0)),"")</f>
        <v>Customer Experience</v>
      </c>
      <c r="M261" s="31" t="n">
        <f aca="false">IF(I261="Yes",H261*INDEX(Resources!$I$2:$I$500,MATCH(E261,Resources!$A$2:$A$500,0)),0)</f>
        <v>0</v>
      </c>
    </row>
    <row r="262" customFormat="false" ht="15" hidden="false" customHeight="false" outlineLevel="0" collapsed="false">
      <c r="A262" s="18" t="s">
        <v>1292</v>
      </c>
      <c r="B262" s="19" t="n">
        <v>46022</v>
      </c>
      <c r="C262" s="18" t="s">
        <v>197</v>
      </c>
      <c r="D262" s="18" t="s">
        <v>876</v>
      </c>
      <c r="E262" s="18"/>
      <c r="F262" s="18" t="s">
        <v>1032</v>
      </c>
      <c r="G262" s="18" t="s">
        <v>1033</v>
      </c>
      <c r="H262" s="30" t="n">
        <v>0</v>
      </c>
      <c r="I262" s="18" t="s">
        <v>527</v>
      </c>
      <c r="J262" s="28" t="n">
        <v>980.74</v>
      </c>
      <c r="K262" s="12" t="str">
        <f aca="false">TEXT(B262,"yyyy-mm")</f>
        <v>2025-12</v>
      </c>
      <c r="L262" s="21" t="str">
        <f aca="false">IFERROR(INDEX(Projects!$E$2:$E$500,MATCH(C262,Projects!$A$2:$A$500,0)),"")</f>
        <v>Customer Experience</v>
      </c>
      <c r="M262" s="31" t="n">
        <f aca="false">IF(I262="Yes",H262*INDEX(Resources!$I$2:$I$500,MATCH(E262,Resources!$A$2:$A$500,0)),0)</f>
        <v>0</v>
      </c>
    </row>
    <row r="263" customFormat="false" ht="15" hidden="false" customHeight="false" outlineLevel="0" collapsed="false">
      <c r="A263" s="18" t="s">
        <v>1293</v>
      </c>
      <c r="B263" s="19" t="n">
        <v>46022</v>
      </c>
      <c r="C263" s="18" t="s">
        <v>215</v>
      </c>
      <c r="D263" s="18" t="s">
        <v>889</v>
      </c>
      <c r="E263" s="18"/>
      <c r="F263" s="18" t="s">
        <v>1035</v>
      </c>
      <c r="G263" s="18" t="s">
        <v>1026</v>
      </c>
      <c r="H263" s="30" t="n">
        <v>0</v>
      </c>
      <c r="I263" s="18" t="s">
        <v>527</v>
      </c>
      <c r="J263" s="28" t="n">
        <v>3742.39</v>
      </c>
      <c r="K263" s="12" t="str">
        <f aca="false">TEXT(B263,"yyyy-mm")</f>
        <v>2025-12</v>
      </c>
      <c r="L263" s="21" t="str">
        <f aca="false">IFERROR(INDEX(Projects!$E$2:$E$500,MATCH(C263,Projects!$A$2:$A$500,0)),"")</f>
        <v>Data &amp; AI</v>
      </c>
      <c r="M263" s="31" t="n">
        <f aca="false">IF(I263="Yes",H263*INDEX(Resources!$I$2:$I$500,MATCH(E263,Resources!$A$2:$A$500,0)),0)</f>
        <v>0</v>
      </c>
    </row>
    <row r="264" customFormat="false" ht="15" hidden="false" customHeight="false" outlineLevel="0" collapsed="false">
      <c r="A264" s="18" t="s">
        <v>1294</v>
      </c>
      <c r="B264" s="19" t="n">
        <v>46022</v>
      </c>
      <c r="C264" s="18" t="s">
        <v>215</v>
      </c>
      <c r="D264" s="18" t="s">
        <v>869</v>
      </c>
      <c r="E264" s="18" t="s">
        <v>218</v>
      </c>
      <c r="F264" s="18"/>
      <c r="G264" s="18" t="s">
        <v>1019</v>
      </c>
      <c r="H264" s="30" t="n">
        <v>52.4</v>
      </c>
      <c r="I264" s="18" t="s">
        <v>527</v>
      </c>
      <c r="J264" s="28" t="n">
        <v>3919.52</v>
      </c>
      <c r="K264" s="12" t="str">
        <f aca="false">TEXT(B264,"yyyy-mm")</f>
        <v>2025-12</v>
      </c>
      <c r="L264" s="21" t="str">
        <f aca="false">IFERROR(INDEX(Projects!$E$2:$E$500,MATCH(C264,Projects!$A$2:$A$500,0)),"")</f>
        <v>Data &amp; AI</v>
      </c>
      <c r="M264" s="31" t="n">
        <f aca="false">IF(I264="Yes",H264*INDEX(Resources!$I$2:$I$500,MATCH(E264,Resources!$A$2:$A$500,0)),0)</f>
        <v>0</v>
      </c>
    </row>
    <row r="265" customFormat="false" ht="15" hidden="false" customHeight="false" outlineLevel="0" collapsed="false">
      <c r="A265" s="18" t="s">
        <v>1295</v>
      </c>
      <c r="B265" s="19" t="n">
        <v>46022</v>
      </c>
      <c r="C265" s="18" t="s">
        <v>215</v>
      </c>
      <c r="D265" s="18" t="s">
        <v>869</v>
      </c>
      <c r="E265" s="18" t="s">
        <v>357</v>
      </c>
      <c r="F265" s="18"/>
      <c r="G265" s="18" t="s">
        <v>1019</v>
      </c>
      <c r="H265" s="30" t="n">
        <v>51.2</v>
      </c>
      <c r="I265" s="18" t="s">
        <v>513</v>
      </c>
      <c r="J265" s="28" t="n">
        <v>6193.15</v>
      </c>
      <c r="K265" s="12" t="str">
        <f aca="false">TEXT(B265,"yyyy-mm")</f>
        <v>2025-12</v>
      </c>
      <c r="L265" s="21" t="str">
        <f aca="false">IFERROR(INDEX(Projects!$E$2:$E$500,MATCH(C265,Projects!$A$2:$A$500,0)),"")</f>
        <v>Data &amp; AI</v>
      </c>
      <c r="M265" s="31" t="n">
        <f aca="false">IF(I265="Yes",H265*INDEX(Resources!$I$2:$I$500,MATCH(E265,Resources!$A$2:$A$500,0)),0)</f>
        <v>12544</v>
      </c>
    </row>
    <row r="266" customFormat="false" ht="15" hidden="false" customHeight="false" outlineLevel="0" collapsed="false">
      <c r="A266" s="18" t="s">
        <v>1296</v>
      </c>
      <c r="B266" s="19" t="n">
        <v>46022</v>
      </c>
      <c r="C266" s="18" t="s">
        <v>215</v>
      </c>
      <c r="D266" s="18" t="s">
        <v>869</v>
      </c>
      <c r="E266" s="18" t="s">
        <v>414</v>
      </c>
      <c r="F266" s="18"/>
      <c r="G266" s="18" t="s">
        <v>1019</v>
      </c>
      <c r="H266" s="30" t="n">
        <v>108.8</v>
      </c>
      <c r="I266" s="18" t="s">
        <v>513</v>
      </c>
      <c r="J266" s="28" t="n">
        <v>6475.78</v>
      </c>
      <c r="K266" s="12" t="str">
        <f aca="false">TEXT(B266,"yyyy-mm")</f>
        <v>2025-12</v>
      </c>
      <c r="L266" s="21" t="str">
        <f aca="false">IFERROR(INDEX(Projects!$E$2:$E$500,MATCH(C266,Projects!$A$2:$A$500,0)),"")</f>
        <v>Data &amp; AI</v>
      </c>
      <c r="M266" s="31" t="n">
        <f aca="false">IF(I266="Yes",H266*INDEX(Resources!$I$2:$I$500,MATCH(E266,Resources!$A$2:$A$500,0)),0)</f>
        <v>13056</v>
      </c>
    </row>
    <row r="267" customFormat="false" ht="15" hidden="false" customHeight="false" outlineLevel="0" collapsed="false">
      <c r="A267" s="18" t="s">
        <v>1297</v>
      </c>
      <c r="B267" s="19" t="n">
        <v>46022</v>
      </c>
      <c r="C267" s="18" t="s">
        <v>215</v>
      </c>
      <c r="D267" s="18" t="s">
        <v>869</v>
      </c>
      <c r="E267" s="18" t="s">
        <v>450</v>
      </c>
      <c r="F267" s="18"/>
      <c r="G267" s="18" t="s">
        <v>1019</v>
      </c>
      <c r="H267" s="30" t="n">
        <v>221.7</v>
      </c>
      <c r="I267" s="18" t="s">
        <v>513</v>
      </c>
      <c r="J267" s="28" t="n">
        <v>23145.48</v>
      </c>
      <c r="K267" s="12" t="str">
        <f aca="false">TEXT(B267,"yyyy-mm")</f>
        <v>2025-12</v>
      </c>
      <c r="L267" s="21" t="str">
        <f aca="false">IFERROR(INDEX(Projects!$E$2:$E$500,MATCH(C267,Projects!$A$2:$A$500,0)),"")</f>
        <v>Data &amp; AI</v>
      </c>
      <c r="M267" s="31" t="n">
        <f aca="false">IF(I267="Yes",H267*INDEX(Resources!$I$2:$I$500,MATCH(E267,Resources!$A$2:$A$500,0)),0)</f>
        <v>46557</v>
      </c>
    </row>
    <row r="268" customFormat="false" ht="15" hidden="false" customHeight="false" outlineLevel="0" collapsed="false">
      <c r="A268" s="18" t="s">
        <v>1298</v>
      </c>
      <c r="B268" s="19" t="n">
        <v>46022</v>
      </c>
      <c r="C268" s="18" t="s">
        <v>215</v>
      </c>
      <c r="D268" s="18" t="s">
        <v>869</v>
      </c>
      <c r="E268" s="18" t="s">
        <v>462</v>
      </c>
      <c r="F268" s="18"/>
      <c r="G268" s="18" t="s">
        <v>1019</v>
      </c>
      <c r="H268" s="30" t="n">
        <v>84.2</v>
      </c>
      <c r="I268" s="18" t="s">
        <v>513</v>
      </c>
      <c r="J268" s="28" t="n">
        <v>9571.86</v>
      </c>
      <c r="K268" s="12" t="str">
        <f aca="false">TEXT(B268,"yyyy-mm")</f>
        <v>2025-12</v>
      </c>
      <c r="L268" s="21" t="str">
        <f aca="false">IFERROR(INDEX(Projects!$E$2:$E$500,MATCH(C268,Projects!$A$2:$A$500,0)),"")</f>
        <v>Data &amp; AI</v>
      </c>
      <c r="M268" s="31" t="n">
        <f aca="false">IF(I268="Yes",H268*INDEX(Resources!$I$2:$I$500,MATCH(E268,Resources!$A$2:$A$500,0)),0)</f>
        <v>19366</v>
      </c>
    </row>
    <row r="269" customFormat="false" ht="15" hidden="false" customHeight="false" outlineLevel="0" collapsed="false">
      <c r="A269" s="18" t="s">
        <v>1299</v>
      </c>
      <c r="B269" s="19" t="n">
        <v>46022</v>
      </c>
      <c r="C269" s="18" t="s">
        <v>215</v>
      </c>
      <c r="D269" s="18" t="s">
        <v>872</v>
      </c>
      <c r="E269" s="18"/>
      <c r="F269" s="18" t="s">
        <v>1059</v>
      </c>
      <c r="G269" s="18" t="s">
        <v>1026</v>
      </c>
      <c r="H269" s="30" t="n">
        <v>0</v>
      </c>
      <c r="I269" s="18" t="s">
        <v>527</v>
      </c>
      <c r="J269" s="28" t="n">
        <v>2702.39</v>
      </c>
      <c r="K269" s="12" t="str">
        <f aca="false">TEXT(B269,"yyyy-mm")</f>
        <v>2025-12</v>
      </c>
      <c r="L269" s="21" t="str">
        <f aca="false">IFERROR(INDEX(Projects!$E$2:$E$500,MATCH(C269,Projects!$A$2:$A$500,0)),"")</f>
        <v>Data &amp; AI</v>
      </c>
      <c r="M269" s="31" t="n">
        <f aca="false">IF(I269="Yes",H269*INDEX(Resources!$I$2:$I$500,MATCH(E269,Resources!$A$2:$A$500,0)),0)</f>
        <v>0</v>
      </c>
    </row>
    <row r="270" customFormat="false" ht="15" hidden="false" customHeight="false" outlineLevel="0" collapsed="false">
      <c r="A270" s="18" t="s">
        <v>1300</v>
      </c>
      <c r="B270" s="19" t="n">
        <v>46022</v>
      </c>
      <c r="C270" s="18" t="s">
        <v>215</v>
      </c>
      <c r="D270" s="18" t="s">
        <v>876</v>
      </c>
      <c r="E270" s="18"/>
      <c r="F270" s="18" t="s">
        <v>1032</v>
      </c>
      <c r="G270" s="18" t="s">
        <v>1033</v>
      </c>
      <c r="H270" s="30" t="n">
        <v>0</v>
      </c>
      <c r="I270" s="18" t="s">
        <v>527</v>
      </c>
      <c r="J270" s="28" t="n">
        <v>636.38</v>
      </c>
      <c r="K270" s="12" t="str">
        <f aca="false">TEXT(B270,"yyyy-mm")</f>
        <v>2025-12</v>
      </c>
      <c r="L270" s="21" t="str">
        <f aca="false">IFERROR(INDEX(Projects!$E$2:$E$500,MATCH(C270,Projects!$A$2:$A$500,0)),"")</f>
        <v>Data &amp; AI</v>
      </c>
      <c r="M270" s="31" t="n">
        <f aca="false">IF(I270="Yes",H270*INDEX(Resources!$I$2:$I$500,MATCH(E270,Resources!$A$2:$A$500,0)),0)</f>
        <v>0</v>
      </c>
    </row>
    <row r="271" customFormat="false" ht="15" hidden="false" customHeight="false" outlineLevel="0" collapsed="false">
      <c r="A271" s="18" t="s">
        <v>1301</v>
      </c>
      <c r="B271" s="19" t="n">
        <v>46022</v>
      </c>
      <c r="C271" s="18" t="s">
        <v>233</v>
      </c>
      <c r="D271" s="18" t="s">
        <v>869</v>
      </c>
      <c r="E271" s="18" t="s">
        <v>237</v>
      </c>
      <c r="F271" s="18"/>
      <c r="G271" s="18" t="s">
        <v>1019</v>
      </c>
      <c r="H271" s="30" t="n">
        <v>125.6</v>
      </c>
      <c r="I271" s="18" t="s">
        <v>513</v>
      </c>
      <c r="J271" s="28" t="n">
        <v>9394.88</v>
      </c>
      <c r="K271" s="12" t="str">
        <f aca="false">TEXT(B271,"yyyy-mm")</f>
        <v>2025-12</v>
      </c>
      <c r="L271" s="21" t="str">
        <f aca="false">IFERROR(INDEX(Projects!$E$2:$E$500,MATCH(C271,Projects!$A$2:$A$500,0)),"")</f>
        <v>Customer Experience</v>
      </c>
      <c r="M271" s="31" t="n">
        <f aca="false">IF(I271="Yes",H271*INDEX(Resources!$I$2:$I$500,MATCH(E271,Resources!$A$2:$A$500,0)),0)</f>
        <v>18840</v>
      </c>
    </row>
    <row r="272" customFormat="false" ht="15" hidden="false" customHeight="false" outlineLevel="0" collapsed="false">
      <c r="A272" s="18" t="s">
        <v>1302</v>
      </c>
      <c r="B272" s="19" t="n">
        <v>46022</v>
      </c>
      <c r="C272" s="18" t="s">
        <v>233</v>
      </c>
      <c r="D272" s="18" t="s">
        <v>869</v>
      </c>
      <c r="E272" s="18" t="s">
        <v>375</v>
      </c>
      <c r="F272" s="18"/>
      <c r="G272" s="18" t="s">
        <v>1019</v>
      </c>
      <c r="H272" s="30" t="n">
        <v>119.4</v>
      </c>
      <c r="I272" s="18" t="s">
        <v>513</v>
      </c>
      <c r="J272" s="28" t="n">
        <v>8626.65</v>
      </c>
      <c r="K272" s="12" t="str">
        <f aca="false">TEXT(B272,"yyyy-mm")</f>
        <v>2025-12</v>
      </c>
      <c r="L272" s="21" t="str">
        <f aca="false">IFERROR(INDEX(Projects!$E$2:$E$500,MATCH(C272,Projects!$A$2:$A$500,0)),"")</f>
        <v>Customer Experience</v>
      </c>
      <c r="M272" s="31" t="n">
        <f aca="false">IF(I272="Yes",H272*INDEX(Resources!$I$2:$I$500,MATCH(E272,Resources!$A$2:$A$500,0)),0)</f>
        <v>14328</v>
      </c>
    </row>
    <row r="273" customFormat="false" ht="15" hidden="false" customHeight="false" outlineLevel="0" collapsed="false">
      <c r="A273" s="18" t="s">
        <v>1303</v>
      </c>
      <c r="B273" s="19" t="n">
        <v>46022</v>
      </c>
      <c r="C273" s="18" t="s">
        <v>233</v>
      </c>
      <c r="D273" s="18" t="s">
        <v>869</v>
      </c>
      <c r="E273" s="18" t="s">
        <v>384</v>
      </c>
      <c r="F273" s="18"/>
      <c r="G273" s="18" t="s">
        <v>1019</v>
      </c>
      <c r="H273" s="30" t="n">
        <v>158.5</v>
      </c>
      <c r="I273" s="18" t="s">
        <v>513</v>
      </c>
      <c r="J273" s="28" t="n">
        <v>10907.97</v>
      </c>
      <c r="K273" s="12" t="str">
        <f aca="false">TEXT(B273,"yyyy-mm")</f>
        <v>2025-12</v>
      </c>
      <c r="L273" s="21" t="str">
        <f aca="false">IFERROR(INDEX(Projects!$E$2:$E$500,MATCH(C273,Projects!$A$2:$A$500,0)),"")</f>
        <v>Customer Experience</v>
      </c>
      <c r="M273" s="31" t="n">
        <f aca="false">IF(I273="Yes",H273*INDEX(Resources!$I$2:$I$500,MATCH(E273,Resources!$A$2:$A$500,0)),0)</f>
        <v>22190</v>
      </c>
    </row>
    <row r="274" customFormat="false" ht="15" hidden="false" customHeight="false" outlineLevel="0" collapsed="false">
      <c r="A274" s="18" t="s">
        <v>1304</v>
      </c>
      <c r="B274" s="19" t="n">
        <v>46022</v>
      </c>
      <c r="C274" s="18" t="s">
        <v>233</v>
      </c>
      <c r="D274" s="18" t="s">
        <v>869</v>
      </c>
      <c r="E274" s="18" t="s">
        <v>398</v>
      </c>
      <c r="F274" s="18"/>
      <c r="G274" s="18" t="s">
        <v>1019</v>
      </c>
      <c r="H274" s="30" t="n">
        <v>160.8</v>
      </c>
      <c r="I274" s="18" t="s">
        <v>513</v>
      </c>
      <c r="J274" s="28" t="n">
        <v>13758.05</v>
      </c>
      <c r="K274" s="12" t="str">
        <f aca="false">TEXT(B274,"yyyy-mm")</f>
        <v>2025-12</v>
      </c>
      <c r="L274" s="21" t="str">
        <f aca="false">IFERROR(INDEX(Projects!$E$2:$E$500,MATCH(C274,Projects!$A$2:$A$500,0)),"")</f>
        <v>Customer Experience</v>
      </c>
      <c r="M274" s="31" t="n">
        <f aca="false">IF(I274="Yes",H274*INDEX(Resources!$I$2:$I$500,MATCH(E274,Resources!$A$2:$A$500,0)),0)</f>
        <v>27336</v>
      </c>
    </row>
    <row r="275" customFormat="false" ht="15" hidden="false" customHeight="false" outlineLevel="0" collapsed="false">
      <c r="A275" s="18" t="s">
        <v>1305</v>
      </c>
      <c r="B275" s="19" t="n">
        <v>46022</v>
      </c>
      <c r="C275" s="18" t="s">
        <v>233</v>
      </c>
      <c r="D275" s="18" t="s">
        <v>869</v>
      </c>
      <c r="E275" s="18" t="s">
        <v>420</v>
      </c>
      <c r="F275" s="18"/>
      <c r="G275" s="18" t="s">
        <v>1019</v>
      </c>
      <c r="H275" s="30" t="n">
        <v>219.8</v>
      </c>
      <c r="I275" s="18" t="s">
        <v>513</v>
      </c>
      <c r="J275" s="28" t="n">
        <v>13082.5</v>
      </c>
      <c r="K275" s="12" t="str">
        <f aca="false">TEXT(B275,"yyyy-mm")</f>
        <v>2025-12</v>
      </c>
      <c r="L275" s="21" t="str">
        <f aca="false">IFERROR(INDEX(Projects!$E$2:$E$500,MATCH(C275,Projects!$A$2:$A$500,0)),"")</f>
        <v>Customer Experience</v>
      </c>
      <c r="M275" s="31" t="n">
        <f aca="false">IF(I275="Yes",H275*INDEX(Resources!$I$2:$I$500,MATCH(E275,Resources!$A$2:$A$500,0)),0)</f>
        <v>26376</v>
      </c>
    </row>
    <row r="276" customFormat="false" ht="15" hidden="false" customHeight="false" outlineLevel="0" collapsed="false">
      <c r="A276" s="18" t="s">
        <v>1306</v>
      </c>
      <c r="B276" s="19" t="n">
        <v>46022</v>
      </c>
      <c r="C276" s="18" t="s">
        <v>233</v>
      </c>
      <c r="D276" s="18" t="s">
        <v>872</v>
      </c>
      <c r="E276" s="18"/>
      <c r="F276" s="18" t="s">
        <v>353</v>
      </c>
      <c r="G276" s="18" t="s">
        <v>1026</v>
      </c>
      <c r="H276" s="30" t="n">
        <v>0</v>
      </c>
      <c r="I276" s="18" t="s">
        <v>527</v>
      </c>
      <c r="J276" s="28" t="n">
        <v>2276.39</v>
      </c>
      <c r="K276" s="12" t="str">
        <f aca="false">TEXT(B276,"yyyy-mm")</f>
        <v>2025-12</v>
      </c>
      <c r="L276" s="21" t="str">
        <f aca="false">IFERROR(INDEX(Projects!$E$2:$E$500,MATCH(C276,Projects!$A$2:$A$500,0)),"")</f>
        <v>Customer Experience</v>
      </c>
      <c r="M276" s="31" t="n">
        <f aca="false">IF(I276="Yes",H276*INDEX(Resources!$I$2:$I$500,MATCH(E276,Resources!$A$2:$A$500,0)),0)</f>
        <v>0</v>
      </c>
    </row>
    <row r="277" customFormat="false" ht="15" hidden="false" customHeight="false" outlineLevel="0" collapsed="false">
      <c r="A277" s="18" t="s">
        <v>1307</v>
      </c>
      <c r="B277" s="19" t="n">
        <v>46022</v>
      </c>
      <c r="C277" s="18" t="s">
        <v>233</v>
      </c>
      <c r="D277" s="18" t="s">
        <v>874</v>
      </c>
      <c r="E277" s="18"/>
      <c r="F277" s="18" t="s">
        <v>1028</v>
      </c>
      <c r="G277" s="18" t="s">
        <v>1026</v>
      </c>
      <c r="H277" s="30" t="n">
        <v>0</v>
      </c>
      <c r="I277" s="18" t="s">
        <v>527</v>
      </c>
      <c r="J277" s="28" t="n">
        <v>4108.81</v>
      </c>
      <c r="K277" s="12" t="str">
        <f aca="false">TEXT(B277,"yyyy-mm")</f>
        <v>2025-12</v>
      </c>
      <c r="L277" s="21" t="str">
        <f aca="false">IFERROR(INDEX(Projects!$E$2:$E$500,MATCH(C277,Projects!$A$2:$A$500,0)),"")</f>
        <v>Customer Experience</v>
      </c>
      <c r="M277" s="31" t="n">
        <f aca="false">IF(I277="Yes",H277*INDEX(Resources!$I$2:$I$500,MATCH(E277,Resources!$A$2:$A$500,0)),0)</f>
        <v>0</v>
      </c>
    </row>
    <row r="278" customFormat="false" ht="15" hidden="false" customHeight="false" outlineLevel="0" collapsed="false">
      <c r="A278" s="18" t="s">
        <v>1308</v>
      </c>
      <c r="B278" s="19" t="n">
        <v>46022</v>
      </c>
      <c r="C278" s="18" t="s">
        <v>233</v>
      </c>
      <c r="D278" s="18" t="s">
        <v>876</v>
      </c>
      <c r="E278" s="18"/>
      <c r="F278" s="18" t="s">
        <v>1032</v>
      </c>
      <c r="G278" s="18" t="s">
        <v>1033</v>
      </c>
      <c r="H278" s="30" t="n">
        <v>0</v>
      </c>
      <c r="I278" s="18" t="s">
        <v>527</v>
      </c>
      <c r="J278" s="28" t="n">
        <v>721.24</v>
      </c>
      <c r="K278" s="12" t="str">
        <f aca="false">TEXT(B278,"yyyy-mm")</f>
        <v>2025-12</v>
      </c>
      <c r="L278" s="21" t="str">
        <f aca="false">IFERROR(INDEX(Projects!$E$2:$E$500,MATCH(C278,Projects!$A$2:$A$500,0)),"")</f>
        <v>Customer Experience</v>
      </c>
      <c r="M278" s="31" t="n">
        <f aca="false">IF(I278="Yes",H278*INDEX(Resources!$I$2:$I$500,MATCH(E278,Resources!$A$2:$A$500,0)),0)</f>
        <v>0</v>
      </c>
    </row>
    <row r="279" customFormat="false" ht="15" hidden="false" customHeight="false" outlineLevel="0" collapsed="false">
      <c r="A279" s="18" t="s">
        <v>1309</v>
      </c>
      <c r="B279" s="19" t="n">
        <v>46022</v>
      </c>
      <c r="C279" s="18" t="s">
        <v>253</v>
      </c>
      <c r="D279" s="18" t="s">
        <v>869</v>
      </c>
      <c r="E279" s="18" t="s">
        <v>231</v>
      </c>
      <c r="F279" s="18"/>
      <c r="G279" s="18" t="s">
        <v>1019</v>
      </c>
      <c r="H279" s="30" t="n">
        <v>110.2</v>
      </c>
      <c r="I279" s="18" t="s">
        <v>513</v>
      </c>
      <c r="J279" s="28" t="n">
        <v>11249.22</v>
      </c>
      <c r="K279" s="12" t="str">
        <f aca="false">TEXT(B279,"yyyy-mm")</f>
        <v>2025-12</v>
      </c>
      <c r="L279" s="21" t="str">
        <f aca="false">IFERROR(INDEX(Projects!$E$2:$E$500,MATCH(C279,Projects!$A$2:$A$500,0)),"")</f>
        <v>Customer Experience</v>
      </c>
      <c r="M279" s="31" t="n">
        <f aca="false">IF(I279="Yes",H279*INDEX(Resources!$I$2:$I$500,MATCH(E279,Resources!$A$2:$A$500,0)),0)</f>
        <v>22591</v>
      </c>
    </row>
    <row r="280" customFormat="false" ht="15" hidden="false" customHeight="false" outlineLevel="0" collapsed="false">
      <c r="A280" s="18" t="s">
        <v>1310</v>
      </c>
      <c r="B280" s="19" t="n">
        <v>46022</v>
      </c>
      <c r="C280" s="18" t="s">
        <v>253</v>
      </c>
      <c r="D280" s="18" t="s">
        <v>869</v>
      </c>
      <c r="E280" s="18" t="s">
        <v>373</v>
      </c>
      <c r="F280" s="18"/>
      <c r="G280" s="18" t="s">
        <v>1019</v>
      </c>
      <c r="H280" s="30" t="n">
        <v>125.2</v>
      </c>
      <c r="I280" s="18" t="s">
        <v>513</v>
      </c>
      <c r="J280" s="28" t="n">
        <v>9194.69</v>
      </c>
      <c r="K280" s="12" t="str">
        <f aca="false">TEXT(B280,"yyyy-mm")</f>
        <v>2025-12</v>
      </c>
      <c r="L280" s="21" t="str">
        <f aca="false">IFERROR(INDEX(Projects!$E$2:$E$500,MATCH(C280,Projects!$A$2:$A$500,0)),"")</f>
        <v>Customer Experience</v>
      </c>
      <c r="M280" s="31" t="n">
        <f aca="false">IF(I280="Yes",H280*INDEX(Resources!$I$2:$I$500,MATCH(E280,Resources!$A$2:$A$500,0)),0)</f>
        <v>18780</v>
      </c>
    </row>
    <row r="281" customFormat="false" ht="15" hidden="false" customHeight="false" outlineLevel="0" collapsed="false">
      <c r="A281" s="18" t="s">
        <v>1311</v>
      </c>
      <c r="B281" s="19" t="n">
        <v>46022</v>
      </c>
      <c r="C281" s="18" t="s">
        <v>253</v>
      </c>
      <c r="D281" s="18" t="s">
        <v>869</v>
      </c>
      <c r="E281" s="18" t="s">
        <v>387</v>
      </c>
      <c r="F281" s="18"/>
      <c r="G281" s="18" t="s">
        <v>1019</v>
      </c>
      <c r="H281" s="30" t="n">
        <v>120.2</v>
      </c>
      <c r="I281" s="18" t="s">
        <v>513</v>
      </c>
      <c r="J281" s="28" t="n">
        <v>7560.58</v>
      </c>
      <c r="K281" s="12" t="str">
        <f aca="false">TEXT(B281,"yyyy-mm")</f>
        <v>2025-12</v>
      </c>
      <c r="L281" s="21" t="str">
        <f aca="false">IFERROR(INDEX(Projects!$E$2:$E$500,MATCH(C281,Projects!$A$2:$A$500,0)),"")</f>
        <v>Customer Experience</v>
      </c>
      <c r="M281" s="31" t="n">
        <f aca="false">IF(I281="Yes",H281*INDEX(Resources!$I$2:$I$500,MATCH(E281,Resources!$A$2:$A$500,0)),0)</f>
        <v>15626</v>
      </c>
    </row>
    <row r="282" customFormat="false" ht="15" hidden="false" customHeight="false" outlineLevel="0" collapsed="false">
      <c r="A282" s="18" t="s">
        <v>1312</v>
      </c>
      <c r="B282" s="19" t="n">
        <v>46022</v>
      </c>
      <c r="C282" s="18" t="s">
        <v>253</v>
      </c>
      <c r="D282" s="18" t="s">
        <v>869</v>
      </c>
      <c r="E282" s="18" t="s">
        <v>407</v>
      </c>
      <c r="F282" s="18"/>
      <c r="G282" s="18" t="s">
        <v>1019</v>
      </c>
      <c r="H282" s="30" t="n">
        <v>222.4</v>
      </c>
      <c r="I282" s="18" t="s">
        <v>513</v>
      </c>
      <c r="J282" s="28" t="n">
        <v>19028.54</v>
      </c>
      <c r="K282" s="12" t="str">
        <f aca="false">TEXT(B282,"yyyy-mm")</f>
        <v>2025-12</v>
      </c>
      <c r="L282" s="21" t="str">
        <f aca="false">IFERROR(INDEX(Projects!$E$2:$E$500,MATCH(C282,Projects!$A$2:$A$500,0)),"")</f>
        <v>Customer Experience</v>
      </c>
      <c r="M282" s="31" t="n">
        <f aca="false">IF(I282="Yes",H282*INDEX(Resources!$I$2:$I$500,MATCH(E282,Resources!$A$2:$A$500,0)),0)</f>
        <v>37808</v>
      </c>
    </row>
    <row r="283" customFormat="false" ht="15" hidden="false" customHeight="false" outlineLevel="0" collapsed="false">
      <c r="A283" s="18" t="s">
        <v>1313</v>
      </c>
      <c r="B283" s="19" t="n">
        <v>46022</v>
      </c>
      <c r="C283" s="18" t="s">
        <v>253</v>
      </c>
      <c r="D283" s="18" t="s">
        <v>869</v>
      </c>
      <c r="E283" s="18" t="s">
        <v>426</v>
      </c>
      <c r="F283" s="18"/>
      <c r="G283" s="18" t="s">
        <v>1019</v>
      </c>
      <c r="H283" s="30" t="n">
        <v>123</v>
      </c>
      <c r="I283" s="18" t="s">
        <v>513</v>
      </c>
      <c r="J283" s="28" t="n">
        <v>9131.52</v>
      </c>
      <c r="K283" s="12" t="str">
        <f aca="false">TEXT(B283,"yyyy-mm")</f>
        <v>2025-12</v>
      </c>
      <c r="L283" s="21" t="str">
        <f aca="false">IFERROR(INDEX(Projects!$E$2:$E$500,MATCH(C283,Projects!$A$2:$A$500,0)),"")</f>
        <v>Customer Experience</v>
      </c>
      <c r="M283" s="31" t="n">
        <f aca="false">IF(I283="Yes",H283*INDEX(Resources!$I$2:$I$500,MATCH(E283,Resources!$A$2:$A$500,0)),0)</f>
        <v>18450</v>
      </c>
    </row>
    <row r="284" customFormat="false" ht="15" hidden="false" customHeight="false" outlineLevel="0" collapsed="false">
      <c r="A284" s="18" t="s">
        <v>1314</v>
      </c>
      <c r="B284" s="19" t="n">
        <v>46022</v>
      </c>
      <c r="C284" s="18" t="s">
        <v>253</v>
      </c>
      <c r="D284" s="18" t="s">
        <v>872</v>
      </c>
      <c r="E284" s="18"/>
      <c r="F284" s="18" t="s">
        <v>1025</v>
      </c>
      <c r="G284" s="18" t="s">
        <v>1026</v>
      </c>
      <c r="H284" s="30" t="n">
        <v>0</v>
      </c>
      <c r="I284" s="18" t="s">
        <v>527</v>
      </c>
      <c r="J284" s="28" t="n">
        <v>3837.96</v>
      </c>
      <c r="K284" s="12" t="str">
        <f aca="false">TEXT(B284,"yyyy-mm")</f>
        <v>2025-12</v>
      </c>
      <c r="L284" s="21" t="str">
        <f aca="false">IFERROR(INDEX(Projects!$E$2:$E$500,MATCH(C284,Projects!$A$2:$A$500,0)),"")</f>
        <v>Customer Experience</v>
      </c>
      <c r="M284" s="31" t="n">
        <f aca="false">IF(I284="Yes",H284*INDEX(Resources!$I$2:$I$500,MATCH(E284,Resources!$A$2:$A$500,0)),0)</f>
        <v>0</v>
      </c>
    </row>
    <row r="285" customFormat="false" ht="15" hidden="false" customHeight="false" outlineLevel="0" collapsed="false">
      <c r="A285" s="18" t="s">
        <v>1315</v>
      </c>
      <c r="B285" s="19" t="n">
        <v>46022</v>
      </c>
      <c r="C285" s="18" t="s">
        <v>253</v>
      </c>
      <c r="D285" s="18" t="s">
        <v>874</v>
      </c>
      <c r="E285" s="18"/>
      <c r="F285" s="18" t="s">
        <v>1224</v>
      </c>
      <c r="G285" s="18" t="s">
        <v>1026</v>
      </c>
      <c r="H285" s="30" t="n">
        <v>0</v>
      </c>
      <c r="I285" s="18" t="s">
        <v>527</v>
      </c>
      <c r="J285" s="28" t="n">
        <v>3774.07</v>
      </c>
      <c r="K285" s="12" t="str">
        <f aca="false">TEXT(B285,"yyyy-mm")</f>
        <v>2025-12</v>
      </c>
      <c r="L285" s="21" t="str">
        <f aca="false">IFERROR(INDEX(Projects!$E$2:$E$500,MATCH(C285,Projects!$A$2:$A$500,0)),"")</f>
        <v>Customer Experience</v>
      </c>
      <c r="M285" s="31" t="n">
        <f aca="false">IF(I285="Yes",H285*INDEX(Resources!$I$2:$I$500,MATCH(E285,Resources!$A$2:$A$500,0)),0)</f>
        <v>0</v>
      </c>
    </row>
    <row r="286" customFormat="false" ht="15" hidden="false" customHeight="false" outlineLevel="0" collapsed="false">
      <c r="A286" s="18" t="s">
        <v>1316</v>
      </c>
      <c r="B286" s="19" t="n">
        <v>46022</v>
      </c>
      <c r="C286" s="18" t="s">
        <v>253</v>
      </c>
      <c r="D286" s="18" t="s">
        <v>876</v>
      </c>
      <c r="E286" s="18"/>
      <c r="F286" s="18" t="s">
        <v>1032</v>
      </c>
      <c r="G286" s="18" t="s">
        <v>1033</v>
      </c>
      <c r="H286" s="30" t="n">
        <v>0</v>
      </c>
      <c r="I286" s="18" t="s">
        <v>527</v>
      </c>
      <c r="J286" s="28" t="n">
        <v>743.59</v>
      </c>
      <c r="K286" s="12" t="str">
        <f aca="false">TEXT(B286,"yyyy-mm")</f>
        <v>2025-12</v>
      </c>
      <c r="L286" s="21" t="str">
        <f aca="false">IFERROR(INDEX(Projects!$E$2:$E$500,MATCH(C286,Projects!$A$2:$A$500,0)),"")</f>
        <v>Customer Experience</v>
      </c>
      <c r="M286" s="31" t="n">
        <f aca="false">IF(I286="Yes",H286*INDEX(Resources!$I$2:$I$500,MATCH(E286,Resources!$A$2:$A$500,0)),0)</f>
        <v>0</v>
      </c>
    </row>
    <row r="287" customFormat="false" ht="15" hidden="false" customHeight="false" outlineLevel="0" collapsed="false">
      <c r="A287" s="18" t="s">
        <v>1317</v>
      </c>
      <c r="B287" s="19" t="n">
        <v>46022</v>
      </c>
      <c r="C287" s="18" t="s">
        <v>265</v>
      </c>
      <c r="D287" s="18" t="s">
        <v>869</v>
      </c>
      <c r="E287" s="18" t="s">
        <v>211</v>
      </c>
      <c r="F287" s="18"/>
      <c r="G287" s="18" t="s">
        <v>1019</v>
      </c>
      <c r="H287" s="30" t="n">
        <v>118.8</v>
      </c>
      <c r="I287" s="18" t="s">
        <v>513</v>
      </c>
      <c r="J287" s="28" t="n">
        <v>12127.1</v>
      </c>
      <c r="K287" s="12" t="str">
        <f aca="false">TEXT(B287,"yyyy-mm")</f>
        <v>2025-12</v>
      </c>
      <c r="L287" s="21" t="str">
        <f aca="false">IFERROR(INDEX(Projects!$E$2:$E$500,MATCH(C287,Projects!$A$2:$A$500,0)),"")</f>
        <v>Digital Transformation</v>
      </c>
      <c r="M287" s="31" t="n">
        <f aca="false">IF(I287="Yes",H287*INDEX(Resources!$I$2:$I$500,MATCH(E287,Resources!$A$2:$A$500,0)),0)</f>
        <v>24354</v>
      </c>
    </row>
    <row r="288" customFormat="false" ht="15" hidden="false" customHeight="false" outlineLevel="0" collapsed="false">
      <c r="A288" s="18" t="s">
        <v>1318</v>
      </c>
      <c r="B288" s="19" t="n">
        <v>46022</v>
      </c>
      <c r="C288" s="18" t="s">
        <v>265</v>
      </c>
      <c r="D288" s="18" t="s">
        <v>869</v>
      </c>
      <c r="E288" s="18" t="s">
        <v>360</v>
      </c>
      <c r="F288" s="18"/>
      <c r="G288" s="18" t="s">
        <v>1019</v>
      </c>
      <c r="H288" s="30" t="n">
        <v>125.1</v>
      </c>
      <c r="I288" s="18" t="s">
        <v>513</v>
      </c>
      <c r="J288" s="28" t="n">
        <v>13030.42</v>
      </c>
      <c r="K288" s="12" t="str">
        <f aca="false">TEXT(B288,"yyyy-mm")</f>
        <v>2025-12</v>
      </c>
      <c r="L288" s="21" t="str">
        <f aca="false">IFERROR(INDEX(Projects!$E$2:$E$500,MATCH(C288,Projects!$A$2:$A$500,0)),"")</f>
        <v>Digital Transformation</v>
      </c>
      <c r="M288" s="31" t="n">
        <f aca="false">IF(I288="Yes",H288*INDEX(Resources!$I$2:$I$500,MATCH(E288,Resources!$A$2:$A$500,0)),0)</f>
        <v>26271</v>
      </c>
    </row>
    <row r="289" customFormat="false" ht="15" hidden="false" customHeight="false" outlineLevel="0" collapsed="false">
      <c r="A289" s="18" t="s">
        <v>1319</v>
      </c>
      <c r="B289" s="19" t="n">
        <v>46022</v>
      </c>
      <c r="C289" s="18" t="s">
        <v>265</v>
      </c>
      <c r="D289" s="18" t="s">
        <v>869</v>
      </c>
      <c r="E289" s="18" t="s">
        <v>375</v>
      </c>
      <c r="F289" s="18"/>
      <c r="G289" s="18" t="s">
        <v>1019</v>
      </c>
      <c r="H289" s="30" t="n">
        <v>177.9</v>
      </c>
      <c r="I289" s="18" t="s">
        <v>513</v>
      </c>
      <c r="J289" s="28" t="n">
        <v>12853.27</v>
      </c>
      <c r="K289" s="12" t="str">
        <f aca="false">TEXT(B289,"yyyy-mm")</f>
        <v>2025-12</v>
      </c>
      <c r="L289" s="21" t="str">
        <f aca="false">IFERROR(INDEX(Projects!$E$2:$E$500,MATCH(C289,Projects!$A$2:$A$500,0)),"")</f>
        <v>Digital Transformation</v>
      </c>
      <c r="M289" s="31" t="n">
        <f aca="false">IF(I289="Yes",H289*INDEX(Resources!$I$2:$I$500,MATCH(E289,Resources!$A$2:$A$500,0)),0)</f>
        <v>21348</v>
      </c>
    </row>
    <row r="290" customFormat="false" ht="15" hidden="false" customHeight="false" outlineLevel="0" collapsed="false">
      <c r="A290" s="18" t="s">
        <v>1320</v>
      </c>
      <c r="B290" s="19" t="n">
        <v>46022</v>
      </c>
      <c r="C290" s="18" t="s">
        <v>265</v>
      </c>
      <c r="D290" s="18" t="s">
        <v>869</v>
      </c>
      <c r="E290" s="18" t="s">
        <v>403</v>
      </c>
      <c r="F290" s="18"/>
      <c r="G290" s="18" t="s">
        <v>1019</v>
      </c>
      <c r="H290" s="30" t="n">
        <v>193.6</v>
      </c>
      <c r="I290" s="18" t="s">
        <v>513</v>
      </c>
      <c r="J290" s="28" t="n">
        <v>16564.42</v>
      </c>
      <c r="K290" s="12" t="str">
        <f aca="false">TEXT(B290,"yyyy-mm")</f>
        <v>2025-12</v>
      </c>
      <c r="L290" s="21" t="str">
        <f aca="false">IFERROR(INDEX(Projects!$E$2:$E$500,MATCH(C290,Projects!$A$2:$A$500,0)),"")</f>
        <v>Digital Transformation</v>
      </c>
      <c r="M290" s="31" t="n">
        <f aca="false">IF(I290="Yes",H290*INDEX(Resources!$I$2:$I$500,MATCH(E290,Resources!$A$2:$A$500,0)),0)</f>
        <v>32912</v>
      </c>
    </row>
    <row r="291" customFormat="false" ht="15" hidden="false" customHeight="false" outlineLevel="0" collapsed="false">
      <c r="A291" s="18" t="s">
        <v>1321</v>
      </c>
      <c r="B291" s="19" t="n">
        <v>46022</v>
      </c>
      <c r="C291" s="18" t="s">
        <v>265</v>
      </c>
      <c r="D291" s="18" t="s">
        <v>869</v>
      </c>
      <c r="E291" s="18" t="s">
        <v>432</v>
      </c>
      <c r="F291" s="18"/>
      <c r="G291" s="18" t="s">
        <v>1019</v>
      </c>
      <c r="H291" s="30" t="n">
        <v>110.2</v>
      </c>
      <c r="I291" s="18" t="s">
        <v>513</v>
      </c>
      <c r="J291" s="28" t="n">
        <v>7052.8</v>
      </c>
      <c r="K291" s="12" t="str">
        <f aca="false">TEXT(B291,"yyyy-mm")</f>
        <v>2025-12</v>
      </c>
      <c r="L291" s="21" t="str">
        <f aca="false">IFERROR(INDEX(Projects!$E$2:$E$500,MATCH(C291,Projects!$A$2:$A$500,0)),"")</f>
        <v>Digital Transformation</v>
      </c>
      <c r="M291" s="31" t="n">
        <f aca="false">IF(I291="Yes",H291*INDEX(Resources!$I$2:$I$500,MATCH(E291,Resources!$A$2:$A$500,0)),0)</f>
        <v>14326</v>
      </c>
    </row>
    <row r="292" customFormat="false" ht="15" hidden="false" customHeight="false" outlineLevel="0" collapsed="false">
      <c r="A292" s="18" t="s">
        <v>1322</v>
      </c>
      <c r="B292" s="19" t="n">
        <v>46022</v>
      </c>
      <c r="C292" s="18" t="s">
        <v>265</v>
      </c>
      <c r="D292" s="18" t="s">
        <v>872</v>
      </c>
      <c r="E292" s="18"/>
      <c r="F292" s="18" t="s">
        <v>353</v>
      </c>
      <c r="G292" s="18" t="s">
        <v>1026</v>
      </c>
      <c r="H292" s="30" t="n">
        <v>0</v>
      </c>
      <c r="I292" s="18" t="s">
        <v>527</v>
      </c>
      <c r="J292" s="28" t="n">
        <v>3735.87</v>
      </c>
      <c r="K292" s="12" t="str">
        <f aca="false">TEXT(B292,"yyyy-mm")</f>
        <v>2025-12</v>
      </c>
      <c r="L292" s="21" t="str">
        <f aca="false">IFERROR(INDEX(Projects!$E$2:$E$500,MATCH(C292,Projects!$A$2:$A$500,0)),"")</f>
        <v>Digital Transformation</v>
      </c>
      <c r="M292" s="31" t="n">
        <f aca="false">IF(I292="Yes",H292*INDEX(Resources!$I$2:$I$500,MATCH(E292,Resources!$A$2:$A$500,0)),0)</f>
        <v>0</v>
      </c>
    </row>
    <row r="293" customFormat="false" ht="15" hidden="false" customHeight="false" outlineLevel="0" collapsed="false">
      <c r="A293" s="18" t="s">
        <v>1323</v>
      </c>
      <c r="B293" s="19" t="n">
        <v>46022</v>
      </c>
      <c r="C293" s="18" t="s">
        <v>265</v>
      </c>
      <c r="D293" s="18" t="s">
        <v>874</v>
      </c>
      <c r="E293" s="18"/>
      <c r="F293" s="18" t="s">
        <v>1028</v>
      </c>
      <c r="G293" s="18" t="s">
        <v>1026</v>
      </c>
      <c r="H293" s="30" t="n">
        <v>0</v>
      </c>
      <c r="I293" s="18" t="s">
        <v>527</v>
      </c>
      <c r="J293" s="28" t="n">
        <v>4999.88</v>
      </c>
      <c r="K293" s="12" t="str">
        <f aca="false">TEXT(B293,"yyyy-mm")</f>
        <v>2025-12</v>
      </c>
      <c r="L293" s="21" t="str">
        <f aca="false">IFERROR(INDEX(Projects!$E$2:$E$500,MATCH(C293,Projects!$A$2:$A$500,0)),"")</f>
        <v>Digital Transformation</v>
      </c>
      <c r="M293" s="31" t="n">
        <f aca="false">IF(I293="Yes",H293*INDEX(Resources!$I$2:$I$500,MATCH(E293,Resources!$A$2:$A$500,0)),0)</f>
        <v>0</v>
      </c>
    </row>
    <row r="294" customFormat="false" ht="15" hidden="false" customHeight="false" outlineLevel="0" collapsed="false">
      <c r="A294" s="18" t="s">
        <v>1324</v>
      </c>
      <c r="B294" s="19" t="n">
        <v>46022</v>
      </c>
      <c r="C294" s="18" t="s">
        <v>265</v>
      </c>
      <c r="D294" s="18" t="s">
        <v>495</v>
      </c>
      <c r="E294" s="18"/>
      <c r="F294" s="18" t="s">
        <v>1030</v>
      </c>
      <c r="G294" s="18" t="s">
        <v>1026</v>
      </c>
      <c r="H294" s="30" t="n">
        <v>0</v>
      </c>
      <c r="I294" s="18" t="s">
        <v>527</v>
      </c>
      <c r="J294" s="28" t="n">
        <v>1485.3</v>
      </c>
      <c r="K294" s="12" t="str">
        <f aca="false">TEXT(B294,"yyyy-mm")</f>
        <v>2025-12</v>
      </c>
      <c r="L294" s="21" t="str">
        <f aca="false">IFERROR(INDEX(Projects!$E$2:$E$500,MATCH(C294,Projects!$A$2:$A$500,0)),"")</f>
        <v>Digital Transformation</v>
      </c>
      <c r="M294" s="31" t="n">
        <f aca="false">IF(I294="Yes",H294*INDEX(Resources!$I$2:$I$500,MATCH(E294,Resources!$A$2:$A$500,0)),0)</f>
        <v>0</v>
      </c>
    </row>
    <row r="295" customFormat="false" ht="15" hidden="false" customHeight="false" outlineLevel="0" collapsed="false">
      <c r="A295" s="18" t="s">
        <v>1325</v>
      </c>
      <c r="B295" s="19" t="n">
        <v>46022</v>
      </c>
      <c r="C295" s="18" t="s">
        <v>265</v>
      </c>
      <c r="D295" s="18" t="s">
        <v>876</v>
      </c>
      <c r="E295" s="18"/>
      <c r="F295" s="18" t="s">
        <v>1071</v>
      </c>
      <c r="G295" s="18" t="s">
        <v>1033</v>
      </c>
      <c r="H295" s="30" t="n">
        <v>0</v>
      </c>
      <c r="I295" s="18" t="s">
        <v>527</v>
      </c>
      <c r="J295" s="28" t="n">
        <v>1092.57</v>
      </c>
      <c r="K295" s="12" t="str">
        <f aca="false">TEXT(B295,"yyyy-mm")</f>
        <v>2025-12</v>
      </c>
      <c r="L295" s="21" t="str">
        <f aca="false">IFERROR(INDEX(Projects!$E$2:$E$500,MATCH(C295,Projects!$A$2:$A$500,0)),"")</f>
        <v>Digital Transformation</v>
      </c>
      <c r="M295" s="31" t="n">
        <f aca="false">IF(I295="Yes",H295*INDEX(Resources!$I$2:$I$500,MATCH(E295,Resources!$A$2:$A$500,0)),0)</f>
        <v>0</v>
      </c>
    </row>
    <row r="296" customFormat="false" ht="15" hidden="false" customHeight="false" outlineLevel="0" collapsed="false">
      <c r="A296" s="18" t="s">
        <v>1326</v>
      </c>
      <c r="B296" s="19" t="n">
        <v>46022</v>
      </c>
      <c r="C296" s="18" t="s">
        <v>267</v>
      </c>
      <c r="D296" s="18" t="s">
        <v>889</v>
      </c>
      <c r="E296" s="18"/>
      <c r="F296" s="18" t="s">
        <v>1035</v>
      </c>
      <c r="G296" s="18" t="s">
        <v>1026</v>
      </c>
      <c r="H296" s="30" t="n">
        <v>0</v>
      </c>
      <c r="I296" s="18" t="s">
        <v>527</v>
      </c>
      <c r="J296" s="28" t="n">
        <v>4907.76</v>
      </c>
      <c r="K296" s="12" t="str">
        <f aca="false">TEXT(B296,"yyyy-mm")</f>
        <v>2025-12</v>
      </c>
      <c r="L296" s="21" t="str">
        <f aca="false">IFERROR(INDEX(Projects!$E$2:$E$500,MATCH(C296,Projects!$A$2:$A$500,0)),"")</f>
        <v>Cloud &amp; Infrastructure</v>
      </c>
      <c r="M296" s="31" t="n">
        <f aca="false">IF(I296="Yes",H296*INDEX(Resources!$I$2:$I$500,MATCH(E296,Resources!$A$2:$A$500,0)),0)</f>
        <v>0</v>
      </c>
    </row>
    <row r="297" customFormat="false" ht="15" hidden="false" customHeight="false" outlineLevel="0" collapsed="false">
      <c r="A297" s="18" t="s">
        <v>1327</v>
      </c>
      <c r="B297" s="19" t="n">
        <v>46022</v>
      </c>
      <c r="C297" s="18" t="s">
        <v>267</v>
      </c>
      <c r="D297" s="18" t="s">
        <v>869</v>
      </c>
      <c r="E297" s="18" t="s">
        <v>242</v>
      </c>
      <c r="F297" s="18"/>
      <c r="G297" s="18" t="s">
        <v>1019</v>
      </c>
      <c r="H297" s="30" t="n">
        <v>46.5</v>
      </c>
      <c r="I297" s="18" t="s">
        <v>513</v>
      </c>
      <c r="J297" s="28" t="n">
        <v>4419.36</v>
      </c>
      <c r="K297" s="12" t="str">
        <f aca="false">TEXT(B297,"yyyy-mm")</f>
        <v>2025-12</v>
      </c>
      <c r="L297" s="21" t="str">
        <f aca="false">IFERROR(INDEX(Projects!$E$2:$E$500,MATCH(C297,Projects!$A$2:$A$500,0)),"")</f>
        <v>Cloud &amp; Infrastructure</v>
      </c>
      <c r="M297" s="31" t="n">
        <f aca="false">IF(I297="Yes",H297*INDEX(Resources!$I$2:$I$500,MATCH(E297,Resources!$A$2:$A$500,0)),0)</f>
        <v>8835</v>
      </c>
    </row>
    <row r="298" customFormat="false" ht="15" hidden="false" customHeight="false" outlineLevel="0" collapsed="false">
      <c r="A298" s="18" t="s">
        <v>1328</v>
      </c>
      <c r="B298" s="19" t="n">
        <v>46022</v>
      </c>
      <c r="C298" s="18" t="s">
        <v>267</v>
      </c>
      <c r="D298" s="18" t="s">
        <v>869</v>
      </c>
      <c r="E298" s="18" t="s">
        <v>348</v>
      </c>
      <c r="F298" s="18"/>
      <c r="G298" s="18" t="s">
        <v>1019</v>
      </c>
      <c r="H298" s="30" t="n">
        <v>46.6</v>
      </c>
      <c r="I298" s="18" t="s">
        <v>513</v>
      </c>
      <c r="J298" s="28" t="n">
        <v>6054.27</v>
      </c>
      <c r="K298" s="12" t="str">
        <f aca="false">TEXT(B298,"yyyy-mm")</f>
        <v>2025-12</v>
      </c>
      <c r="L298" s="21" t="str">
        <f aca="false">IFERROR(INDEX(Projects!$E$2:$E$500,MATCH(C298,Projects!$A$2:$A$500,0)),"")</f>
        <v>Cloud &amp; Infrastructure</v>
      </c>
      <c r="M298" s="31" t="n">
        <f aca="false">IF(I298="Yes",H298*INDEX(Resources!$I$2:$I$500,MATCH(E298,Resources!$A$2:$A$500,0)),0)</f>
        <v>12116</v>
      </c>
    </row>
    <row r="299" customFormat="false" ht="15" hidden="false" customHeight="false" outlineLevel="0" collapsed="false">
      <c r="A299" s="18" t="s">
        <v>1329</v>
      </c>
      <c r="B299" s="19" t="n">
        <v>46022</v>
      </c>
      <c r="C299" s="18" t="s">
        <v>267</v>
      </c>
      <c r="D299" s="18" t="s">
        <v>869</v>
      </c>
      <c r="E299" s="18" t="s">
        <v>405</v>
      </c>
      <c r="F299" s="18"/>
      <c r="G299" s="18" t="s">
        <v>1019</v>
      </c>
      <c r="H299" s="30" t="n">
        <v>97</v>
      </c>
      <c r="I299" s="18" t="s">
        <v>513</v>
      </c>
      <c r="J299" s="28" t="n">
        <v>9637.92</v>
      </c>
      <c r="K299" s="12" t="str">
        <f aca="false">TEXT(B299,"yyyy-mm")</f>
        <v>2025-12</v>
      </c>
      <c r="L299" s="21" t="str">
        <f aca="false">IFERROR(INDEX(Projects!$E$2:$E$500,MATCH(C299,Projects!$A$2:$A$500,0)),"")</f>
        <v>Cloud &amp; Infrastructure</v>
      </c>
      <c r="M299" s="31" t="n">
        <f aca="false">IF(I299="Yes",H299*INDEX(Resources!$I$2:$I$500,MATCH(E299,Resources!$A$2:$A$500,0)),0)</f>
        <v>19400</v>
      </c>
    </row>
    <row r="300" customFormat="false" ht="15" hidden="false" customHeight="false" outlineLevel="0" collapsed="false">
      <c r="A300" s="18" t="s">
        <v>1330</v>
      </c>
      <c r="B300" s="19" t="n">
        <v>46022</v>
      </c>
      <c r="C300" s="18" t="s">
        <v>267</v>
      </c>
      <c r="D300" s="18" t="s">
        <v>869</v>
      </c>
      <c r="E300" s="18" t="s">
        <v>477</v>
      </c>
      <c r="F300" s="18"/>
      <c r="G300" s="18" t="s">
        <v>1019</v>
      </c>
      <c r="H300" s="30" t="n">
        <v>133.8</v>
      </c>
      <c r="I300" s="18" t="s">
        <v>513</v>
      </c>
      <c r="J300" s="28" t="n">
        <v>14589.55</v>
      </c>
      <c r="K300" s="12" t="str">
        <f aca="false">TEXT(B300,"yyyy-mm")</f>
        <v>2025-12</v>
      </c>
      <c r="L300" s="21" t="str">
        <f aca="false">IFERROR(INDEX(Projects!$E$2:$E$500,MATCH(C300,Projects!$A$2:$A$500,0)),"")</f>
        <v>Cloud &amp; Infrastructure</v>
      </c>
      <c r="M300" s="31" t="n">
        <f aca="false">IF(I300="Yes",H300*INDEX(Resources!$I$2:$I$500,MATCH(E300,Resources!$A$2:$A$500,0)),0)</f>
        <v>29436</v>
      </c>
    </row>
    <row r="301" customFormat="false" ht="15" hidden="false" customHeight="false" outlineLevel="0" collapsed="false">
      <c r="A301" s="18" t="s">
        <v>1331</v>
      </c>
      <c r="B301" s="19" t="n">
        <v>46022</v>
      </c>
      <c r="C301" s="18" t="s">
        <v>267</v>
      </c>
      <c r="D301" s="18" t="s">
        <v>869</v>
      </c>
      <c r="E301" s="18" t="s">
        <v>489</v>
      </c>
      <c r="F301" s="18"/>
      <c r="G301" s="18" t="s">
        <v>1019</v>
      </c>
      <c r="H301" s="30" t="n">
        <v>95.7</v>
      </c>
      <c r="I301" s="18" t="s">
        <v>513</v>
      </c>
      <c r="J301" s="28" t="n">
        <v>8230.2</v>
      </c>
      <c r="K301" s="12" t="str">
        <f aca="false">TEXT(B301,"yyyy-mm")</f>
        <v>2025-12</v>
      </c>
      <c r="L301" s="21" t="str">
        <f aca="false">IFERROR(INDEX(Projects!$E$2:$E$500,MATCH(C301,Projects!$A$2:$A$500,0)),"")</f>
        <v>Cloud &amp; Infrastructure</v>
      </c>
      <c r="M301" s="31" t="n">
        <f aca="false">IF(I301="Yes",H301*INDEX(Resources!$I$2:$I$500,MATCH(E301,Resources!$A$2:$A$500,0)),0)</f>
        <v>16747.5</v>
      </c>
    </row>
    <row r="302" customFormat="false" ht="15" hidden="false" customHeight="false" outlineLevel="0" collapsed="false">
      <c r="A302" s="18" t="s">
        <v>1332</v>
      </c>
      <c r="B302" s="19" t="n">
        <v>46022</v>
      </c>
      <c r="C302" s="18" t="s">
        <v>267</v>
      </c>
      <c r="D302" s="18" t="s">
        <v>872</v>
      </c>
      <c r="E302" s="18"/>
      <c r="F302" s="18" t="s">
        <v>1059</v>
      </c>
      <c r="G302" s="18" t="s">
        <v>1026</v>
      </c>
      <c r="H302" s="30" t="n">
        <v>0</v>
      </c>
      <c r="I302" s="18" t="s">
        <v>527</v>
      </c>
      <c r="J302" s="28" t="n">
        <v>1843.13</v>
      </c>
      <c r="K302" s="12" t="str">
        <f aca="false">TEXT(B302,"yyyy-mm")</f>
        <v>2025-12</v>
      </c>
      <c r="L302" s="21" t="str">
        <f aca="false">IFERROR(INDEX(Projects!$E$2:$E$500,MATCH(C302,Projects!$A$2:$A$500,0)),"")</f>
        <v>Cloud &amp; Infrastructure</v>
      </c>
      <c r="M302" s="31" t="n">
        <f aca="false">IF(I302="Yes",H302*INDEX(Resources!$I$2:$I$500,MATCH(E302,Resources!$A$2:$A$500,0)),0)</f>
        <v>0</v>
      </c>
    </row>
    <row r="303" customFormat="false" ht="15" hidden="false" customHeight="false" outlineLevel="0" collapsed="false">
      <c r="A303" s="18" t="s">
        <v>1333</v>
      </c>
      <c r="B303" s="19" t="n">
        <v>46022</v>
      </c>
      <c r="C303" s="18" t="s">
        <v>267</v>
      </c>
      <c r="D303" s="18" t="s">
        <v>876</v>
      </c>
      <c r="E303" s="18"/>
      <c r="F303" s="18" t="s">
        <v>1032</v>
      </c>
      <c r="G303" s="18" t="s">
        <v>1033</v>
      </c>
      <c r="H303" s="30" t="n">
        <v>0</v>
      </c>
      <c r="I303" s="18" t="s">
        <v>527</v>
      </c>
      <c r="J303" s="28" t="n">
        <v>797.35</v>
      </c>
      <c r="K303" s="12" t="str">
        <f aca="false">TEXT(B303,"yyyy-mm")</f>
        <v>2025-12</v>
      </c>
      <c r="L303" s="21" t="str">
        <f aca="false">IFERROR(INDEX(Projects!$E$2:$E$500,MATCH(C303,Projects!$A$2:$A$500,0)),"")</f>
        <v>Cloud &amp; Infrastructure</v>
      </c>
      <c r="M303" s="31" t="n">
        <f aca="false">IF(I303="Yes",H303*INDEX(Resources!$I$2:$I$500,MATCH(E303,Resources!$A$2:$A$500,0)),0)</f>
        <v>0</v>
      </c>
    </row>
    <row r="304" customFormat="false" ht="15" hidden="false" customHeight="false" outlineLevel="0" collapsed="false">
      <c r="A304" s="18" t="s">
        <v>1334</v>
      </c>
      <c r="B304" s="19" t="n">
        <v>46022</v>
      </c>
      <c r="C304" s="18" t="s">
        <v>277</v>
      </c>
      <c r="D304" s="18" t="s">
        <v>889</v>
      </c>
      <c r="E304" s="18"/>
      <c r="F304" s="18" t="s">
        <v>1035</v>
      </c>
      <c r="G304" s="18" t="s">
        <v>1026</v>
      </c>
      <c r="H304" s="30" t="n">
        <v>0</v>
      </c>
      <c r="I304" s="18" t="s">
        <v>527</v>
      </c>
      <c r="J304" s="28" t="n">
        <v>5168.52</v>
      </c>
      <c r="K304" s="12" t="str">
        <f aca="false">TEXT(B304,"yyyy-mm")</f>
        <v>2025-12</v>
      </c>
      <c r="L304" s="21" t="str">
        <f aca="false">IFERROR(INDEX(Projects!$E$2:$E$500,MATCH(C304,Projects!$A$2:$A$500,0)),"")</f>
        <v>Cloud &amp; Infrastructure</v>
      </c>
      <c r="M304" s="31" t="n">
        <f aca="false">IF(I304="Yes",H304*INDEX(Resources!$I$2:$I$500,MATCH(E304,Resources!$A$2:$A$500,0)),0)</f>
        <v>0</v>
      </c>
    </row>
    <row r="305" customFormat="false" ht="15" hidden="false" customHeight="false" outlineLevel="0" collapsed="false">
      <c r="A305" s="18" t="s">
        <v>1335</v>
      </c>
      <c r="B305" s="19" t="n">
        <v>46022</v>
      </c>
      <c r="C305" s="18" t="s">
        <v>277</v>
      </c>
      <c r="D305" s="18" t="s">
        <v>869</v>
      </c>
      <c r="E305" s="18" t="s">
        <v>226</v>
      </c>
      <c r="F305" s="18"/>
      <c r="G305" s="18" t="s">
        <v>1019</v>
      </c>
      <c r="H305" s="30" t="n">
        <v>55.4</v>
      </c>
      <c r="I305" s="18" t="s">
        <v>513</v>
      </c>
      <c r="J305" s="28" t="n">
        <v>4875.2</v>
      </c>
      <c r="K305" s="12" t="str">
        <f aca="false">TEXT(B305,"yyyy-mm")</f>
        <v>2025-12</v>
      </c>
      <c r="L305" s="21" t="str">
        <f aca="false">IFERROR(INDEX(Projects!$E$2:$E$500,MATCH(C305,Projects!$A$2:$A$500,0)),"")</f>
        <v>Cloud &amp; Infrastructure</v>
      </c>
      <c r="M305" s="31" t="n">
        <f aca="false">IF(I305="Yes",H305*INDEX(Resources!$I$2:$I$500,MATCH(E305,Resources!$A$2:$A$500,0)),0)</f>
        <v>9695</v>
      </c>
    </row>
    <row r="306" customFormat="false" ht="15" hidden="false" customHeight="false" outlineLevel="0" collapsed="false">
      <c r="A306" s="18" t="s">
        <v>1336</v>
      </c>
      <c r="B306" s="19" t="n">
        <v>46022</v>
      </c>
      <c r="C306" s="18" t="s">
        <v>277</v>
      </c>
      <c r="D306" s="18" t="s">
        <v>869</v>
      </c>
      <c r="E306" s="18" t="s">
        <v>400</v>
      </c>
      <c r="F306" s="18"/>
      <c r="G306" s="18" t="s">
        <v>1019</v>
      </c>
      <c r="H306" s="30" t="n">
        <v>59.2</v>
      </c>
      <c r="I306" s="18" t="s">
        <v>513</v>
      </c>
      <c r="J306" s="28" t="n">
        <v>5882.11</v>
      </c>
      <c r="K306" s="12" t="str">
        <f aca="false">TEXT(B306,"yyyy-mm")</f>
        <v>2025-12</v>
      </c>
      <c r="L306" s="21" t="str">
        <f aca="false">IFERROR(INDEX(Projects!$E$2:$E$500,MATCH(C306,Projects!$A$2:$A$500,0)),"")</f>
        <v>Cloud &amp; Infrastructure</v>
      </c>
      <c r="M306" s="31" t="n">
        <f aca="false">IF(I306="Yes",H306*INDEX(Resources!$I$2:$I$500,MATCH(E306,Resources!$A$2:$A$500,0)),0)</f>
        <v>11840</v>
      </c>
    </row>
    <row r="307" customFormat="false" ht="15" hidden="false" customHeight="false" outlineLevel="0" collapsed="false">
      <c r="A307" s="18" t="s">
        <v>1337</v>
      </c>
      <c r="B307" s="19" t="n">
        <v>46022</v>
      </c>
      <c r="C307" s="18" t="s">
        <v>277</v>
      </c>
      <c r="D307" s="18" t="s">
        <v>869</v>
      </c>
      <c r="E307" s="18" t="s">
        <v>470</v>
      </c>
      <c r="F307" s="18"/>
      <c r="G307" s="18" t="s">
        <v>1019</v>
      </c>
      <c r="H307" s="30" t="n">
        <v>117.7</v>
      </c>
      <c r="I307" s="18" t="s">
        <v>513</v>
      </c>
      <c r="J307" s="28" t="n">
        <v>12834.01</v>
      </c>
      <c r="K307" s="12" t="str">
        <f aca="false">TEXT(B307,"yyyy-mm")</f>
        <v>2025-12</v>
      </c>
      <c r="L307" s="21" t="str">
        <f aca="false">IFERROR(INDEX(Projects!$E$2:$E$500,MATCH(C307,Projects!$A$2:$A$500,0)),"")</f>
        <v>Cloud &amp; Infrastructure</v>
      </c>
      <c r="M307" s="31" t="n">
        <f aca="false">IF(I307="Yes",H307*INDEX(Resources!$I$2:$I$500,MATCH(E307,Resources!$A$2:$A$500,0)),0)</f>
        <v>25894</v>
      </c>
    </row>
    <row r="308" customFormat="false" ht="15" hidden="false" customHeight="false" outlineLevel="0" collapsed="false">
      <c r="A308" s="18" t="s">
        <v>1338</v>
      </c>
      <c r="B308" s="19" t="n">
        <v>46022</v>
      </c>
      <c r="C308" s="18" t="s">
        <v>277</v>
      </c>
      <c r="D308" s="18" t="s">
        <v>869</v>
      </c>
      <c r="E308" s="18" t="s">
        <v>489</v>
      </c>
      <c r="F308" s="18"/>
      <c r="G308" s="18" t="s">
        <v>1019</v>
      </c>
      <c r="H308" s="30" t="n">
        <v>55.8</v>
      </c>
      <c r="I308" s="18" t="s">
        <v>513</v>
      </c>
      <c r="J308" s="28" t="n">
        <v>4798.8</v>
      </c>
      <c r="K308" s="12" t="str">
        <f aca="false">TEXT(B308,"yyyy-mm")</f>
        <v>2025-12</v>
      </c>
      <c r="L308" s="21" t="str">
        <f aca="false">IFERROR(INDEX(Projects!$E$2:$E$500,MATCH(C308,Projects!$A$2:$A$500,0)),"")</f>
        <v>Cloud &amp; Infrastructure</v>
      </c>
      <c r="M308" s="31" t="n">
        <f aca="false">IF(I308="Yes",H308*INDEX(Resources!$I$2:$I$500,MATCH(E308,Resources!$A$2:$A$500,0)),0)</f>
        <v>9765</v>
      </c>
    </row>
    <row r="309" customFormat="false" ht="15" hidden="false" customHeight="false" outlineLevel="0" collapsed="false">
      <c r="A309" s="18" t="s">
        <v>1339</v>
      </c>
      <c r="B309" s="19" t="n">
        <v>46022</v>
      </c>
      <c r="C309" s="18" t="s">
        <v>277</v>
      </c>
      <c r="D309" s="18" t="s">
        <v>872</v>
      </c>
      <c r="E309" s="18"/>
      <c r="F309" s="18" t="s">
        <v>1025</v>
      </c>
      <c r="G309" s="18" t="s">
        <v>1026</v>
      </c>
      <c r="H309" s="30" t="n">
        <v>0</v>
      </c>
      <c r="I309" s="18" t="s">
        <v>527</v>
      </c>
      <c r="J309" s="28" t="n">
        <v>1757.07</v>
      </c>
      <c r="K309" s="12" t="str">
        <f aca="false">TEXT(B309,"yyyy-mm")</f>
        <v>2025-12</v>
      </c>
      <c r="L309" s="21" t="str">
        <f aca="false">IFERROR(INDEX(Projects!$E$2:$E$500,MATCH(C309,Projects!$A$2:$A$500,0)),"")</f>
        <v>Cloud &amp; Infrastructure</v>
      </c>
      <c r="M309" s="31" t="n">
        <f aca="false">IF(I309="Yes",H309*INDEX(Resources!$I$2:$I$500,MATCH(E309,Resources!$A$2:$A$500,0)),0)</f>
        <v>0</v>
      </c>
    </row>
    <row r="310" customFormat="false" ht="15" hidden="false" customHeight="false" outlineLevel="0" collapsed="false">
      <c r="A310" s="18" t="s">
        <v>1340</v>
      </c>
      <c r="B310" s="19" t="n">
        <v>46022</v>
      </c>
      <c r="C310" s="18" t="s">
        <v>277</v>
      </c>
      <c r="D310" s="18" t="s">
        <v>876</v>
      </c>
      <c r="E310" s="18"/>
      <c r="F310" s="18" t="s">
        <v>1071</v>
      </c>
      <c r="G310" s="18" t="s">
        <v>1033</v>
      </c>
      <c r="H310" s="30" t="n">
        <v>0</v>
      </c>
      <c r="I310" s="18" t="s">
        <v>527</v>
      </c>
      <c r="J310" s="28" t="n">
        <v>765.94</v>
      </c>
      <c r="K310" s="12" t="str">
        <f aca="false">TEXT(B310,"yyyy-mm")</f>
        <v>2025-12</v>
      </c>
      <c r="L310" s="21" t="str">
        <f aca="false">IFERROR(INDEX(Projects!$E$2:$E$500,MATCH(C310,Projects!$A$2:$A$500,0)),"")</f>
        <v>Cloud &amp; Infrastructure</v>
      </c>
      <c r="M310" s="31" t="n">
        <f aca="false">IF(I310="Yes",H310*INDEX(Resources!$I$2:$I$500,MATCH(E310,Resources!$A$2:$A$500,0)),0)</f>
        <v>0</v>
      </c>
    </row>
    <row r="311" customFormat="false" ht="15" hidden="false" customHeight="false" outlineLevel="0" collapsed="false">
      <c r="A311" s="18" t="s">
        <v>1341</v>
      </c>
      <c r="B311" s="19" t="n">
        <v>46022</v>
      </c>
      <c r="C311" s="18" t="s">
        <v>281</v>
      </c>
      <c r="D311" s="18" t="s">
        <v>869</v>
      </c>
      <c r="E311" s="18" t="s">
        <v>247</v>
      </c>
      <c r="F311" s="18"/>
      <c r="G311" s="18" t="s">
        <v>1019</v>
      </c>
      <c r="H311" s="30" t="n">
        <v>97.5</v>
      </c>
      <c r="I311" s="18" t="s">
        <v>513</v>
      </c>
      <c r="J311" s="28" t="n">
        <v>8580</v>
      </c>
      <c r="K311" s="12" t="str">
        <f aca="false">TEXT(B311,"yyyy-mm")</f>
        <v>2025-12</v>
      </c>
      <c r="L311" s="21" t="str">
        <f aca="false">IFERROR(INDEX(Projects!$E$2:$E$500,MATCH(C311,Projects!$A$2:$A$500,0)),"")</f>
        <v>Digital Transformation</v>
      </c>
      <c r="M311" s="31" t="n">
        <f aca="false">IF(I311="Yes",H311*INDEX(Resources!$I$2:$I$500,MATCH(E311,Resources!$A$2:$A$500,0)),0)</f>
        <v>17062.5</v>
      </c>
    </row>
    <row r="312" customFormat="false" ht="15" hidden="false" customHeight="false" outlineLevel="0" collapsed="false">
      <c r="A312" s="18" t="s">
        <v>1342</v>
      </c>
      <c r="B312" s="19" t="n">
        <v>46022</v>
      </c>
      <c r="C312" s="18" t="s">
        <v>281</v>
      </c>
      <c r="D312" s="18" t="s">
        <v>869</v>
      </c>
      <c r="E312" s="18" t="s">
        <v>371</v>
      </c>
      <c r="F312" s="18"/>
      <c r="G312" s="18" t="s">
        <v>1019</v>
      </c>
      <c r="H312" s="30" t="n">
        <v>160.8</v>
      </c>
      <c r="I312" s="18" t="s">
        <v>513</v>
      </c>
      <c r="J312" s="28" t="n">
        <v>10168.99</v>
      </c>
      <c r="K312" s="12" t="str">
        <f aca="false">TEXT(B312,"yyyy-mm")</f>
        <v>2025-12</v>
      </c>
      <c r="L312" s="21" t="str">
        <f aca="false">IFERROR(INDEX(Projects!$E$2:$E$500,MATCH(C312,Projects!$A$2:$A$500,0)),"")</f>
        <v>Digital Transformation</v>
      </c>
      <c r="M312" s="31" t="n">
        <f aca="false">IF(I312="Yes",H312*INDEX(Resources!$I$2:$I$500,MATCH(E312,Resources!$A$2:$A$500,0)),0)</f>
        <v>20904</v>
      </c>
    </row>
    <row r="313" customFormat="false" ht="15" hidden="false" customHeight="false" outlineLevel="0" collapsed="false">
      <c r="A313" s="18" t="s">
        <v>1343</v>
      </c>
      <c r="B313" s="19" t="n">
        <v>46022</v>
      </c>
      <c r="C313" s="18" t="s">
        <v>281</v>
      </c>
      <c r="D313" s="18" t="s">
        <v>869</v>
      </c>
      <c r="E313" s="18" t="s">
        <v>395</v>
      </c>
      <c r="F313" s="18"/>
      <c r="G313" s="18" t="s">
        <v>1019</v>
      </c>
      <c r="H313" s="30" t="n">
        <v>135</v>
      </c>
      <c r="I313" s="18" t="s">
        <v>513</v>
      </c>
      <c r="J313" s="28" t="n">
        <v>14438.25</v>
      </c>
      <c r="K313" s="12" t="str">
        <f aca="false">TEXT(B313,"yyyy-mm")</f>
        <v>2025-12</v>
      </c>
      <c r="L313" s="21" t="str">
        <f aca="false">IFERROR(INDEX(Projects!$E$2:$E$500,MATCH(C313,Projects!$A$2:$A$500,0)),"")</f>
        <v>Digital Transformation</v>
      </c>
      <c r="M313" s="31" t="n">
        <f aca="false">IF(I313="Yes",H313*INDEX(Resources!$I$2:$I$500,MATCH(E313,Resources!$A$2:$A$500,0)),0)</f>
        <v>22950</v>
      </c>
    </row>
    <row r="314" customFormat="false" ht="15" hidden="false" customHeight="false" outlineLevel="0" collapsed="false">
      <c r="A314" s="18" t="s">
        <v>1344</v>
      </c>
      <c r="B314" s="19" t="n">
        <v>46022</v>
      </c>
      <c r="C314" s="18" t="s">
        <v>281</v>
      </c>
      <c r="D314" s="18" t="s">
        <v>869</v>
      </c>
      <c r="E314" s="18" t="s">
        <v>417</v>
      </c>
      <c r="F314" s="18"/>
      <c r="G314" s="18" t="s">
        <v>1019</v>
      </c>
      <c r="H314" s="30" t="n">
        <v>175.4</v>
      </c>
      <c r="I314" s="18" t="s">
        <v>513</v>
      </c>
      <c r="J314" s="28" t="n">
        <v>9541.76</v>
      </c>
      <c r="K314" s="12" t="str">
        <f aca="false">TEXT(B314,"yyyy-mm")</f>
        <v>2025-12</v>
      </c>
      <c r="L314" s="21" t="str">
        <f aca="false">IFERROR(INDEX(Projects!$E$2:$E$500,MATCH(C314,Projects!$A$2:$A$500,0)),"")</f>
        <v>Digital Transformation</v>
      </c>
      <c r="M314" s="31" t="n">
        <f aca="false">IF(I314="Yes",H314*INDEX(Resources!$I$2:$I$500,MATCH(E314,Resources!$A$2:$A$500,0)),0)</f>
        <v>19294</v>
      </c>
    </row>
    <row r="315" customFormat="false" ht="15" hidden="false" customHeight="false" outlineLevel="0" collapsed="false">
      <c r="A315" s="18" t="s">
        <v>1345</v>
      </c>
      <c r="B315" s="19" t="n">
        <v>46022</v>
      </c>
      <c r="C315" s="18" t="s">
        <v>281</v>
      </c>
      <c r="D315" s="18" t="s">
        <v>869</v>
      </c>
      <c r="E315" s="18" t="s">
        <v>434</v>
      </c>
      <c r="F315" s="18"/>
      <c r="G315" s="18" t="s">
        <v>1019</v>
      </c>
      <c r="H315" s="30" t="n">
        <v>93.2</v>
      </c>
      <c r="I315" s="18" t="s">
        <v>513</v>
      </c>
      <c r="J315" s="28" t="n">
        <v>6054.27</v>
      </c>
      <c r="K315" s="12" t="str">
        <f aca="false">TEXT(B315,"yyyy-mm")</f>
        <v>2025-12</v>
      </c>
      <c r="L315" s="21" t="str">
        <f aca="false">IFERROR(INDEX(Projects!$E$2:$E$500,MATCH(C315,Projects!$A$2:$A$500,0)),"")</f>
        <v>Digital Transformation</v>
      </c>
      <c r="M315" s="31" t="n">
        <f aca="false">IF(I315="Yes",H315*INDEX(Resources!$I$2:$I$500,MATCH(E315,Resources!$A$2:$A$500,0)),0)</f>
        <v>12582</v>
      </c>
    </row>
    <row r="316" customFormat="false" ht="15" hidden="false" customHeight="false" outlineLevel="0" collapsed="false">
      <c r="A316" s="18" t="s">
        <v>1346</v>
      </c>
      <c r="B316" s="19" t="n">
        <v>46022</v>
      </c>
      <c r="C316" s="18" t="s">
        <v>281</v>
      </c>
      <c r="D316" s="18" t="s">
        <v>869</v>
      </c>
      <c r="E316" s="18" t="s">
        <v>492</v>
      </c>
      <c r="F316" s="18"/>
      <c r="G316" s="18" t="s">
        <v>1019</v>
      </c>
      <c r="H316" s="30" t="n">
        <v>50.9</v>
      </c>
      <c r="I316" s="18" t="s">
        <v>513</v>
      </c>
      <c r="J316" s="28" t="n">
        <v>4251.17</v>
      </c>
      <c r="K316" s="12" t="str">
        <f aca="false">TEXT(B316,"yyyy-mm")</f>
        <v>2025-12</v>
      </c>
      <c r="L316" s="21" t="str">
        <f aca="false">IFERROR(INDEX(Projects!$E$2:$E$500,MATCH(C316,Projects!$A$2:$A$500,0)),"")</f>
        <v>Digital Transformation</v>
      </c>
      <c r="M316" s="31" t="n">
        <f aca="false">IF(I316="Yes",H316*INDEX(Resources!$I$2:$I$500,MATCH(E316,Resources!$A$2:$A$500,0)),0)</f>
        <v>8907.5</v>
      </c>
    </row>
    <row r="317" customFormat="false" ht="15" hidden="false" customHeight="false" outlineLevel="0" collapsed="false">
      <c r="A317" s="18" t="s">
        <v>1347</v>
      </c>
      <c r="B317" s="19" t="n">
        <v>46022</v>
      </c>
      <c r="C317" s="18" t="s">
        <v>281</v>
      </c>
      <c r="D317" s="18" t="s">
        <v>872</v>
      </c>
      <c r="E317" s="18"/>
      <c r="F317" s="18" t="s">
        <v>1025</v>
      </c>
      <c r="G317" s="18" t="s">
        <v>1026</v>
      </c>
      <c r="H317" s="30" t="n">
        <v>0</v>
      </c>
      <c r="I317" s="18" t="s">
        <v>527</v>
      </c>
      <c r="J317" s="28" t="n">
        <v>3892.99</v>
      </c>
      <c r="K317" s="12" t="str">
        <f aca="false">TEXT(B317,"yyyy-mm")</f>
        <v>2025-12</v>
      </c>
      <c r="L317" s="21" t="str">
        <f aca="false">IFERROR(INDEX(Projects!$E$2:$E$500,MATCH(C317,Projects!$A$2:$A$500,0)),"")</f>
        <v>Digital Transformation</v>
      </c>
      <c r="M317" s="31" t="n">
        <f aca="false">IF(I317="Yes",H317*INDEX(Resources!$I$2:$I$500,MATCH(E317,Resources!$A$2:$A$500,0)),0)</f>
        <v>0</v>
      </c>
    </row>
    <row r="318" customFormat="false" ht="15" hidden="false" customHeight="false" outlineLevel="0" collapsed="false">
      <c r="A318" s="18" t="s">
        <v>1348</v>
      </c>
      <c r="B318" s="19" t="n">
        <v>46022</v>
      </c>
      <c r="C318" s="18" t="s">
        <v>281</v>
      </c>
      <c r="D318" s="18" t="s">
        <v>874</v>
      </c>
      <c r="E318" s="18"/>
      <c r="F318" s="18" t="s">
        <v>1028</v>
      </c>
      <c r="G318" s="18" t="s">
        <v>1026</v>
      </c>
      <c r="H318" s="30" t="n">
        <v>0</v>
      </c>
      <c r="I318" s="18" t="s">
        <v>527</v>
      </c>
      <c r="J318" s="28" t="n">
        <v>5877.74</v>
      </c>
      <c r="K318" s="12" t="str">
        <f aca="false">TEXT(B318,"yyyy-mm")</f>
        <v>2025-12</v>
      </c>
      <c r="L318" s="21" t="str">
        <f aca="false">IFERROR(INDEX(Projects!$E$2:$E$500,MATCH(C318,Projects!$A$2:$A$500,0)),"")</f>
        <v>Digital Transformation</v>
      </c>
      <c r="M318" s="31" t="n">
        <f aca="false">IF(I318="Yes",H318*INDEX(Resources!$I$2:$I$500,MATCH(E318,Resources!$A$2:$A$500,0)),0)</f>
        <v>0</v>
      </c>
    </row>
    <row r="319" customFormat="false" ht="15" hidden="false" customHeight="false" outlineLevel="0" collapsed="false">
      <c r="A319" s="18" t="s">
        <v>1349</v>
      </c>
      <c r="B319" s="19" t="n">
        <v>46022</v>
      </c>
      <c r="C319" s="18" t="s">
        <v>281</v>
      </c>
      <c r="D319" s="18" t="s">
        <v>495</v>
      </c>
      <c r="E319" s="18"/>
      <c r="F319" s="18" t="s">
        <v>1030</v>
      </c>
      <c r="G319" s="18" t="s">
        <v>1026</v>
      </c>
      <c r="H319" s="30" t="n">
        <v>0</v>
      </c>
      <c r="I319" s="18" t="s">
        <v>527</v>
      </c>
      <c r="J319" s="28" t="n">
        <v>1325.25</v>
      </c>
      <c r="K319" s="12" t="str">
        <f aca="false">TEXT(B319,"yyyy-mm")</f>
        <v>2025-12</v>
      </c>
      <c r="L319" s="21" t="str">
        <f aca="false">IFERROR(INDEX(Projects!$E$2:$E$500,MATCH(C319,Projects!$A$2:$A$500,0)),"")</f>
        <v>Digital Transformation</v>
      </c>
      <c r="M319" s="31" t="n">
        <f aca="false">IF(I319="Yes",H319*INDEX(Resources!$I$2:$I$500,MATCH(E319,Resources!$A$2:$A$500,0)),0)</f>
        <v>0</v>
      </c>
    </row>
    <row r="320" customFormat="false" ht="15" hidden="false" customHeight="false" outlineLevel="0" collapsed="false">
      <c r="A320" s="18" t="s">
        <v>1350</v>
      </c>
      <c r="B320" s="19" t="n">
        <v>46022</v>
      </c>
      <c r="C320" s="18" t="s">
        <v>281</v>
      </c>
      <c r="D320" s="18" t="s">
        <v>876</v>
      </c>
      <c r="E320" s="18"/>
      <c r="F320" s="18" t="s">
        <v>1071</v>
      </c>
      <c r="G320" s="18" t="s">
        <v>1033</v>
      </c>
      <c r="H320" s="30" t="n">
        <v>0</v>
      </c>
      <c r="I320" s="18" t="s">
        <v>527</v>
      </c>
      <c r="J320" s="28" t="n">
        <v>1035.36</v>
      </c>
      <c r="K320" s="12" t="str">
        <f aca="false">TEXT(B320,"yyyy-mm")</f>
        <v>2025-12</v>
      </c>
      <c r="L320" s="21" t="str">
        <f aca="false">IFERROR(INDEX(Projects!$E$2:$E$500,MATCH(C320,Projects!$A$2:$A$500,0)),"")</f>
        <v>Digital Transformation</v>
      </c>
      <c r="M320" s="31" t="n">
        <f aca="false">IF(I320="Yes",H320*INDEX(Resources!$I$2:$I$500,MATCH(E320,Resources!$A$2:$A$500,0)),0)</f>
        <v>0</v>
      </c>
    </row>
    <row r="321" customFormat="false" ht="15" hidden="false" customHeight="false" outlineLevel="0" collapsed="false">
      <c r="A321" s="18" t="s">
        <v>1351</v>
      </c>
      <c r="B321" s="19" t="n">
        <v>46022</v>
      </c>
      <c r="C321" s="18" t="s">
        <v>283</v>
      </c>
      <c r="D321" s="18" t="s">
        <v>889</v>
      </c>
      <c r="E321" s="18"/>
      <c r="F321" s="18" t="s">
        <v>1210</v>
      </c>
      <c r="G321" s="18" t="s">
        <v>1026</v>
      </c>
      <c r="H321" s="30" t="n">
        <v>0</v>
      </c>
      <c r="I321" s="18" t="s">
        <v>527</v>
      </c>
      <c r="J321" s="28" t="n">
        <v>3678.37</v>
      </c>
      <c r="K321" s="12" t="str">
        <f aca="false">TEXT(B321,"yyyy-mm")</f>
        <v>2025-12</v>
      </c>
      <c r="L321" s="21" t="str">
        <f aca="false">IFERROR(INDEX(Projects!$E$2:$E$500,MATCH(C321,Projects!$A$2:$A$500,0)),"")</f>
        <v>Data &amp; AI</v>
      </c>
      <c r="M321" s="31" t="n">
        <f aca="false">IF(I321="Yes",H321*INDEX(Resources!$I$2:$I$500,MATCH(E321,Resources!$A$2:$A$500,0)),0)</f>
        <v>0</v>
      </c>
    </row>
    <row r="322" customFormat="false" ht="15" hidden="false" customHeight="false" outlineLevel="0" collapsed="false">
      <c r="A322" s="18" t="s">
        <v>1352</v>
      </c>
      <c r="B322" s="19" t="n">
        <v>46022</v>
      </c>
      <c r="C322" s="18" t="s">
        <v>283</v>
      </c>
      <c r="D322" s="18" t="s">
        <v>869</v>
      </c>
      <c r="E322" s="18" t="s">
        <v>226</v>
      </c>
      <c r="F322" s="18"/>
      <c r="G322" s="18" t="s">
        <v>1019</v>
      </c>
      <c r="H322" s="30" t="n">
        <v>82.8</v>
      </c>
      <c r="I322" s="18" t="s">
        <v>527</v>
      </c>
      <c r="J322" s="28" t="n">
        <v>7286.4</v>
      </c>
      <c r="K322" s="12" t="str">
        <f aca="false">TEXT(B322,"yyyy-mm")</f>
        <v>2025-12</v>
      </c>
      <c r="L322" s="21" t="str">
        <f aca="false">IFERROR(INDEX(Projects!$E$2:$E$500,MATCH(C322,Projects!$A$2:$A$500,0)),"")</f>
        <v>Data &amp; AI</v>
      </c>
      <c r="M322" s="31" t="n">
        <f aca="false">IF(I322="Yes",H322*INDEX(Resources!$I$2:$I$500,MATCH(E322,Resources!$A$2:$A$500,0)),0)</f>
        <v>0</v>
      </c>
    </row>
    <row r="323" customFormat="false" ht="15" hidden="false" customHeight="false" outlineLevel="0" collapsed="false">
      <c r="A323" s="18" t="s">
        <v>1353</v>
      </c>
      <c r="B323" s="19" t="n">
        <v>46022</v>
      </c>
      <c r="C323" s="18" t="s">
        <v>283</v>
      </c>
      <c r="D323" s="18" t="s">
        <v>869</v>
      </c>
      <c r="E323" s="18" t="s">
        <v>354</v>
      </c>
      <c r="F323" s="18"/>
      <c r="G323" s="18" t="s">
        <v>1019</v>
      </c>
      <c r="H323" s="30" t="n">
        <v>46.7</v>
      </c>
      <c r="I323" s="18" t="s">
        <v>513</v>
      </c>
      <c r="J323" s="28" t="n">
        <v>6067.26</v>
      </c>
      <c r="K323" s="12" t="str">
        <f aca="false">TEXT(B323,"yyyy-mm")</f>
        <v>2025-12</v>
      </c>
      <c r="L323" s="21" t="str">
        <f aca="false">IFERROR(INDEX(Projects!$E$2:$E$500,MATCH(C323,Projects!$A$2:$A$500,0)),"")</f>
        <v>Data &amp; AI</v>
      </c>
      <c r="M323" s="31" t="n">
        <f aca="false">IF(I323="Yes",H323*INDEX(Resources!$I$2:$I$500,MATCH(E323,Resources!$A$2:$A$500,0)),0)</f>
        <v>12142</v>
      </c>
    </row>
    <row r="324" customFormat="false" ht="15" hidden="false" customHeight="false" outlineLevel="0" collapsed="false">
      <c r="A324" s="18" t="s">
        <v>1354</v>
      </c>
      <c r="B324" s="19" t="n">
        <v>46022</v>
      </c>
      <c r="C324" s="18" t="s">
        <v>283</v>
      </c>
      <c r="D324" s="18" t="s">
        <v>869</v>
      </c>
      <c r="E324" s="18" t="s">
        <v>424</v>
      </c>
      <c r="F324" s="18"/>
      <c r="G324" s="18" t="s">
        <v>1019</v>
      </c>
      <c r="H324" s="30" t="n">
        <v>87.5</v>
      </c>
      <c r="I324" s="18" t="s">
        <v>513</v>
      </c>
      <c r="J324" s="28" t="n">
        <v>5950</v>
      </c>
      <c r="K324" s="12" t="str">
        <f aca="false">TEXT(B324,"yyyy-mm")</f>
        <v>2025-12</v>
      </c>
      <c r="L324" s="21" t="str">
        <f aca="false">IFERROR(INDEX(Projects!$E$2:$E$500,MATCH(C324,Projects!$A$2:$A$500,0)),"")</f>
        <v>Data &amp; AI</v>
      </c>
      <c r="M324" s="31" t="n">
        <f aca="false">IF(I324="Yes",H324*INDEX(Resources!$I$2:$I$500,MATCH(E324,Resources!$A$2:$A$500,0)),0)</f>
        <v>9625</v>
      </c>
    </row>
    <row r="325" customFormat="false" ht="15" hidden="false" customHeight="false" outlineLevel="0" collapsed="false">
      <c r="A325" s="18" t="s">
        <v>1355</v>
      </c>
      <c r="B325" s="19" t="n">
        <v>46022</v>
      </c>
      <c r="C325" s="18" t="s">
        <v>283</v>
      </c>
      <c r="D325" s="18" t="s">
        <v>869</v>
      </c>
      <c r="E325" s="18" t="s">
        <v>459</v>
      </c>
      <c r="F325" s="18"/>
      <c r="G325" s="18" t="s">
        <v>1019</v>
      </c>
      <c r="H325" s="30" t="n">
        <v>175.7</v>
      </c>
      <c r="I325" s="18" t="s">
        <v>513</v>
      </c>
      <c r="J325" s="28" t="n">
        <v>17078.04</v>
      </c>
      <c r="K325" s="12" t="str">
        <f aca="false">TEXT(B325,"yyyy-mm")</f>
        <v>2025-12</v>
      </c>
      <c r="L325" s="21" t="str">
        <f aca="false">IFERROR(INDEX(Projects!$E$2:$E$500,MATCH(C325,Projects!$A$2:$A$500,0)),"")</f>
        <v>Data &amp; AI</v>
      </c>
      <c r="M325" s="31" t="n">
        <f aca="false">IF(I325="Yes",H325*INDEX(Resources!$I$2:$I$500,MATCH(E325,Resources!$A$2:$A$500,0)),0)</f>
        <v>34261.5</v>
      </c>
    </row>
    <row r="326" customFormat="false" ht="15" hidden="false" customHeight="false" outlineLevel="0" collapsed="false">
      <c r="A326" s="18" t="s">
        <v>1356</v>
      </c>
      <c r="B326" s="19" t="n">
        <v>46022</v>
      </c>
      <c r="C326" s="18" t="s">
        <v>283</v>
      </c>
      <c r="D326" s="18" t="s">
        <v>869</v>
      </c>
      <c r="E326" s="18" t="s">
        <v>466</v>
      </c>
      <c r="F326" s="18"/>
      <c r="G326" s="18" t="s">
        <v>1019</v>
      </c>
      <c r="H326" s="30" t="n">
        <v>129.9</v>
      </c>
      <c r="I326" s="18" t="s">
        <v>513</v>
      </c>
      <c r="J326" s="28" t="n">
        <v>12730.2</v>
      </c>
      <c r="K326" s="12" t="str">
        <f aca="false">TEXT(B326,"yyyy-mm")</f>
        <v>2025-12</v>
      </c>
      <c r="L326" s="21" t="str">
        <f aca="false">IFERROR(INDEX(Projects!$E$2:$E$500,MATCH(C326,Projects!$A$2:$A$500,0)),"")</f>
        <v>Data &amp; AI</v>
      </c>
      <c r="M326" s="31" t="n">
        <f aca="false">IF(I326="Yes",H326*INDEX(Resources!$I$2:$I$500,MATCH(E326,Resources!$A$2:$A$500,0)),0)</f>
        <v>25980</v>
      </c>
    </row>
    <row r="327" customFormat="false" ht="15" hidden="false" customHeight="false" outlineLevel="0" collapsed="false">
      <c r="A327" s="18" t="s">
        <v>1357</v>
      </c>
      <c r="B327" s="19" t="n">
        <v>46022</v>
      </c>
      <c r="C327" s="18" t="s">
        <v>283</v>
      </c>
      <c r="D327" s="18" t="s">
        <v>872</v>
      </c>
      <c r="E327" s="18"/>
      <c r="F327" s="18" t="s">
        <v>1025</v>
      </c>
      <c r="G327" s="18" t="s">
        <v>1026</v>
      </c>
      <c r="H327" s="30" t="n">
        <v>0</v>
      </c>
      <c r="I327" s="18" t="s">
        <v>527</v>
      </c>
      <c r="J327" s="28" t="n">
        <v>2255.97</v>
      </c>
      <c r="K327" s="12" t="str">
        <f aca="false">TEXT(B327,"yyyy-mm")</f>
        <v>2025-12</v>
      </c>
      <c r="L327" s="21" t="str">
        <f aca="false">IFERROR(INDEX(Projects!$E$2:$E$500,MATCH(C327,Projects!$A$2:$A$500,0)),"")</f>
        <v>Data &amp; AI</v>
      </c>
      <c r="M327" s="31" t="n">
        <f aca="false">IF(I327="Yes",H327*INDEX(Resources!$I$2:$I$500,MATCH(E327,Resources!$A$2:$A$500,0)),0)</f>
        <v>0</v>
      </c>
    </row>
    <row r="328" customFormat="false" ht="15" hidden="false" customHeight="false" outlineLevel="0" collapsed="false">
      <c r="A328" s="18" t="s">
        <v>1358</v>
      </c>
      <c r="B328" s="19" t="n">
        <v>46022</v>
      </c>
      <c r="C328" s="18" t="s">
        <v>283</v>
      </c>
      <c r="D328" s="18" t="s">
        <v>876</v>
      </c>
      <c r="E328" s="18"/>
      <c r="F328" s="18" t="s">
        <v>1071</v>
      </c>
      <c r="G328" s="18" t="s">
        <v>1033</v>
      </c>
      <c r="H328" s="30" t="n">
        <v>0</v>
      </c>
      <c r="I328" s="18" t="s">
        <v>527</v>
      </c>
      <c r="J328" s="28" t="n">
        <v>616.02</v>
      </c>
      <c r="K328" s="12" t="str">
        <f aca="false">TEXT(B328,"yyyy-mm")</f>
        <v>2025-12</v>
      </c>
      <c r="L328" s="21" t="str">
        <f aca="false">IFERROR(INDEX(Projects!$E$2:$E$500,MATCH(C328,Projects!$A$2:$A$500,0)),"")</f>
        <v>Data &amp; AI</v>
      </c>
      <c r="M328" s="31" t="n">
        <f aca="false">IF(I328="Yes",H328*INDEX(Resources!$I$2:$I$500,MATCH(E328,Resources!$A$2:$A$500,0)),0)</f>
        <v>0</v>
      </c>
    </row>
    <row r="329" customFormat="false" ht="15" hidden="false" customHeight="false" outlineLevel="0" collapsed="false">
      <c r="A329" s="18" t="s">
        <v>1359</v>
      </c>
      <c r="B329" s="19" t="n">
        <v>46053</v>
      </c>
      <c r="C329" s="18" t="s">
        <v>197</v>
      </c>
      <c r="D329" s="18" t="s">
        <v>869</v>
      </c>
      <c r="E329" s="18" t="s">
        <v>201</v>
      </c>
      <c r="F329" s="18"/>
      <c r="G329" s="18" t="s">
        <v>1019</v>
      </c>
      <c r="H329" s="30" t="n">
        <v>83.6</v>
      </c>
      <c r="I329" s="18" t="s">
        <v>513</v>
      </c>
      <c r="J329" s="28" t="n">
        <v>8533.89</v>
      </c>
      <c r="K329" s="12" t="str">
        <f aca="false">TEXT(B329,"yyyy-mm")</f>
        <v>2026-01</v>
      </c>
      <c r="L329" s="21" t="str">
        <f aca="false">IFERROR(INDEX(Projects!$E$2:$E$500,MATCH(C329,Projects!$A$2:$A$500,0)),"")</f>
        <v>Customer Experience</v>
      </c>
      <c r="M329" s="31" t="n">
        <f aca="false">IF(I329="Yes",H329*INDEX(Resources!$I$2:$I$500,MATCH(E329,Resources!$A$2:$A$500,0)),0)</f>
        <v>17138</v>
      </c>
    </row>
    <row r="330" customFormat="false" ht="15" hidden="false" customHeight="false" outlineLevel="0" collapsed="false">
      <c r="A330" s="18" t="s">
        <v>1360</v>
      </c>
      <c r="B330" s="19" t="n">
        <v>46053</v>
      </c>
      <c r="C330" s="18" t="s">
        <v>197</v>
      </c>
      <c r="D330" s="18" t="s">
        <v>869</v>
      </c>
      <c r="E330" s="18" t="s">
        <v>363</v>
      </c>
      <c r="F330" s="18"/>
      <c r="G330" s="18" t="s">
        <v>1019</v>
      </c>
      <c r="H330" s="30" t="n">
        <v>83.6</v>
      </c>
      <c r="I330" s="18" t="s">
        <v>513</v>
      </c>
      <c r="J330" s="28" t="n">
        <v>6594.37</v>
      </c>
      <c r="K330" s="12" t="str">
        <f aca="false">TEXT(B330,"yyyy-mm")</f>
        <v>2026-01</v>
      </c>
      <c r="L330" s="21" t="str">
        <f aca="false">IFERROR(INDEX(Projects!$E$2:$E$500,MATCH(C330,Projects!$A$2:$A$500,0)),"")</f>
        <v>Customer Experience</v>
      </c>
      <c r="M330" s="31" t="n">
        <f aca="false">IF(I330="Yes",H330*INDEX(Resources!$I$2:$I$500,MATCH(E330,Resources!$A$2:$A$500,0)),0)</f>
        <v>13376</v>
      </c>
    </row>
    <row r="331" customFormat="false" ht="15" hidden="false" customHeight="false" outlineLevel="0" collapsed="false">
      <c r="A331" s="18" t="s">
        <v>1361</v>
      </c>
      <c r="B331" s="19" t="n">
        <v>46053</v>
      </c>
      <c r="C331" s="18" t="s">
        <v>197</v>
      </c>
      <c r="D331" s="18" t="s">
        <v>869</v>
      </c>
      <c r="E331" s="18" t="s">
        <v>379</v>
      </c>
      <c r="F331" s="18"/>
      <c r="G331" s="18" t="s">
        <v>1019</v>
      </c>
      <c r="H331" s="30" t="n">
        <v>142.1</v>
      </c>
      <c r="I331" s="18" t="s">
        <v>513</v>
      </c>
      <c r="J331" s="28" t="n">
        <v>12197.86</v>
      </c>
      <c r="K331" s="12" t="str">
        <f aca="false">TEXT(B331,"yyyy-mm")</f>
        <v>2026-01</v>
      </c>
      <c r="L331" s="21" t="str">
        <f aca="false">IFERROR(INDEX(Projects!$E$2:$E$500,MATCH(C331,Projects!$A$2:$A$500,0)),"")</f>
        <v>Customer Experience</v>
      </c>
      <c r="M331" s="31" t="n">
        <f aca="false">IF(I331="Yes",H331*INDEX(Resources!$I$2:$I$500,MATCH(E331,Resources!$A$2:$A$500,0)),0)</f>
        <v>24867.5</v>
      </c>
    </row>
    <row r="332" customFormat="false" ht="15" hidden="false" customHeight="false" outlineLevel="0" collapsed="false">
      <c r="A332" s="18" t="s">
        <v>1362</v>
      </c>
      <c r="B332" s="19" t="n">
        <v>46053</v>
      </c>
      <c r="C332" s="18" t="s">
        <v>197</v>
      </c>
      <c r="D332" s="18" t="s">
        <v>869</v>
      </c>
      <c r="E332" s="18" t="s">
        <v>389</v>
      </c>
      <c r="F332" s="18"/>
      <c r="G332" s="18" t="s">
        <v>1019</v>
      </c>
      <c r="H332" s="30" t="n">
        <v>132.4</v>
      </c>
      <c r="I332" s="18" t="s">
        <v>513</v>
      </c>
      <c r="J332" s="28" t="n">
        <v>14129.73</v>
      </c>
      <c r="K332" s="12" t="str">
        <f aca="false">TEXT(B332,"yyyy-mm")</f>
        <v>2026-01</v>
      </c>
      <c r="L332" s="21" t="str">
        <f aca="false">IFERROR(INDEX(Projects!$E$2:$E$500,MATCH(C332,Projects!$A$2:$A$500,0)),"")</f>
        <v>Customer Experience</v>
      </c>
      <c r="M332" s="31" t="n">
        <f aca="false">IF(I332="Yes",H332*INDEX(Resources!$I$2:$I$500,MATCH(E332,Resources!$A$2:$A$500,0)),0)</f>
        <v>28466</v>
      </c>
    </row>
    <row r="333" customFormat="false" ht="15" hidden="false" customHeight="false" outlineLevel="0" collapsed="false">
      <c r="A333" s="18" t="s">
        <v>1363</v>
      </c>
      <c r="B333" s="19" t="n">
        <v>46053</v>
      </c>
      <c r="C333" s="18" t="s">
        <v>197</v>
      </c>
      <c r="D333" s="18" t="s">
        <v>869</v>
      </c>
      <c r="E333" s="18" t="s">
        <v>409</v>
      </c>
      <c r="F333" s="18"/>
      <c r="G333" s="18" t="s">
        <v>1019</v>
      </c>
      <c r="H333" s="30" t="n">
        <v>161.6</v>
      </c>
      <c r="I333" s="18" t="s">
        <v>513</v>
      </c>
      <c r="J333" s="28" t="n">
        <v>11997.18</v>
      </c>
      <c r="K333" s="12" t="str">
        <f aca="false">TEXT(B333,"yyyy-mm")</f>
        <v>2026-01</v>
      </c>
      <c r="L333" s="21" t="str">
        <f aca="false">IFERROR(INDEX(Projects!$E$2:$E$500,MATCH(C333,Projects!$A$2:$A$500,0)),"")</f>
        <v>Customer Experience</v>
      </c>
      <c r="M333" s="31" t="n">
        <f aca="false">IF(I333="Yes",H333*INDEX(Resources!$I$2:$I$500,MATCH(E333,Resources!$A$2:$A$500,0)),0)</f>
        <v>24240</v>
      </c>
    </row>
    <row r="334" customFormat="false" ht="15" hidden="false" customHeight="false" outlineLevel="0" collapsed="false">
      <c r="A334" s="18" t="s">
        <v>1364</v>
      </c>
      <c r="B334" s="19" t="n">
        <v>46053</v>
      </c>
      <c r="C334" s="18" t="s">
        <v>197</v>
      </c>
      <c r="D334" s="18" t="s">
        <v>872</v>
      </c>
      <c r="E334" s="18"/>
      <c r="F334" s="18" t="s">
        <v>1059</v>
      </c>
      <c r="G334" s="18" t="s">
        <v>1026</v>
      </c>
      <c r="H334" s="30" t="n">
        <v>0</v>
      </c>
      <c r="I334" s="18" t="s">
        <v>527</v>
      </c>
      <c r="J334" s="28" t="n">
        <v>3035.15</v>
      </c>
      <c r="K334" s="12" t="str">
        <f aca="false">TEXT(B334,"yyyy-mm")</f>
        <v>2026-01</v>
      </c>
      <c r="L334" s="21" t="str">
        <f aca="false">IFERROR(INDEX(Projects!$E$2:$E$500,MATCH(C334,Projects!$A$2:$A$500,0)),"")</f>
        <v>Customer Experience</v>
      </c>
      <c r="M334" s="31" t="n">
        <f aca="false">IF(I334="Yes",H334*INDEX(Resources!$I$2:$I$500,MATCH(E334,Resources!$A$2:$A$500,0)),0)</f>
        <v>0</v>
      </c>
    </row>
    <row r="335" customFormat="false" ht="15" hidden="false" customHeight="false" outlineLevel="0" collapsed="false">
      <c r="A335" s="18" t="s">
        <v>1365</v>
      </c>
      <c r="B335" s="19" t="n">
        <v>46053</v>
      </c>
      <c r="C335" s="18" t="s">
        <v>197</v>
      </c>
      <c r="D335" s="18" t="s">
        <v>874</v>
      </c>
      <c r="E335" s="18"/>
      <c r="F335" s="18" t="s">
        <v>1224</v>
      </c>
      <c r="G335" s="18" t="s">
        <v>1026</v>
      </c>
      <c r="H335" s="30" t="n">
        <v>0</v>
      </c>
      <c r="I335" s="18" t="s">
        <v>527</v>
      </c>
      <c r="J335" s="28" t="n">
        <v>4697.54</v>
      </c>
      <c r="K335" s="12" t="str">
        <f aca="false">TEXT(B335,"yyyy-mm")</f>
        <v>2026-01</v>
      </c>
      <c r="L335" s="21" t="str">
        <f aca="false">IFERROR(INDEX(Projects!$E$2:$E$500,MATCH(C335,Projects!$A$2:$A$500,0)),"")</f>
        <v>Customer Experience</v>
      </c>
      <c r="M335" s="31" t="n">
        <f aca="false">IF(I335="Yes",H335*INDEX(Resources!$I$2:$I$500,MATCH(E335,Resources!$A$2:$A$500,0)),0)</f>
        <v>0</v>
      </c>
    </row>
    <row r="336" customFormat="false" ht="15" hidden="false" customHeight="false" outlineLevel="0" collapsed="false">
      <c r="A336" s="18" t="s">
        <v>1366</v>
      </c>
      <c r="B336" s="19" t="n">
        <v>46053</v>
      </c>
      <c r="C336" s="18" t="s">
        <v>197</v>
      </c>
      <c r="D336" s="18" t="s">
        <v>876</v>
      </c>
      <c r="E336" s="18"/>
      <c r="F336" s="18" t="s">
        <v>1032</v>
      </c>
      <c r="G336" s="18" t="s">
        <v>1033</v>
      </c>
      <c r="H336" s="30" t="n">
        <v>0</v>
      </c>
      <c r="I336" s="18" t="s">
        <v>527</v>
      </c>
      <c r="J336" s="28" t="n">
        <v>966.8</v>
      </c>
      <c r="K336" s="12" t="str">
        <f aca="false">TEXT(B336,"yyyy-mm")</f>
        <v>2026-01</v>
      </c>
      <c r="L336" s="21" t="str">
        <f aca="false">IFERROR(INDEX(Projects!$E$2:$E$500,MATCH(C336,Projects!$A$2:$A$500,0)),"")</f>
        <v>Customer Experience</v>
      </c>
      <c r="M336" s="31" t="n">
        <f aca="false">IF(I336="Yes",H336*INDEX(Resources!$I$2:$I$500,MATCH(E336,Resources!$A$2:$A$500,0)),0)</f>
        <v>0</v>
      </c>
    </row>
    <row r="337" customFormat="false" ht="15" hidden="false" customHeight="false" outlineLevel="0" collapsed="false">
      <c r="A337" s="18" t="s">
        <v>1367</v>
      </c>
      <c r="B337" s="19" t="n">
        <v>46053</v>
      </c>
      <c r="C337" s="18" t="s">
        <v>207</v>
      </c>
      <c r="D337" s="18" t="s">
        <v>869</v>
      </c>
      <c r="E337" s="18" t="s">
        <v>211</v>
      </c>
      <c r="F337" s="18"/>
      <c r="G337" s="18" t="s">
        <v>1019</v>
      </c>
      <c r="H337" s="30" t="n">
        <v>40.6</v>
      </c>
      <c r="I337" s="18" t="s">
        <v>513</v>
      </c>
      <c r="J337" s="28" t="n">
        <v>4144.45</v>
      </c>
      <c r="K337" s="12" t="str">
        <f aca="false">TEXT(B337,"yyyy-mm")</f>
        <v>2026-01</v>
      </c>
      <c r="L337" s="21" t="str">
        <f aca="false">IFERROR(INDEX(Projects!$E$2:$E$500,MATCH(C337,Projects!$A$2:$A$500,0)),"")</f>
        <v>Operational Excellence</v>
      </c>
      <c r="M337" s="31" t="n">
        <f aca="false">IF(I337="Yes",H337*INDEX(Resources!$I$2:$I$500,MATCH(E337,Resources!$A$2:$A$500,0)),0)</f>
        <v>8323</v>
      </c>
    </row>
    <row r="338" customFormat="false" ht="15" hidden="false" customHeight="false" outlineLevel="0" collapsed="false">
      <c r="A338" s="18" t="s">
        <v>1368</v>
      </c>
      <c r="B338" s="19" t="n">
        <v>46053</v>
      </c>
      <c r="C338" s="18" t="s">
        <v>207</v>
      </c>
      <c r="D338" s="18" t="s">
        <v>869</v>
      </c>
      <c r="E338" s="18" t="s">
        <v>368</v>
      </c>
      <c r="F338" s="18"/>
      <c r="G338" s="18" t="s">
        <v>1019</v>
      </c>
      <c r="H338" s="30" t="n">
        <v>78.9</v>
      </c>
      <c r="I338" s="18" t="s">
        <v>513</v>
      </c>
      <c r="J338" s="28" t="n">
        <v>5794.42</v>
      </c>
      <c r="K338" s="12" t="str">
        <f aca="false">TEXT(B338,"yyyy-mm")</f>
        <v>2026-01</v>
      </c>
      <c r="L338" s="21" t="str">
        <f aca="false">IFERROR(INDEX(Projects!$E$2:$E$500,MATCH(C338,Projects!$A$2:$A$500,0)),"")</f>
        <v>Operational Excellence</v>
      </c>
      <c r="M338" s="31" t="n">
        <f aca="false">IF(I338="Yes",H338*INDEX(Resources!$I$2:$I$500,MATCH(E338,Resources!$A$2:$A$500,0)),0)</f>
        <v>11835</v>
      </c>
    </row>
    <row r="339" customFormat="false" ht="15" hidden="false" customHeight="false" outlineLevel="0" collapsed="false">
      <c r="A339" s="18" t="s">
        <v>1369</v>
      </c>
      <c r="B339" s="19" t="n">
        <v>46053</v>
      </c>
      <c r="C339" s="18" t="s">
        <v>207</v>
      </c>
      <c r="D339" s="18" t="s">
        <v>869</v>
      </c>
      <c r="E339" s="18" t="s">
        <v>393</v>
      </c>
      <c r="F339" s="18"/>
      <c r="G339" s="18" t="s">
        <v>1019</v>
      </c>
      <c r="H339" s="30" t="n">
        <v>85.5</v>
      </c>
      <c r="I339" s="18" t="s">
        <v>513</v>
      </c>
      <c r="J339" s="28" t="n">
        <v>8495.28</v>
      </c>
      <c r="K339" s="12" t="str">
        <f aca="false">TEXT(B339,"yyyy-mm")</f>
        <v>2026-01</v>
      </c>
      <c r="L339" s="21" t="str">
        <f aca="false">IFERROR(INDEX(Projects!$E$2:$E$500,MATCH(C339,Projects!$A$2:$A$500,0)),"")</f>
        <v>Operational Excellence</v>
      </c>
      <c r="M339" s="31" t="n">
        <f aca="false">IF(I339="Yes",H339*INDEX(Resources!$I$2:$I$500,MATCH(E339,Resources!$A$2:$A$500,0)),0)</f>
        <v>17100</v>
      </c>
    </row>
    <row r="340" customFormat="false" ht="15" hidden="false" customHeight="false" outlineLevel="0" collapsed="false">
      <c r="A340" s="18" t="s">
        <v>1370</v>
      </c>
      <c r="B340" s="19" t="n">
        <v>46053</v>
      </c>
      <c r="C340" s="18" t="s">
        <v>207</v>
      </c>
      <c r="D340" s="18" t="s">
        <v>869</v>
      </c>
      <c r="E340" s="18" t="s">
        <v>412</v>
      </c>
      <c r="F340" s="18"/>
      <c r="G340" s="18" t="s">
        <v>1019</v>
      </c>
      <c r="H340" s="30" t="n">
        <v>141.1</v>
      </c>
      <c r="I340" s="18" t="s">
        <v>513</v>
      </c>
      <c r="J340" s="28" t="n">
        <v>8398.27</v>
      </c>
      <c r="K340" s="12" t="str">
        <f aca="false">TEXT(B340,"yyyy-mm")</f>
        <v>2026-01</v>
      </c>
      <c r="L340" s="21" t="str">
        <f aca="false">IFERROR(INDEX(Projects!$E$2:$E$500,MATCH(C340,Projects!$A$2:$A$500,0)),"")</f>
        <v>Operational Excellence</v>
      </c>
      <c r="M340" s="31" t="n">
        <f aca="false">IF(I340="Yes",H340*INDEX(Resources!$I$2:$I$500,MATCH(E340,Resources!$A$2:$A$500,0)),0)</f>
        <v>16932</v>
      </c>
    </row>
    <row r="341" customFormat="false" ht="15" hidden="false" customHeight="false" outlineLevel="0" collapsed="false">
      <c r="A341" s="18" t="s">
        <v>1371</v>
      </c>
      <c r="B341" s="19" t="n">
        <v>46053</v>
      </c>
      <c r="C341" s="18" t="s">
        <v>207</v>
      </c>
      <c r="D341" s="18" t="s">
        <v>872</v>
      </c>
      <c r="E341" s="18"/>
      <c r="F341" s="18" t="s">
        <v>353</v>
      </c>
      <c r="G341" s="18" t="s">
        <v>1026</v>
      </c>
      <c r="H341" s="30" t="n">
        <v>0</v>
      </c>
      <c r="I341" s="18" t="s">
        <v>527</v>
      </c>
      <c r="J341" s="28" t="n">
        <v>1735.69</v>
      </c>
      <c r="K341" s="12" t="str">
        <f aca="false">TEXT(B341,"yyyy-mm")</f>
        <v>2026-01</v>
      </c>
      <c r="L341" s="21" t="str">
        <f aca="false">IFERROR(INDEX(Projects!$E$2:$E$500,MATCH(C341,Projects!$A$2:$A$500,0)),"")</f>
        <v>Operational Excellence</v>
      </c>
      <c r="M341" s="31" t="n">
        <f aca="false">IF(I341="Yes",H341*INDEX(Resources!$I$2:$I$500,MATCH(E341,Resources!$A$2:$A$500,0)),0)</f>
        <v>0</v>
      </c>
    </row>
    <row r="342" customFormat="false" ht="15" hidden="false" customHeight="false" outlineLevel="0" collapsed="false">
      <c r="A342" s="18" t="s">
        <v>1372</v>
      </c>
      <c r="B342" s="19" t="n">
        <v>46053</v>
      </c>
      <c r="C342" s="18" t="s">
        <v>207</v>
      </c>
      <c r="D342" s="18" t="s">
        <v>495</v>
      </c>
      <c r="E342" s="18"/>
      <c r="F342" s="18" t="s">
        <v>1373</v>
      </c>
      <c r="G342" s="18" t="s">
        <v>1026</v>
      </c>
      <c r="H342" s="30" t="n">
        <v>0</v>
      </c>
      <c r="I342" s="18" t="s">
        <v>527</v>
      </c>
      <c r="J342" s="28" t="n">
        <v>979.01</v>
      </c>
      <c r="K342" s="12" t="str">
        <f aca="false">TEXT(B342,"yyyy-mm")</f>
        <v>2026-01</v>
      </c>
      <c r="L342" s="21" t="str">
        <f aca="false">IFERROR(INDEX(Projects!$E$2:$E$500,MATCH(C342,Projects!$A$2:$A$500,0)),"")</f>
        <v>Operational Excellence</v>
      </c>
      <c r="M342" s="31" t="n">
        <f aca="false">IF(I342="Yes",H342*INDEX(Resources!$I$2:$I$500,MATCH(E342,Resources!$A$2:$A$500,0)),0)</f>
        <v>0</v>
      </c>
    </row>
    <row r="343" customFormat="false" ht="15" hidden="false" customHeight="false" outlineLevel="0" collapsed="false">
      <c r="A343" s="18" t="s">
        <v>1374</v>
      </c>
      <c r="B343" s="19" t="n">
        <v>46053</v>
      </c>
      <c r="C343" s="18" t="s">
        <v>207</v>
      </c>
      <c r="D343" s="18" t="s">
        <v>876</v>
      </c>
      <c r="E343" s="18"/>
      <c r="F343" s="18" t="s">
        <v>1032</v>
      </c>
      <c r="G343" s="18" t="s">
        <v>1033</v>
      </c>
      <c r="H343" s="30" t="n">
        <v>0</v>
      </c>
      <c r="I343" s="18" t="s">
        <v>527</v>
      </c>
      <c r="J343" s="28" t="n">
        <v>595.32</v>
      </c>
      <c r="K343" s="12" t="str">
        <f aca="false">TEXT(B343,"yyyy-mm")</f>
        <v>2026-01</v>
      </c>
      <c r="L343" s="21" t="str">
        <f aca="false">IFERROR(INDEX(Projects!$E$2:$E$500,MATCH(C343,Projects!$A$2:$A$500,0)),"")</f>
        <v>Operational Excellence</v>
      </c>
      <c r="M343" s="31" t="n">
        <f aca="false">IF(I343="Yes",H343*INDEX(Resources!$I$2:$I$500,MATCH(E343,Resources!$A$2:$A$500,0)),0)</f>
        <v>0</v>
      </c>
    </row>
    <row r="344" customFormat="false" ht="15" hidden="false" customHeight="false" outlineLevel="0" collapsed="false">
      <c r="A344" s="18" t="s">
        <v>1375</v>
      </c>
      <c r="B344" s="19" t="n">
        <v>46053</v>
      </c>
      <c r="C344" s="18" t="s">
        <v>215</v>
      </c>
      <c r="D344" s="18" t="s">
        <v>889</v>
      </c>
      <c r="E344" s="18"/>
      <c r="F344" s="18" t="s">
        <v>1035</v>
      </c>
      <c r="G344" s="18" t="s">
        <v>1026</v>
      </c>
      <c r="H344" s="30" t="n">
        <v>0</v>
      </c>
      <c r="I344" s="18" t="s">
        <v>527</v>
      </c>
      <c r="J344" s="28" t="n">
        <v>3825.66</v>
      </c>
      <c r="K344" s="12" t="str">
        <f aca="false">TEXT(B344,"yyyy-mm")</f>
        <v>2026-01</v>
      </c>
      <c r="L344" s="21" t="str">
        <f aca="false">IFERROR(INDEX(Projects!$E$2:$E$500,MATCH(C344,Projects!$A$2:$A$500,0)),"")</f>
        <v>Data &amp; AI</v>
      </c>
      <c r="M344" s="31" t="n">
        <f aca="false">IF(I344="Yes",H344*INDEX(Resources!$I$2:$I$500,MATCH(E344,Resources!$A$2:$A$500,0)),0)</f>
        <v>0</v>
      </c>
    </row>
    <row r="345" customFormat="false" ht="15" hidden="false" customHeight="false" outlineLevel="0" collapsed="false">
      <c r="A345" s="18" t="s">
        <v>1376</v>
      </c>
      <c r="B345" s="19" t="n">
        <v>46053</v>
      </c>
      <c r="C345" s="18" t="s">
        <v>215</v>
      </c>
      <c r="D345" s="18" t="s">
        <v>869</v>
      </c>
      <c r="E345" s="18" t="s">
        <v>218</v>
      </c>
      <c r="F345" s="18"/>
      <c r="G345" s="18" t="s">
        <v>1019</v>
      </c>
      <c r="H345" s="30" t="n">
        <v>45.6</v>
      </c>
      <c r="I345" s="18" t="s">
        <v>527</v>
      </c>
      <c r="J345" s="28" t="n">
        <v>3410.88</v>
      </c>
      <c r="K345" s="12" t="str">
        <f aca="false">TEXT(B345,"yyyy-mm")</f>
        <v>2026-01</v>
      </c>
      <c r="L345" s="21" t="str">
        <f aca="false">IFERROR(INDEX(Projects!$E$2:$E$500,MATCH(C345,Projects!$A$2:$A$500,0)),"")</f>
        <v>Data &amp; AI</v>
      </c>
      <c r="M345" s="31" t="n">
        <f aca="false">IF(I345="Yes",H345*INDEX(Resources!$I$2:$I$500,MATCH(E345,Resources!$A$2:$A$500,0)),0)</f>
        <v>0</v>
      </c>
    </row>
    <row r="346" customFormat="false" ht="15" hidden="false" customHeight="false" outlineLevel="0" collapsed="false">
      <c r="A346" s="18" t="s">
        <v>1377</v>
      </c>
      <c r="B346" s="19" t="n">
        <v>46053</v>
      </c>
      <c r="C346" s="18" t="s">
        <v>215</v>
      </c>
      <c r="D346" s="18" t="s">
        <v>869</v>
      </c>
      <c r="E346" s="18" t="s">
        <v>357</v>
      </c>
      <c r="F346" s="18"/>
      <c r="G346" s="18" t="s">
        <v>1019</v>
      </c>
      <c r="H346" s="30" t="n">
        <v>44.4</v>
      </c>
      <c r="I346" s="18" t="s">
        <v>513</v>
      </c>
      <c r="J346" s="28" t="n">
        <v>5370.62</v>
      </c>
      <c r="K346" s="12" t="str">
        <f aca="false">TEXT(B346,"yyyy-mm")</f>
        <v>2026-01</v>
      </c>
      <c r="L346" s="21" t="str">
        <f aca="false">IFERROR(INDEX(Projects!$E$2:$E$500,MATCH(C346,Projects!$A$2:$A$500,0)),"")</f>
        <v>Data &amp; AI</v>
      </c>
      <c r="M346" s="31" t="n">
        <f aca="false">IF(I346="Yes",H346*INDEX(Resources!$I$2:$I$500,MATCH(E346,Resources!$A$2:$A$500,0)),0)</f>
        <v>10878</v>
      </c>
    </row>
    <row r="347" customFormat="false" ht="15" hidden="false" customHeight="false" outlineLevel="0" collapsed="false">
      <c r="A347" s="18" t="s">
        <v>1378</v>
      </c>
      <c r="B347" s="19" t="n">
        <v>46053</v>
      </c>
      <c r="C347" s="18" t="s">
        <v>215</v>
      </c>
      <c r="D347" s="18" t="s">
        <v>869</v>
      </c>
      <c r="E347" s="18" t="s">
        <v>414</v>
      </c>
      <c r="F347" s="18"/>
      <c r="G347" s="18" t="s">
        <v>1019</v>
      </c>
      <c r="H347" s="30" t="n">
        <v>104.7</v>
      </c>
      <c r="I347" s="18" t="s">
        <v>513</v>
      </c>
      <c r="J347" s="28" t="n">
        <v>6231.74</v>
      </c>
      <c r="K347" s="12" t="str">
        <f aca="false">TEXT(B347,"yyyy-mm")</f>
        <v>2026-01</v>
      </c>
      <c r="L347" s="21" t="str">
        <f aca="false">IFERROR(INDEX(Projects!$E$2:$E$500,MATCH(C347,Projects!$A$2:$A$500,0)),"")</f>
        <v>Data &amp; AI</v>
      </c>
      <c r="M347" s="31" t="n">
        <f aca="false">IF(I347="Yes",H347*INDEX(Resources!$I$2:$I$500,MATCH(E347,Resources!$A$2:$A$500,0)),0)</f>
        <v>12564</v>
      </c>
    </row>
    <row r="348" customFormat="false" ht="15" hidden="false" customHeight="false" outlineLevel="0" collapsed="false">
      <c r="A348" s="18" t="s">
        <v>1379</v>
      </c>
      <c r="B348" s="19" t="n">
        <v>46053</v>
      </c>
      <c r="C348" s="18" t="s">
        <v>215</v>
      </c>
      <c r="D348" s="18" t="s">
        <v>869</v>
      </c>
      <c r="E348" s="18" t="s">
        <v>450</v>
      </c>
      <c r="F348" s="18"/>
      <c r="G348" s="18" t="s">
        <v>1019</v>
      </c>
      <c r="H348" s="30" t="n">
        <v>181.9</v>
      </c>
      <c r="I348" s="18" t="s">
        <v>513</v>
      </c>
      <c r="J348" s="28" t="n">
        <v>18990.36</v>
      </c>
      <c r="K348" s="12" t="str">
        <f aca="false">TEXT(B348,"yyyy-mm")</f>
        <v>2026-01</v>
      </c>
      <c r="L348" s="21" t="str">
        <f aca="false">IFERROR(INDEX(Projects!$E$2:$E$500,MATCH(C348,Projects!$A$2:$A$500,0)),"")</f>
        <v>Data &amp; AI</v>
      </c>
      <c r="M348" s="31" t="n">
        <f aca="false">IF(I348="Yes",H348*INDEX(Resources!$I$2:$I$500,MATCH(E348,Resources!$A$2:$A$500,0)),0)</f>
        <v>38199</v>
      </c>
    </row>
    <row r="349" customFormat="false" ht="15" hidden="false" customHeight="false" outlineLevel="0" collapsed="false">
      <c r="A349" s="18" t="s">
        <v>1380</v>
      </c>
      <c r="B349" s="19" t="n">
        <v>46053</v>
      </c>
      <c r="C349" s="18" t="s">
        <v>215</v>
      </c>
      <c r="D349" s="18" t="s">
        <v>869</v>
      </c>
      <c r="E349" s="18" t="s">
        <v>462</v>
      </c>
      <c r="F349" s="18"/>
      <c r="G349" s="18" t="s">
        <v>1019</v>
      </c>
      <c r="H349" s="30" t="n">
        <v>99.5</v>
      </c>
      <c r="I349" s="18" t="s">
        <v>513</v>
      </c>
      <c r="J349" s="28" t="n">
        <v>11311.16</v>
      </c>
      <c r="K349" s="12" t="str">
        <f aca="false">TEXT(B349,"yyyy-mm")</f>
        <v>2026-01</v>
      </c>
      <c r="L349" s="21" t="str">
        <f aca="false">IFERROR(INDEX(Projects!$E$2:$E$500,MATCH(C349,Projects!$A$2:$A$500,0)),"")</f>
        <v>Data &amp; AI</v>
      </c>
      <c r="M349" s="31" t="n">
        <f aca="false">IF(I349="Yes",H349*INDEX(Resources!$I$2:$I$500,MATCH(E349,Resources!$A$2:$A$500,0)),0)</f>
        <v>22885</v>
      </c>
    </row>
    <row r="350" customFormat="false" ht="15" hidden="false" customHeight="false" outlineLevel="0" collapsed="false">
      <c r="A350" s="18" t="s">
        <v>1381</v>
      </c>
      <c r="B350" s="19" t="n">
        <v>46053</v>
      </c>
      <c r="C350" s="18" t="s">
        <v>215</v>
      </c>
      <c r="D350" s="18" t="s">
        <v>872</v>
      </c>
      <c r="E350" s="18"/>
      <c r="F350" s="18" t="s">
        <v>1059</v>
      </c>
      <c r="G350" s="18" t="s">
        <v>1026</v>
      </c>
      <c r="H350" s="30" t="n">
        <v>0</v>
      </c>
      <c r="I350" s="18" t="s">
        <v>527</v>
      </c>
      <c r="J350" s="28" t="n">
        <v>2461.97</v>
      </c>
      <c r="K350" s="12" t="str">
        <f aca="false">TEXT(B350,"yyyy-mm")</f>
        <v>2026-01</v>
      </c>
      <c r="L350" s="21" t="str">
        <f aca="false">IFERROR(INDEX(Projects!$E$2:$E$500,MATCH(C350,Projects!$A$2:$A$500,0)),"")</f>
        <v>Data &amp; AI</v>
      </c>
      <c r="M350" s="31" t="n">
        <f aca="false">IF(I350="Yes",H350*INDEX(Resources!$I$2:$I$500,MATCH(E350,Resources!$A$2:$A$500,0)),0)</f>
        <v>0</v>
      </c>
    </row>
    <row r="351" customFormat="false" ht="15" hidden="false" customHeight="false" outlineLevel="0" collapsed="false">
      <c r="A351" s="18" t="s">
        <v>1382</v>
      </c>
      <c r="B351" s="19" t="n">
        <v>46053</v>
      </c>
      <c r="C351" s="18" t="s">
        <v>215</v>
      </c>
      <c r="D351" s="18" t="s">
        <v>876</v>
      </c>
      <c r="E351" s="18"/>
      <c r="F351" s="18" t="s">
        <v>1032</v>
      </c>
      <c r="G351" s="18" t="s">
        <v>1033</v>
      </c>
      <c r="H351" s="30" t="n">
        <v>0</v>
      </c>
      <c r="I351" s="18" t="s">
        <v>527</v>
      </c>
      <c r="J351" s="28" t="n">
        <v>542.53</v>
      </c>
      <c r="K351" s="12" t="str">
        <f aca="false">TEXT(B351,"yyyy-mm")</f>
        <v>2026-01</v>
      </c>
      <c r="L351" s="21" t="str">
        <f aca="false">IFERROR(INDEX(Projects!$E$2:$E$500,MATCH(C351,Projects!$A$2:$A$500,0)),"")</f>
        <v>Data &amp; AI</v>
      </c>
      <c r="M351" s="31" t="n">
        <f aca="false">IF(I351="Yes",H351*INDEX(Resources!$I$2:$I$500,MATCH(E351,Resources!$A$2:$A$500,0)),0)</f>
        <v>0</v>
      </c>
    </row>
    <row r="352" customFormat="false" ht="15" hidden="false" customHeight="false" outlineLevel="0" collapsed="false">
      <c r="A352" s="18" t="s">
        <v>1383</v>
      </c>
      <c r="B352" s="19" t="n">
        <v>46053</v>
      </c>
      <c r="C352" s="18" t="s">
        <v>233</v>
      </c>
      <c r="D352" s="18" t="s">
        <v>869</v>
      </c>
      <c r="E352" s="18" t="s">
        <v>237</v>
      </c>
      <c r="F352" s="18"/>
      <c r="G352" s="18" t="s">
        <v>1019</v>
      </c>
      <c r="H352" s="30" t="n">
        <v>119.6</v>
      </c>
      <c r="I352" s="18" t="s">
        <v>513</v>
      </c>
      <c r="J352" s="28" t="n">
        <v>8946.08</v>
      </c>
      <c r="K352" s="12" t="str">
        <f aca="false">TEXT(B352,"yyyy-mm")</f>
        <v>2026-01</v>
      </c>
      <c r="L352" s="21" t="str">
        <f aca="false">IFERROR(INDEX(Projects!$E$2:$E$500,MATCH(C352,Projects!$A$2:$A$500,0)),"")</f>
        <v>Customer Experience</v>
      </c>
      <c r="M352" s="31" t="n">
        <f aca="false">IF(I352="Yes",H352*INDEX(Resources!$I$2:$I$500,MATCH(E352,Resources!$A$2:$A$500,0)),0)</f>
        <v>17940</v>
      </c>
    </row>
    <row r="353" customFormat="false" ht="15" hidden="false" customHeight="false" outlineLevel="0" collapsed="false">
      <c r="A353" s="18" t="s">
        <v>1384</v>
      </c>
      <c r="B353" s="19" t="n">
        <v>46053</v>
      </c>
      <c r="C353" s="18" t="s">
        <v>233</v>
      </c>
      <c r="D353" s="18" t="s">
        <v>869</v>
      </c>
      <c r="E353" s="18" t="s">
        <v>375</v>
      </c>
      <c r="F353" s="18"/>
      <c r="G353" s="18" t="s">
        <v>1019</v>
      </c>
      <c r="H353" s="30" t="n">
        <v>116.5</v>
      </c>
      <c r="I353" s="18" t="s">
        <v>513</v>
      </c>
      <c r="J353" s="28" t="n">
        <v>8417.12</v>
      </c>
      <c r="K353" s="12" t="str">
        <f aca="false">TEXT(B353,"yyyy-mm")</f>
        <v>2026-01</v>
      </c>
      <c r="L353" s="21" t="str">
        <f aca="false">IFERROR(INDEX(Projects!$E$2:$E$500,MATCH(C353,Projects!$A$2:$A$500,0)),"")</f>
        <v>Customer Experience</v>
      </c>
      <c r="M353" s="31" t="n">
        <f aca="false">IF(I353="Yes",H353*INDEX(Resources!$I$2:$I$500,MATCH(E353,Resources!$A$2:$A$500,0)),0)</f>
        <v>13980</v>
      </c>
    </row>
    <row r="354" customFormat="false" ht="15" hidden="false" customHeight="false" outlineLevel="0" collapsed="false">
      <c r="A354" s="18" t="s">
        <v>1385</v>
      </c>
      <c r="B354" s="19" t="n">
        <v>46053</v>
      </c>
      <c r="C354" s="18" t="s">
        <v>233</v>
      </c>
      <c r="D354" s="18" t="s">
        <v>869</v>
      </c>
      <c r="E354" s="18" t="s">
        <v>384</v>
      </c>
      <c r="F354" s="18"/>
      <c r="G354" s="18" t="s">
        <v>1019</v>
      </c>
      <c r="H354" s="30" t="n">
        <v>180.1</v>
      </c>
      <c r="I354" s="18" t="s">
        <v>513</v>
      </c>
      <c r="J354" s="28" t="n">
        <v>12394.48</v>
      </c>
      <c r="K354" s="12" t="str">
        <f aca="false">TEXT(B354,"yyyy-mm")</f>
        <v>2026-01</v>
      </c>
      <c r="L354" s="21" t="str">
        <f aca="false">IFERROR(INDEX(Projects!$E$2:$E$500,MATCH(C354,Projects!$A$2:$A$500,0)),"")</f>
        <v>Customer Experience</v>
      </c>
      <c r="M354" s="31" t="n">
        <f aca="false">IF(I354="Yes",H354*INDEX(Resources!$I$2:$I$500,MATCH(E354,Resources!$A$2:$A$500,0)),0)</f>
        <v>25214</v>
      </c>
    </row>
    <row r="355" customFormat="false" ht="15" hidden="false" customHeight="false" outlineLevel="0" collapsed="false">
      <c r="A355" s="18" t="s">
        <v>1386</v>
      </c>
      <c r="B355" s="19" t="n">
        <v>46053</v>
      </c>
      <c r="C355" s="18" t="s">
        <v>233</v>
      </c>
      <c r="D355" s="18" t="s">
        <v>869</v>
      </c>
      <c r="E355" s="18" t="s">
        <v>398</v>
      </c>
      <c r="F355" s="18"/>
      <c r="G355" s="18" t="s">
        <v>1019</v>
      </c>
      <c r="H355" s="30" t="n">
        <v>180.7</v>
      </c>
      <c r="I355" s="18" t="s">
        <v>513</v>
      </c>
      <c r="J355" s="28" t="n">
        <v>15460.69</v>
      </c>
      <c r="K355" s="12" t="str">
        <f aca="false">TEXT(B355,"yyyy-mm")</f>
        <v>2026-01</v>
      </c>
      <c r="L355" s="21" t="str">
        <f aca="false">IFERROR(INDEX(Projects!$E$2:$E$500,MATCH(C355,Projects!$A$2:$A$500,0)),"")</f>
        <v>Customer Experience</v>
      </c>
      <c r="M355" s="31" t="n">
        <f aca="false">IF(I355="Yes",H355*INDEX(Resources!$I$2:$I$500,MATCH(E355,Resources!$A$2:$A$500,0)),0)</f>
        <v>30719</v>
      </c>
    </row>
    <row r="356" customFormat="false" ht="15" hidden="false" customHeight="false" outlineLevel="0" collapsed="false">
      <c r="A356" s="18" t="s">
        <v>1387</v>
      </c>
      <c r="B356" s="19" t="n">
        <v>46053</v>
      </c>
      <c r="C356" s="18" t="s">
        <v>233</v>
      </c>
      <c r="D356" s="18" t="s">
        <v>869</v>
      </c>
      <c r="E356" s="18" t="s">
        <v>420</v>
      </c>
      <c r="F356" s="18"/>
      <c r="G356" s="18" t="s">
        <v>1019</v>
      </c>
      <c r="H356" s="30" t="n">
        <v>242.9</v>
      </c>
      <c r="I356" s="18" t="s">
        <v>513</v>
      </c>
      <c r="J356" s="28" t="n">
        <v>14457.41</v>
      </c>
      <c r="K356" s="12" t="str">
        <f aca="false">TEXT(B356,"yyyy-mm")</f>
        <v>2026-01</v>
      </c>
      <c r="L356" s="21" t="str">
        <f aca="false">IFERROR(INDEX(Projects!$E$2:$E$500,MATCH(C356,Projects!$A$2:$A$500,0)),"")</f>
        <v>Customer Experience</v>
      </c>
      <c r="M356" s="31" t="n">
        <f aca="false">IF(I356="Yes",H356*INDEX(Resources!$I$2:$I$500,MATCH(E356,Resources!$A$2:$A$500,0)),0)</f>
        <v>29148</v>
      </c>
    </row>
    <row r="357" customFormat="false" ht="15" hidden="false" customHeight="false" outlineLevel="0" collapsed="false">
      <c r="A357" s="18" t="s">
        <v>1388</v>
      </c>
      <c r="B357" s="19" t="n">
        <v>46053</v>
      </c>
      <c r="C357" s="18" t="s">
        <v>233</v>
      </c>
      <c r="D357" s="18" t="s">
        <v>872</v>
      </c>
      <c r="E357" s="18"/>
      <c r="F357" s="18" t="s">
        <v>353</v>
      </c>
      <c r="G357" s="18" t="s">
        <v>1026</v>
      </c>
      <c r="H357" s="30" t="n">
        <v>0</v>
      </c>
      <c r="I357" s="18" t="s">
        <v>527</v>
      </c>
      <c r="J357" s="28" t="n">
        <v>2882.91</v>
      </c>
      <c r="K357" s="12" t="str">
        <f aca="false">TEXT(B357,"yyyy-mm")</f>
        <v>2026-01</v>
      </c>
      <c r="L357" s="21" t="str">
        <f aca="false">IFERROR(INDEX(Projects!$E$2:$E$500,MATCH(C357,Projects!$A$2:$A$500,0)),"")</f>
        <v>Customer Experience</v>
      </c>
      <c r="M357" s="31" t="n">
        <f aca="false">IF(I357="Yes",H357*INDEX(Resources!$I$2:$I$500,MATCH(E357,Resources!$A$2:$A$500,0)),0)</f>
        <v>0</v>
      </c>
    </row>
    <row r="358" customFormat="false" ht="15" hidden="false" customHeight="false" outlineLevel="0" collapsed="false">
      <c r="A358" s="18" t="s">
        <v>1389</v>
      </c>
      <c r="B358" s="19" t="n">
        <v>46053</v>
      </c>
      <c r="C358" s="18" t="s">
        <v>233</v>
      </c>
      <c r="D358" s="18" t="s">
        <v>874</v>
      </c>
      <c r="E358" s="18"/>
      <c r="F358" s="18" t="s">
        <v>1028</v>
      </c>
      <c r="G358" s="18" t="s">
        <v>1026</v>
      </c>
      <c r="H358" s="30" t="n">
        <v>0</v>
      </c>
      <c r="I358" s="18" t="s">
        <v>527</v>
      </c>
      <c r="J358" s="28" t="n">
        <v>3641.59</v>
      </c>
      <c r="K358" s="12" t="str">
        <f aca="false">TEXT(B358,"yyyy-mm")</f>
        <v>2026-01</v>
      </c>
      <c r="L358" s="21" t="str">
        <f aca="false">IFERROR(INDEX(Projects!$E$2:$E$500,MATCH(C358,Projects!$A$2:$A$500,0)),"")</f>
        <v>Customer Experience</v>
      </c>
      <c r="M358" s="31" t="n">
        <f aca="false">IF(I358="Yes",H358*INDEX(Resources!$I$2:$I$500,MATCH(E358,Resources!$A$2:$A$500,0)),0)</f>
        <v>0</v>
      </c>
    </row>
    <row r="359" customFormat="false" ht="15" hidden="false" customHeight="false" outlineLevel="0" collapsed="false">
      <c r="A359" s="18" t="s">
        <v>1390</v>
      </c>
      <c r="B359" s="19" t="n">
        <v>46053</v>
      </c>
      <c r="C359" s="18" t="s">
        <v>233</v>
      </c>
      <c r="D359" s="18" t="s">
        <v>876</v>
      </c>
      <c r="E359" s="18"/>
      <c r="F359" s="18" t="s">
        <v>1071</v>
      </c>
      <c r="G359" s="18" t="s">
        <v>1033</v>
      </c>
      <c r="H359" s="30" t="n">
        <v>0</v>
      </c>
      <c r="I359" s="18" t="s">
        <v>527</v>
      </c>
      <c r="J359" s="28" t="n">
        <v>704.39</v>
      </c>
      <c r="K359" s="12" t="str">
        <f aca="false">TEXT(B359,"yyyy-mm")</f>
        <v>2026-01</v>
      </c>
      <c r="L359" s="21" t="str">
        <f aca="false">IFERROR(INDEX(Projects!$E$2:$E$500,MATCH(C359,Projects!$A$2:$A$500,0)),"")</f>
        <v>Customer Experience</v>
      </c>
      <c r="M359" s="31" t="n">
        <f aca="false">IF(I359="Yes",H359*INDEX(Resources!$I$2:$I$500,MATCH(E359,Resources!$A$2:$A$500,0)),0)</f>
        <v>0</v>
      </c>
    </row>
    <row r="360" customFormat="false" ht="15" hidden="false" customHeight="false" outlineLevel="0" collapsed="false">
      <c r="A360" s="18" t="s">
        <v>1391</v>
      </c>
      <c r="B360" s="19" t="n">
        <v>46053</v>
      </c>
      <c r="C360" s="18" t="s">
        <v>244</v>
      </c>
      <c r="D360" s="18" t="s">
        <v>889</v>
      </c>
      <c r="E360" s="18"/>
      <c r="F360" s="18" t="s">
        <v>474</v>
      </c>
      <c r="G360" s="18" t="s">
        <v>1026</v>
      </c>
      <c r="H360" s="30" t="n">
        <v>0</v>
      </c>
      <c r="I360" s="18" t="s">
        <v>527</v>
      </c>
      <c r="J360" s="28" t="n">
        <v>5308.31</v>
      </c>
      <c r="K360" s="12" t="str">
        <f aca="false">TEXT(B360,"yyyy-mm")</f>
        <v>2026-01</v>
      </c>
      <c r="L360" s="21" t="str">
        <f aca="false">IFERROR(INDEX(Projects!$E$2:$E$500,MATCH(C360,Projects!$A$2:$A$500,0)),"")</f>
        <v>Cloud &amp; Infrastructure</v>
      </c>
      <c r="M360" s="31" t="n">
        <f aca="false">IF(I360="Yes",H360*INDEX(Resources!$I$2:$I$500,MATCH(E360,Resources!$A$2:$A$500,0)),0)</f>
        <v>0</v>
      </c>
    </row>
    <row r="361" customFormat="false" ht="15" hidden="false" customHeight="false" outlineLevel="0" collapsed="false">
      <c r="A361" s="18" t="s">
        <v>1392</v>
      </c>
      <c r="B361" s="19" t="n">
        <v>46053</v>
      </c>
      <c r="C361" s="18" t="s">
        <v>244</v>
      </c>
      <c r="D361" s="18" t="s">
        <v>869</v>
      </c>
      <c r="E361" s="18" t="s">
        <v>247</v>
      </c>
      <c r="F361" s="18"/>
      <c r="G361" s="18" t="s">
        <v>1019</v>
      </c>
      <c r="H361" s="30" t="n">
        <v>53.3</v>
      </c>
      <c r="I361" s="18" t="s">
        <v>527</v>
      </c>
      <c r="J361" s="28" t="n">
        <v>4690.4</v>
      </c>
      <c r="K361" s="12" t="str">
        <f aca="false">TEXT(B361,"yyyy-mm")</f>
        <v>2026-01</v>
      </c>
      <c r="L361" s="21" t="str">
        <f aca="false">IFERROR(INDEX(Projects!$E$2:$E$500,MATCH(C361,Projects!$A$2:$A$500,0)),"")</f>
        <v>Cloud &amp; Infrastructure</v>
      </c>
      <c r="M361" s="31" t="n">
        <f aca="false">IF(I361="Yes",H361*INDEX(Resources!$I$2:$I$500,MATCH(E361,Resources!$A$2:$A$500,0)),0)</f>
        <v>0</v>
      </c>
    </row>
    <row r="362" customFormat="false" ht="15" hidden="false" customHeight="false" outlineLevel="0" collapsed="false">
      <c r="A362" s="18" t="s">
        <v>1393</v>
      </c>
      <c r="B362" s="19" t="n">
        <v>46053</v>
      </c>
      <c r="C362" s="18" t="s">
        <v>244</v>
      </c>
      <c r="D362" s="18" t="s">
        <v>869</v>
      </c>
      <c r="E362" s="18" t="s">
        <v>354</v>
      </c>
      <c r="F362" s="18"/>
      <c r="G362" s="18" t="s">
        <v>1019</v>
      </c>
      <c r="H362" s="30" t="n">
        <v>45.3</v>
      </c>
      <c r="I362" s="18" t="s">
        <v>513</v>
      </c>
      <c r="J362" s="28" t="n">
        <v>5885.38</v>
      </c>
      <c r="K362" s="12" t="str">
        <f aca="false">TEXT(B362,"yyyy-mm")</f>
        <v>2026-01</v>
      </c>
      <c r="L362" s="21" t="str">
        <f aca="false">IFERROR(INDEX(Projects!$E$2:$E$500,MATCH(C362,Projects!$A$2:$A$500,0)),"")</f>
        <v>Cloud &amp; Infrastructure</v>
      </c>
      <c r="M362" s="31" t="n">
        <f aca="false">IF(I362="Yes",H362*INDEX(Resources!$I$2:$I$500,MATCH(E362,Resources!$A$2:$A$500,0)),0)</f>
        <v>11778</v>
      </c>
    </row>
    <row r="363" customFormat="false" ht="15" hidden="false" customHeight="false" outlineLevel="0" collapsed="false">
      <c r="A363" s="18" t="s">
        <v>1394</v>
      </c>
      <c r="B363" s="19" t="n">
        <v>46053</v>
      </c>
      <c r="C363" s="18" t="s">
        <v>244</v>
      </c>
      <c r="D363" s="18" t="s">
        <v>869</v>
      </c>
      <c r="E363" s="18" t="s">
        <v>405</v>
      </c>
      <c r="F363" s="18"/>
      <c r="G363" s="18" t="s">
        <v>1019</v>
      </c>
      <c r="H363" s="30" t="n">
        <v>103.9</v>
      </c>
      <c r="I363" s="18" t="s">
        <v>513</v>
      </c>
      <c r="J363" s="28" t="n">
        <v>10323.5</v>
      </c>
      <c r="K363" s="12" t="str">
        <f aca="false">TEXT(B363,"yyyy-mm")</f>
        <v>2026-01</v>
      </c>
      <c r="L363" s="21" t="str">
        <f aca="false">IFERROR(INDEX(Projects!$E$2:$E$500,MATCH(C363,Projects!$A$2:$A$500,0)),"")</f>
        <v>Cloud &amp; Infrastructure</v>
      </c>
      <c r="M363" s="31" t="n">
        <f aca="false">IF(I363="Yes",H363*INDEX(Resources!$I$2:$I$500,MATCH(E363,Resources!$A$2:$A$500,0)),0)</f>
        <v>20780</v>
      </c>
    </row>
    <row r="364" customFormat="false" ht="15" hidden="false" customHeight="false" outlineLevel="0" collapsed="false">
      <c r="A364" s="18" t="s">
        <v>1395</v>
      </c>
      <c r="B364" s="19" t="n">
        <v>46053</v>
      </c>
      <c r="C364" s="18" t="s">
        <v>244</v>
      </c>
      <c r="D364" s="18" t="s">
        <v>869</v>
      </c>
      <c r="E364" s="18" t="s">
        <v>475</v>
      </c>
      <c r="F364" s="18"/>
      <c r="G364" s="18" t="s">
        <v>1019</v>
      </c>
      <c r="H364" s="30" t="n">
        <v>135.7</v>
      </c>
      <c r="I364" s="18" t="s">
        <v>513</v>
      </c>
      <c r="J364" s="28" t="n">
        <v>15944.75</v>
      </c>
      <c r="K364" s="12" t="str">
        <f aca="false">TEXT(B364,"yyyy-mm")</f>
        <v>2026-01</v>
      </c>
      <c r="L364" s="21" t="str">
        <f aca="false">IFERROR(INDEX(Projects!$E$2:$E$500,MATCH(C364,Projects!$A$2:$A$500,0)),"")</f>
        <v>Cloud &amp; Infrastructure</v>
      </c>
      <c r="M364" s="31" t="n">
        <f aca="false">IF(I364="Yes",H364*INDEX(Resources!$I$2:$I$500,MATCH(E364,Resources!$A$2:$A$500,0)),0)</f>
        <v>25783</v>
      </c>
    </row>
    <row r="365" customFormat="false" ht="15" hidden="false" customHeight="false" outlineLevel="0" collapsed="false">
      <c r="A365" s="18" t="s">
        <v>1396</v>
      </c>
      <c r="B365" s="19" t="n">
        <v>46053</v>
      </c>
      <c r="C365" s="18" t="s">
        <v>244</v>
      </c>
      <c r="D365" s="18" t="s">
        <v>869</v>
      </c>
      <c r="E365" s="18" t="s">
        <v>487</v>
      </c>
      <c r="F365" s="18"/>
      <c r="G365" s="18" t="s">
        <v>1019</v>
      </c>
      <c r="H365" s="30" t="n">
        <v>91.7</v>
      </c>
      <c r="I365" s="18" t="s">
        <v>513</v>
      </c>
      <c r="J365" s="28" t="n">
        <v>7334.17</v>
      </c>
      <c r="K365" s="12" t="str">
        <f aca="false">TEXT(B365,"yyyy-mm")</f>
        <v>2026-01</v>
      </c>
      <c r="L365" s="21" t="str">
        <f aca="false">IFERROR(INDEX(Projects!$E$2:$E$500,MATCH(C365,Projects!$A$2:$A$500,0)),"")</f>
        <v>Cloud &amp; Infrastructure</v>
      </c>
      <c r="M365" s="31" t="n">
        <f aca="false">IF(I365="Yes",H365*INDEX(Resources!$I$2:$I$500,MATCH(E365,Resources!$A$2:$A$500,0)),0)</f>
        <v>15130.5</v>
      </c>
    </row>
    <row r="366" customFormat="false" ht="15" hidden="false" customHeight="false" outlineLevel="0" collapsed="false">
      <c r="A366" s="18" t="s">
        <v>1397</v>
      </c>
      <c r="B366" s="19" t="n">
        <v>46053</v>
      </c>
      <c r="C366" s="18" t="s">
        <v>244</v>
      </c>
      <c r="D366" s="18" t="s">
        <v>872</v>
      </c>
      <c r="E366" s="18"/>
      <c r="F366" s="18" t="s">
        <v>1025</v>
      </c>
      <c r="G366" s="18" t="s">
        <v>1026</v>
      </c>
      <c r="H366" s="30" t="n">
        <v>0</v>
      </c>
      <c r="I366" s="18" t="s">
        <v>527</v>
      </c>
      <c r="J366" s="28" t="n">
        <v>2298.01</v>
      </c>
      <c r="K366" s="12" t="str">
        <f aca="false">TEXT(B366,"yyyy-mm")</f>
        <v>2026-01</v>
      </c>
      <c r="L366" s="21" t="str">
        <f aca="false">IFERROR(INDEX(Projects!$E$2:$E$500,MATCH(C366,Projects!$A$2:$A$500,0)),"")</f>
        <v>Cloud &amp; Infrastructure</v>
      </c>
      <c r="M366" s="31" t="n">
        <f aca="false">IF(I366="Yes",H366*INDEX(Resources!$I$2:$I$500,MATCH(E366,Resources!$A$2:$A$500,0)),0)</f>
        <v>0</v>
      </c>
    </row>
    <row r="367" customFormat="false" ht="15" hidden="false" customHeight="false" outlineLevel="0" collapsed="false">
      <c r="A367" s="18" t="s">
        <v>1398</v>
      </c>
      <c r="B367" s="19" t="n">
        <v>46053</v>
      </c>
      <c r="C367" s="18" t="s">
        <v>244</v>
      </c>
      <c r="D367" s="18" t="s">
        <v>876</v>
      </c>
      <c r="E367" s="18"/>
      <c r="F367" s="18" t="s">
        <v>1071</v>
      </c>
      <c r="G367" s="18" t="s">
        <v>1033</v>
      </c>
      <c r="H367" s="30" t="n">
        <v>0</v>
      </c>
      <c r="I367" s="18" t="s">
        <v>527</v>
      </c>
      <c r="J367" s="28" t="n">
        <v>873.45</v>
      </c>
      <c r="K367" s="12" t="str">
        <f aca="false">TEXT(B367,"yyyy-mm")</f>
        <v>2026-01</v>
      </c>
      <c r="L367" s="21" t="str">
        <f aca="false">IFERROR(INDEX(Projects!$E$2:$E$500,MATCH(C367,Projects!$A$2:$A$500,0)),"")</f>
        <v>Cloud &amp; Infrastructure</v>
      </c>
      <c r="M367" s="31" t="n">
        <f aca="false">IF(I367="Yes",H367*INDEX(Resources!$I$2:$I$500,MATCH(E367,Resources!$A$2:$A$500,0)),0)</f>
        <v>0</v>
      </c>
    </row>
    <row r="368" customFormat="false" ht="15" hidden="false" customHeight="false" outlineLevel="0" collapsed="false">
      <c r="A368" s="18" t="s">
        <v>1399</v>
      </c>
      <c r="B368" s="19" t="n">
        <v>46053</v>
      </c>
      <c r="C368" s="18" t="s">
        <v>253</v>
      </c>
      <c r="D368" s="18" t="s">
        <v>869</v>
      </c>
      <c r="E368" s="18" t="s">
        <v>231</v>
      </c>
      <c r="F368" s="18"/>
      <c r="G368" s="18" t="s">
        <v>1019</v>
      </c>
      <c r="H368" s="30" t="n">
        <v>109.7</v>
      </c>
      <c r="I368" s="18" t="s">
        <v>513</v>
      </c>
      <c r="J368" s="28" t="n">
        <v>11198.18</v>
      </c>
      <c r="K368" s="12" t="str">
        <f aca="false">TEXT(B368,"yyyy-mm")</f>
        <v>2026-01</v>
      </c>
      <c r="L368" s="21" t="str">
        <f aca="false">IFERROR(INDEX(Projects!$E$2:$E$500,MATCH(C368,Projects!$A$2:$A$500,0)),"")</f>
        <v>Customer Experience</v>
      </c>
      <c r="M368" s="31" t="n">
        <f aca="false">IF(I368="Yes",H368*INDEX(Resources!$I$2:$I$500,MATCH(E368,Resources!$A$2:$A$500,0)),0)</f>
        <v>22488.5</v>
      </c>
    </row>
    <row r="369" customFormat="false" ht="15" hidden="false" customHeight="false" outlineLevel="0" collapsed="false">
      <c r="A369" s="18" t="s">
        <v>1400</v>
      </c>
      <c r="B369" s="19" t="n">
        <v>46053</v>
      </c>
      <c r="C369" s="18" t="s">
        <v>253</v>
      </c>
      <c r="D369" s="18" t="s">
        <v>869</v>
      </c>
      <c r="E369" s="18" t="s">
        <v>373</v>
      </c>
      <c r="F369" s="18"/>
      <c r="G369" s="18" t="s">
        <v>1019</v>
      </c>
      <c r="H369" s="30" t="n">
        <v>117</v>
      </c>
      <c r="I369" s="18" t="s">
        <v>513</v>
      </c>
      <c r="J369" s="28" t="n">
        <v>8592.48</v>
      </c>
      <c r="K369" s="12" t="str">
        <f aca="false">TEXT(B369,"yyyy-mm")</f>
        <v>2026-01</v>
      </c>
      <c r="L369" s="21" t="str">
        <f aca="false">IFERROR(INDEX(Projects!$E$2:$E$500,MATCH(C369,Projects!$A$2:$A$500,0)),"")</f>
        <v>Customer Experience</v>
      </c>
      <c r="M369" s="31" t="n">
        <f aca="false">IF(I369="Yes",H369*INDEX(Resources!$I$2:$I$500,MATCH(E369,Resources!$A$2:$A$500,0)),0)</f>
        <v>17550</v>
      </c>
    </row>
    <row r="370" customFormat="false" ht="15" hidden="false" customHeight="false" outlineLevel="0" collapsed="false">
      <c r="A370" s="18" t="s">
        <v>1401</v>
      </c>
      <c r="B370" s="19" t="n">
        <v>46053</v>
      </c>
      <c r="C370" s="18" t="s">
        <v>253</v>
      </c>
      <c r="D370" s="18" t="s">
        <v>869</v>
      </c>
      <c r="E370" s="18" t="s">
        <v>387</v>
      </c>
      <c r="F370" s="18"/>
      <c r="G370" s="18" t="s">
        <v>1019</v>
      </c>
      <c r="H370" s="30" t="n">
        <v>101.1</v>
      </c>
      <c r="I370" s="18" t="s">
        <v>513</v>
      </c>
      <c r="J370" s="28" t="n">
        <v>6359.19</v>
      </c>
      <c r="K370" s="12" t="str">
        <f aca="false">TEXT(B370,"yyyy-mm")</f>
        <v>2026-01</v>
      </c>
      <c r="L370" s="21" t="str">
        <f aca="false">IFERROR(INDEX(Projects!$E$2:$E$500,MATCH(C370,Projects!$A$2:$A$500,0)),"")</f>
        <v>Customer Experience</v>
      </c>
      <c r="M370" s="31" t="n">
        <f aca="false">IF(I370="Yes",H370*INDEX(Resources!$I$2:$I$500,MATCH(E370,Resources!$A$2:$A$500,0)),0)</f>
        <v>13143</v>
      </c>
    </row>
    <row r="371" customFormat="false" ht="15" hidden="false" customHeight="false" outlineLevel="0" collapsed="false">
      <c r="A371" s="18" t="s">
        <v>1402</v>
      </c>
      <c r="B371" s="19" t="n">
        <v>46053</v>
      </c>
      <c r="C371" s="18" t="s">
        <v>253</v>
      </c>
      <c r="D371" s="18" t="s">
        <v>869</v>
      </c>
      <c r="E371" s="18" t="s">
        <v>407</v>
      </c>
      <c r="F371" s="18"/>
      <c r="G371" s="18" t="s">
        <v>1019</v>
      </c>
      <c r="H371" s="30" t="n">
        <v>200.1</v>
      </c>
      <c r="I371" s="18" t="s">
        <v>513</v>
      </c>
      <c r="J371" s="28" t="n">
        <v>17120.56</v>
      </c>
      <c r="K371" s="12" t="str">
        <f aca="false">TEXT(B371,"yyyy-mm")</f>
        <v>2026-01</v>
      </c>
      <c r="L371" s="21" t="str">
        <f aca="false">IFERROR(INDEX(Projects!$E$2:$E$500,MATCH(C371,Projects!$A$2:$A$500,0)),"")</f>
        <v>Customer Experience</v>
      </c>
      <c r="M371" s="31" t="n">
        <f aca="false">IF(I371="Yes",H371*INDEX(Resources!$I$2:$I$500,MATCH(E371,Resources!$A$2:$A$500,0)),0)</f>
        <v>34017</v>
      </c>
    </row>
    <row r="372" customFormat="false" ht="15" hidden="false" customHeight="false" outlineLevel="0" collapsed="false">
      <c r="A372" s="18" t="s">
        <v>1403</v>
      </c>
      <c r="B372" s="19" t="n">
        <v>46053</v>
      </c>
      <c r="C372" s="18" t="s">
        <v>253</v>
      </c>
      <c r="D372" s="18" t="s">
        <v>869</v>
      </c>
      <c r="E372" s="18" t="s">
        <v>426</v>
      </c>
      <c r="F372" s="18"/>
      <c r="G372" s="18" t="s">
        <v>1019</v>
      </c>
      <c r="H372" s="30" t="n">
        <v>108</v>
      </c>
      <c r="I372" s="18" t="s">
        <v>513</v>
      </c>
      <c r="J372" s="28" t="n">
        <v>8017.92</v>
      </c>
      <c r="K372" s="12" t="str">
        <f aca="false">TEXT(B372,"yyyy-mm")</f>
        <v>2026-01</v>
      </c>
      <c r="L372" s="21" t="str">
        <f aca="false">IFERROR(INDEX(Projects!$E$2:$E$500,MATCH(C372,Projects!$A$2:$A$500,0)),"")</f>
        <v>Customer Experience</v>
      </c>
      <c r="M372" s="31" t="n">
        <f aca="false">IF(I372="Yes",H372*INDEX(Resources!$I$2:$I$500,MATCH(E372,Resources!$A$2:$A$500,0)),0)</f>
        <v>16200</v>
      </c>
    </row>
    <row r="373" customFormat="false" ht="15" hidden="false" customHeight="false" outlineLevel="0" collapsed="false">
      <c r="A373" s="18" t="s">
        <v>1404</v>
      </c>
      <c r="B373" s="19" t="n">
        <v>46053</v>
      </c>
      <c r="C373" s="18" t="s">
        <v>253</v>
      </c>
      <c r="D373" s="18" t="s">
        <v>872</v>
      </c>
      <c r="E373" s="18"/>
      <c r="F373" s="18" t="s">
        <v>1025</v>
      </c>
      <c r="G373" s="18" t="s">
        <v>1026</v>
      </c>
      <c r="H373" s="30" t="n">
        <v>0</v>
      </c>
      <c r="I373" s="18" t="s">
        <v>527</v>
      </c>
      <c r="J373" s="28" t="n">
        <v>2982.03</v>
      </c>
      <c r="K373" s="12" t="str">
        <f aca="false">TEXT(B373,"yyyy-mm")</f>
        <v>2026-01</v>
      </c>
      <c r="L373" s="21" t="str">
        <f aca="false">IFERROR(INDEX(Projects!$E$2:$E$500,MATCH(C373,Projects!$A$2:$A$500,0)),"")</f>
        <v>Customer Experience</v>
      </c>
      <c r="M373" s="31" t="n">
        <f aca="false">IF(I373="Yes",H373*INDEX(Resources!$I$2:$I$500,MATCH(E373,Resources!$A$2:$A$500,0)),0)</f>
        <v>0</v>
      </c>
    </row>
    <row r="374" customFormat="false" ht="15" hidden="false" customHeight="false" outlineLevel="0" collapsed="false">
      <c r="A374" s="18" t="s">
        <v>1405</v>
      </c>
      <c r="B374" s="19" t="n">
        <v>46053</v>
      </c>
      <c r="C374" s="18" t="s">
        <v>253</v>
      </c>
      <c r="D374" s="18" t="s">
        <v>874</v>
      </c>
      <c r="E374" s="18"/>
      <c r="F374" s="18" t="s">
        <v>1224</v>
      </c>
      <c r="G374" s="18" t="s">
        <v>1026</v>
      </c>
      <c r="H374" s="30" t="n">
        <v>0</v>
      </c>
      <c r="I374" s="18" t="s">
        <v>527</v>
      </c>
      <c r="J374" s="28" t="n">
        <v>3454.24</v>
      </c>
      <c r="K374" s="12" t="str">
        <f aca="false">TEXT(B374,"yyyy-mm")</f>
        <v>2026-01</v>
      </c>
      <c r="L374" s="21" t="str">
        <f aca="false">IFERROR(INDEX(Projects!$E$2:$E$500,MATCH(C374,Projects!$A$2:$A$500,0)),"")</f>
        <v>Customer Experience</v>
      </c>
      <c r="M374" s="31" t="n">
        <f aca="false">IF(I374="Yes",H374*INDEX(Resources!$I$2:$I$500,MATCH(E374,Resources!$A$2:$A$500,0)),0)</f>
        <v>0</v>
      </c>
    </row>
    <row r="375" customFormat="false" ht="15" hidden="false" customHeight="false" outlineLevel="0" collapsed="false">
      <c r="A375" s="18" t="s">
        <v>1406</v>
      </c>
      <c r="B375" s="19" t="n">
        <v>46053</v>
      </c>
      <c r="C375" s="18" t="s">
        <v>253</v>
      </c>
      <c r="D375" s="18" t="s">
        <v>876</v>
      </c>
      <c r="E375" s="18"/>
      <c r="F375" s="18" t="s">
        <v>1032</v>
      </c>
      <c r="G375" s="18" t="s">
        <v>1033</v>
      </c>
      <c r="H375" s="30" t="n">
        <v>0</v>
      </c>
      <c r="I375" s="18" t="s">
        <v>527</v>
      </c>
      <c r="J375" s="28" t="n">
        <v>863.92</v>
      </c>
      <c r="K375" s="12" t="str">
        <f aca="false">TEXT(B375,"yyyy-mm")</f>
        <v>2026-01</v>
      </c>
      <c r="L375" s="21" t="str">
        <f aca="false">IFERROR(INDEX(Projects!$E$2:$E$500,MATCH(C375,Projects!$A$2:$A$500,0)),"")</f>
        <v>Customer Experience</v>
      </c>
      <c r="M375" s="31" t="n">
        <f aca="false">IF(I375="Yes",H375*INDEX(Resources!$I$2:$I$500,MATCH(E375,Resources!$A$2:$A$500,0)),0)</f>
        <v>0</v>
      </c>
    </row>
    <row r="376" customFormat="false" ht="15" hidden="false" customHeight="false" outlineLevel="0" collapsed="false">
      <c r="A376" s="18" t="s">
        <v>1407</v>
      </c>
      <c r="B376" s="19" t="n">
        <v>46053</v>
      </c>
      <c r="C376" s="18" t="s">
        <v>265</v>
      </c>
      <c r="D376" s="18" t="s">
        <v>869</v>
      </c>
      <c r="E376" s="18" t="s">
        <v>211</v>
      </c>
      <c r="F376" s="18"/>
      <c r="G376" s="18" t="s">
        <v>1019</v>
      </c>
      <c r="H376" s="30" t="n">
        <v>122.7</v>
      </c>
      <c r="I376" s="18" t="s">
        <v>513</v>
      </c>
      <c r="J376" s="28" t="n">
        <v>12525.22</v>
      </c>
      <c r="K376" s="12" t="str">
        <f aca="false">TEXT(B376,"yyyy-mm")</f>
        <v>2026-01</v>
      </c>
      <c r="L376" s="21" t="str">
        <f aca="false">IFERROR(INDEX(Projects!$E$2:$E$500,MATCH(C376,Projects!$A$2:$A$500,0)),"")</f>
        <v>Digital Transformation</v>
      </c>
      <c r="M376" s="31" t="n">
        <f aca="false">IF(I376="Yes",H376*INDEX(Resources!$I$2:$I$500,MATCH(E376,Resources!$A$2:$A$500,0)),0)</f>
        <v>25153.5</v>
      </c>
    </row>
    <row r="377" customFormat="false" ht="15" hidden="false" customHeight="false" outlineLevel="0" collapsed="false">
      <c r="A377" s="18" t="s">
        <v>1408</v>
      </c>
      <c r="B377" s="19" t="n">
        <v>46053</v>
      </c>
      <c r="C377" s="18" t="s">
        <v>265</v>
      </c>
      <c r="D377" s="18" t="s">
        <v>869</v>
      </c>
      <c r="E377" s="18" t="s">
        <v>360</v>
      </c>
      <c r="F377" s="18"/>
      <c r="G377" s="18" t="s">
        <v>1019</v>
      </c>
      <c r="H377" s="30" t="n">
        <v>107.1</v>
      </c>
      <c r="I377" s="18" t="s">
        <v>513</v>
      </c>
      <c r="J377" s="28" t="n">
        <v>11155.54</v>
      </c>
      <c r="K377" s="12" t="str">
        <f aca="false">TEXT(B377,"yyyy-mm")</f>
        <v>2026-01</v>
      </c>
      <c r="L377" s="21" t="str">
        <f aca="false">IFERROR(INDEX(Projects!$E$2:$E$500,MATCH(C377,Projects!$A$2:$A$500,0)),"")</f>
        <v>Digital Transformation</v>
      </c>
      <c r="M377" s="31" t="n">
        <f aca="false">IF(I377="Yes",H377*INDEX(Resources!$I$2:$I$500,MATCH(E377,Resources!$A$2:$A$500,0)),0)</f>
        <v>22491</v>
      </c>
    </row>
    <row r="378" customFormat="false" ht="15" hidden="false" customHeight="false" outlineLevel="0" collapsed="false">
      <c r="A378" s="18" t="s">
        <v>1409</v>
      </c>
      <c r="B378" s="19" t="n">
        <v>46053</v>
      </c>
      <c r="C378" s="18" t="s">
        <v>265</v>
      </c>
      <c r="D378" s="18" t="s">
        <v>869</v>
      </c>
      <c r="E378" s="18" t="s">
        <v>375</v>
      </c>
      <c r="F378" s="18"/>
      <c r="G378" s="18" t="s">
        <v>1019</v>
      </c>
      <c r="H378" s="30" t="n">
        <v>159.8</v>
      </c>
      <c r="I378" s="18" t="s">
        <v>513</v>
      </c>
      <c r="J378" s="28" t="n">
        <v>11545.55</v>
      </c>
      <c r="K378" s="12" t="str">
        <f aca="false">TEXT(B378,"yyyy-mm")</f>
        <v>2026-01</v>
      </c>
      <c r="L378" s="21" t="str">
        <f aca="false">IFERROR(INDEX(Projects!$E$2:$E$500,MATCH(C378,Projects!$A$2:$A$500,0)),"")</f>
        <v>Digital Transformation</v>
      </c>
      <c r="M378" s="31" t="n">
        <f aca="false">IF(I378="Yes",H378*INDEX(Resources!$I$2:$I$500,MATCH(E378,Resources!$A$2:$A$500,0)),0)</f>
        <v>19176</v>
      </c>
    </row>
    <row r="379" customFormat="false" ht="15" hidden="false" customHeight="false" outlineLevel="0" collapsed="false">
      <c r="A379" s="18" t="s">
        <v>1410</v>
      </c>
      <c r="B379" s="19" t="n">
        <v>46053</v>
      </c>
      <c r="C379" s="18" t="s">
        <v>265</v>
      </c>
      <c r="D379" s="18" t="s">
        <v>869</v>
      </c>
      <c r="E379" s="18" t="s">
        <v>403</v>
      </c>
      <c r="F379" s="18"/>
      <c r="G379" s="18" t="s">
        <v>1019</v>
      </c>
      <c r="H379" s="30" t="n">
        <v>164.8</v>
      </c>
      <c r="I379" s="18" t="s">
        <v>513</v>
      </c>
      <c r="J379" s="28" t="n">
        <v>14100.29</v>
      </c>
      <c r="K379" s="12" t="str">
        <f aca="false">TEXT(B379,"yyyy-mm")</f>
        <v>2026-01</v>
      </c>
      <c r="L379" s="21" t="str">
        <f aca="false">IFERROR(INDEX(Projects!$E$2:$E$500,MATCH(C379,Projects!$A$2:$A$500,0)),"")</f>
        <v>Digital Transformation</v>
      </c>
      <c r="M379" s="31" t="n">
        <f aca="false">IF(I379="Yes",H379*INDEX(Resources!$I$2:$I$500,MATCH(E379,Resources!$A$2:$A$500,0)),0)</f>
        <v>28016</v>
      </c>
    </row>
    <row r="380" customFormat="false" ht="15" hidden="false" customHeight="false" outlineLevel="0" collapsed="false">
      <c r="A380" s="18" t="s">
        <v>1411</v>
      </c>
      <c r="B380" s="19" t="n">
        <v>46053</v>
      </c>
      <c r="C380" s="18" t="s">
        <v>265</v>
      </c>
      <c r="D380" s="18" t="s">
        <v>869</v>
      </c>
      <c r="E380" s="18" t="s">
        <v>432</v>
      </c>
      <c r="F380" s="18"/>
      <c r="G380" s="18" t="s">
        <v>1019</v>
      </c>
      <c r="H380" s="30" t="n">
        <v>116.3</v>
      </c>
      <c r="I380" s="18" t="s">
        <v>513</v>
      </c>
      <c r="J380" s="28" t="n">
        <v>7443.2</v>
      </c>
      <c r="K380" s="12" t="str">
        <f aca="false">TEXT(B380,"yyyy-mm")</f>
        <v>2026-01</v>
      </c>
      <c r="L380" s="21" t="str">
        <f aca="false">IFERROR(INDEX(Projects!$E$2:$E$500,MATCH(C380,Projects!$A$2:$A$500,0)),"")</f>
        <v>Digital Transformation</v>
      </c>
      <c r="M380" s="31" t="n">
        <f aca="false">IF(I380="Yes",H380*INDEX(Resources!$I$2:$I$500,MATCH(E380,Resources!$A$2:$A$500,0)),0)</f>
        <v>15119</v>
      </c>
    </row>
    <row r="381" customFormat="false" ht="15" hidden="false" customHeight="false" outlineLevel="0" collapsed="false">
      <c r="A381" s="18" t="s">
        <v>1412</v>
      </c>
      <c r="B381" s="19" t="n">
        <v>46053</v>
      </c>
      <c r="C381" s="18" t="s">
        <v>265</v>
      </c>
      <c r="D381" s="18" t="s">
        <v>872</v>
      </c>
      <c r="E381" s="18"/>
      <c r="F381" s="18" t="s">
        <v>353</v>
      </c>
      <c r="G381" s="18" t="s">
        <v>1026</v>
      </c>
      <c r="H381" s="30" t="n">
        <v>0</v>
      </c>
      <c r="I381" s="18" t="s">
        <v>527</v>
      </c>
      <c r="J381" s="28" t="n">
        <v>4289.68</v>
      </c>
      <c r="K381" s="12" t="str">
        <f aca="false">TEXT(B381,"yyyy-mm")</f>
        <v>2026-01</v>
      </c>
      <c r="L381" s="21" t="str">
        <f aca="false">IFERROR(INDEX(Projects!$E$2:$E$500,MATCH(C381,Projects!$A$2:$A$500,0)),"")</f>
        <v>Digital Transformation</v>
      </c>
      <c r="M381" s="31" t="n">
        <f aca="false">IF(I381="Yes",H381*INDEX(Resources!$I$2:$I$500,MATCH(E381,Resources!$A$2:$A$500,0)),0)</f>
        <v>0</v>
      </c>
    </row>
    <row r="382" customFormat="false" ht="15" hidden="false" customHeight="false" outlineLevel="0" collapsed="false">
      <c r="A382" s="18" t="s">
        <v>1413</v>
      </c>
      <c r="B382" s="19" t="n">
        <v>46053</v>
      </c>
      <c r="C382" s="18" t="s">
        <v>265</v>
      </c>
      <c r="D382" s="18" t="s">
        <v>874</v>
      </c>
      <c r="E382" s="18"/>
      <c r="F382" s="18" t="s">
        <v>1028</v>
      </c>
      <c r="G382" s="18" t="s">
        <v>1026</v>
      </c>
      <c r="H382" s="30" t="n">
        <v>0</v>
      </c>
      <c r="I382" s="18" t="s">
        <v>527</v>
      </c>
      <c r="J382" s="28" t="n">
        <v>5902.51</v>
      </c>
      <c r="K382" s="12" t="str">
        <f aca="false">TEXT(B382,"yyyy-mm")</f>
        <v>2026-01</v>
      </c>
      <c r="L382" s="21" t="str">
        <f aca="false">IFERROR(INDEX(Projects!$E$2:$E$500,MATCH(C382,Projects!$A$2:$A$500,0)),"")</f>
        <v>Digital Transformation</v>
      </c>
      <c r="M382" s="31" t="n">
        <f aca="false">IF(I382="Yes",H382*INDEX(Resources!$I$2:$I$500,MATCH(E382,Resources!$A$2:$A$500,0)),0)</f>
        <v>0</v>
      </c>
    </row>
    <row r="383" customFormat="false" ht="15" hidden="false" customHeight="false" outlineLevel="0" collapsed="false">
      <c r="A383" s="18" t="s">
        <v>1414</v>
      </c>
      <c r="B383" s="19" t="n">
        <v>46053</v>
      </c>
      <c r="C383" s="18" t="s">
        <v>265</v>
      </c>
      <c r="D383" s="18" t="s">
        <v>495</v>
      </c>
      <c r="E383" s="18"/>
      <c r="F383" s="18" t="s">
        <v>1030</v>
      </c>
      <c r="G383" s="18" t="s">
        <v>1026</v>
      </c>
      <c r="H383" s="30" t="n">
        <v>0</v>
      </c>
      <c r="I383" s="18" t="s">
        <v>527</v>
      </c>
      <c r="J383" s="28" t="n">
        <v>1404.26</v>
      </c>
      <c r="K383" s="12" t="str">
        <f aca="false">TEXT(B383,"yyyy-mm")</f>
        <v>2026-01</v>
      </c>
      <c r="L383" s="21" t="str">
        <f aca="false">IFERROR(INDEX(Projects!$E$2:$E$500,MATCH(C383,Projects!$A$2:$A$500,0)),"")</f>
        <v>Digital Transformation</v>
      </c>
      <c r="M383" s="31" t="n">
        <f aca="false">IF(I383="Yes",H383*INDEX(Resources!$I$2:$I$500,MATCH(E383,Resources!$A$2:$A$500,0)),0)</f>
        <v>0</v>
      </c>
    </row>
    <row r="384" customFormat="false" ht="15" hidden="false" customHeight="false" outlineLevel="0" collapsed="false">
      <c r="A384" s="18" t="s">
        <v>1415</v>
      </c>
      <c r="B384" s="19" t="n">
        <v>46053</v>
      </c>
      <c r="C384" s="18" t="s">
        <v>265</v>
      </c>
      <c r="D384" s="18" t="s">
        <v>876</v>
      </c>
      <c r="E384" s="18"/>
      <c r="F384" s="18" t="s">
        <v>1032</v>
      </c>
      <c r="G384" s="18" t="s">
        <v>1033</v>
      </c>
      <c r="H384" s="30" t="n">
        <v>0</v>
      </c>
      <c r="I384" s="18" t="s">
        <v>527</v>
      </c>
      <c r="J384" s="28" t="n">
        <v>968.39</v>
      </c>
      <c r="K384" s="12" t="str">
        <f aca="false">TEXT(B384,"yyyy-mm")</f>
        <v>2026-01</v>
      </c>
      <c r="L384" s="21" t="str">
        <f aca="false">IFERROR(INDEX(Projects!$E$2:$E$500,MATCH(C384,Projects!$A$2:$A$500,0)),"")</f>
        <v>Digital Transformation</v>
      </c>
      <c r="M384" s="31" t="n">
        <f aca="false">IF(I384="Yes",H384*INDEX(Resources!$I$2:$I$500,MATCH(E384,Resources!$A$2:$A$500,0)),0)</f>
        <v>0</v>
      </c>
    </row>
    <row r="385" customFormat="false" ht="15" hidden="false" customHeight="false" outlineLevel="0" collapsed="false">
      <c r="A385" s="18" t="s">
        <v>1416</v>
      </c>
      <c r="B385" s="19" t="n">
        <v>46053</v>
      </c>
      <c r="C385" s="18" t="s">
        <v>267</v>
      </c>
      <c r="D385" s="18" t="s">
        <v>889</v>
      </c>
      <c r="E385" s="18"/>
      <c r="F385" s="18" t="s">
        <v>1035</v>
      </c>
      <c r="G385" s="18" t="s">
        <v>1026</v>
      </c>
      <c r="H385" s="30" t="n">
        <v>0</v>
      </c>
      <c r="I385" s="18" t="s">
        <v>527</v>
      </c>
      <c r="J385" s="28" t="n">
        <v>5659.07</v>
      </c>
      <c r="K385" s="12" t="str">
        <f aca="false">TEXT(B385,"yyyy-mm")</f>
        <v>2026-01</v>
      </c>
      <c r="L385" s="21" t="str">
        <f aca="false">IFERROR(INDEX(Projects!$E$2:$E$500,MATCH(C385,Projects!$A$2:$A$500,0)),"")</f>
        <v>Cloud &amp; Infrastructure</v>
      </c>
      <c r="M385" s="31" t="n">
        <f aca="false">IF(I385="Yes",H385*INDEX(Resources!$I$2:$I$500,MATCH(E385,Resources!$A$2:$A$500,0)),0)</f>
        <v>0</v>
      </c>
    </row>
    <row r="386" customFormat="false" ht="15" hidden="false" customHeight="false" outlineLevel="0" collapsed="false">
      <c r="A386" s="18" t="s">
        <v>1417</v>
      </c>
      <c r="B386" s="19" t="n">
        <v>46053</v>
      </c>
      <c r="C386" s="18" t="s">
        <v>267</v>
      </c>
      <c r="D386" s="18" t="s">
        <v>869</v>
      </c>
      <c r="E386" s="18" t="s">
        <v>242</v>
      </c>
      <c r="F386" s="18"/>
      <c r="G386" s="18" t="s">
        <v>1019</v>
      </c>
      <c r="H386" s="30" t="n">
        <v>43.5</v>
      </c>
      <c r="I386" s="18" t="s">
        <v>513</v>
      </c>
      <c r="J386" s="28" t="n">
        <v>4134.24</v>
      </c>
      <c r="K386" s="12" t="str">
        <f aca="false">TEXT(B386,"yyyy-mm")</f>
        <v>2026-01</v>
      </c>
      <c r="L386" s="21" t="str">
        <f aca="false">IFERROR(INDEX(Projects!$E$2:$E$500,MATCH(C386,Projects!$A$2:$A$500,0)),"")</f>
        <v>Cloud &amp; Infrastructure</v>
      </c>
      <c r="M386" s="31" t="n">
        <f aca="false">IF(I386="Yes",H386*INDEX(Resources!$I$2:$I$500,MATCH(E386,Resources!$A$2:$A$500,0)),0)</f>
        <v>8265</v>
      </c>
    </row>
    <row r="387" customFormat="false" ht="15" hidden="false" customHeight="false" outlineLevel="0" collapsed="false">
      <c r="A387" s="18" t="s">
        <v>1418</v>
      </c>
      <c r="B387" s="19" t="n">
        <v>46053</v>
      </c>
      <c r="C387" s="18" t="s">
        <v>267</v>
      </c>
      <c r="D387" s="18" t="s">
        <v>869</v>
      </c>
      <c r="E387" s="18" t="s">
        <v>348</v>
      </c>
      <c r="F387" s="18"/>
      <c r="G387" s="18" t="s">
        <v>1019</v>
      </c>
      <c r="H387" s="30" t="n">
        <v>48.1</v>
      </c>
      <c r="I387" s="18" t="s">
        <v>513</v>
      </c>
      <c r="J387" s="28" t="n">
        <v>6249.15</v>
      </c>
      <c r="K387" s="12" t="str">
        <f aca="false">TEXT(B387,"yyyy-mm")</f>
        <v>2026-01</v>
      </c>
      <c r="L387" s="21" t="str">
        <f aca="false">IFERROR(INDEX(Projects!$E$2:$E$500,MATCH(C387,Projects!$A$2:$A$500,0)),"")</f>
        <v>Cloud &amp; Infrastructure</v>
      </c>
      <c r="M387" s="31" t="n">
        <f aca="false">IF(I387="Yes",H387*INDEX(Resources!$I$2:$I$500,MATCH(E387,Resources!$A$2:$A$500,0)),0)</f>
        <v>12506</v>
      </c>
    </row>
    <row r="388" customFormat="false" ht="15" hidden="false" customHeight="false" outlineLevel="0" collapsed="false">
      <c r="A388" s="18" t="s">
        <v>1419</v>
      </c>
      <c r="B388" s="19" t="n">
        <v>46053</v>
      </c>
      <c r="C388" s="18" t="s">
        <v>267</v>
      </c>
      <c r="D388" s="18" t="s">
        <v>869</v>
      </c>
      <c r="E388" s="18" t="s">
        <v>405</v>
      </c>
      <c r="F388" s="18"/>
      <c r="G388" s="18" t="s">
        <v>1019</v>
      </c>
      <c r="H388" s="30" t="n">
        <v>82.8</v>
      </c>
      <c r="I388" s="18" t="s">
        <v>513</v>
      </c>
      <c r="J388" s="28" t="n">
        <v>8227.01</v>
      </c>
      <c r="K388" s="12" t="str">
        <f aca="false">TEXT(B388,"yyyy-mm")</f>
        <v>2026-01</v>
      </c>
      <c r="L388" s="21" t="str">
        <f aca="false">IFERROR(INDEX(Projects!$E$2:$E$500,MATCH(C388,Projects!$A$2:$A$500,0)),"")</f>
        <v>Cloud &amp; Infrastructure</v>
      </c>
      <c r="M388" s="31" t="n">
        <f aca="false">IF(I388="Yes",H388*INDEX(Resources!$I$2:$I$500,MATCH(E388,Resources!$A$2:$A$500,0)),0)</f>
        <v>16560</v>
      </c>
    </row>
    <row r="389" customFormat="false" ht="15" hidden="false" customHeight="false" outlineLevel="0" collapsed="false">
      <c r="A389" s="18" t="s">
        <v>1420</v>
      </c>
      <c r="B389" s="19" t="n">
        <v>46053</v>
      </c>
      <c r="C389" s="18" t="s">
        <v>267</v>
      </c>
      <c r="D389" s="18" t="s">
        <v>869</v>
      </c>
      <c r="E389" s="18" t="s">
        <v>477</v>
      </c>
      <c r="F389" s="18"/>
      <c r="G389" s="18" t="s">
        <v>1019</v>
      </c>
      <c r="H389" s="30" t="n">
        <v>126.4</v>
      </c>
      <c r="I389" s="18" t="s">
        <v>513</v>
      </c>
      <c r="J389" s="28" t="n">
        <v>13782.66</v>
      </c>
      <c r="K389" s="12" t="str">
        <f aca="false">TEXT(B389,"yyyy-mm")</f>
        <v>2026-01</v>
      </c>
      <c r="L389" s="21" t="str">
        <f aca="false">IFERROR(INDEX(Projects!$E$2:$E$500,MATCH(C389,Projects!$A$2:$A$500,0)),"")</f>
        <v>Cloud &amp; Infrastructure</v>
      </c>
      <c r="M389" s="31" t="n">
        <f aca="false">IF(I389="Yes",H389*INDEX(Resources!$I$2:$I$500,MATCH(E389,Resources!$A$2:$A$500,0)),0)</f>
        <v>27808</v>
      </c>
    </row>
    <row r="390" customFormat="false" ht="15" hidden="false" customHeight="false" outlineLevel="0" collapsed="false">
      <c r="A390" s="18" t="s">
        <v>1421</v>
      </c>
      <c r="B390" s="19" t="n">
        <v>46053</v>
      </c>
      <c r="C390" s="18" t="s">
        <v>267</v>
      </c>
      <c r="D390" s="18" t="s">
        <v>869</v>
      </c>
      <c r="E390" s="18" t="s">
        <v>489</v>
      </c>
      <c r="F390" s="18"/>
      <c r="G390" s="18" t="s">
        <v>1019</v>
      </c>
      <c r="H390" s="30" t="n">
        <v>87.8</v>
      </c>
      <c r="I390" s="18" t="s">
        <v>513</v>
      </c>
      <c r="J390" s="28" t="n">
        <v>7550.8</v>
      </c>
      <c r="K390" s="12" t="str">
        <f aca="false">TEXT(B390,"yyyy-mm")</f>
        <v>2026-01</v>
      </c>
      <c r="L390" s="21" t="str">
        <f aca="false">IFERROR(INDEX(Projects!$E$2:$E$500,MATCH(C390,Projects!$A$2:$A$500,0)),"")</f>
        <v>Cloud &amp; Infrastructure</v>
      </c>
      <c r="M390" s="31" t="n">
        <f aca="false">IF(I390="Yes",H390*INDEX(Resources!$I$2:$I$500,MATCH(E390,Resources!$A$2:$A$500,0)),0)</f>
        <v>15365</v>
      </c>
    </row>
    <row r="391" customFormat="false" ht="15" hidden="false" customHeight="false" outlineLevel="0" collapsed="false">
      <c r="A391" s="18" t="s">
        <v>1422</v>
      </c>
      <c r="B391" s="19" t="n">
        <v>46053</v>
      </c>
      <c r="C391" s="18" t="s">
        <v>267</v>
      </c>
      <c r="D391" s="18" t="s">
        <v>872</v>
      </c>
      <c r="E391" s="18"/>
      <c r="F391" s="18" t="s">
        <v>1059</v>
      </c>
      <c r="G391" s="18" t="s">
        <v>1026</v>
      </c>
      <c r="H391" s="30" t="n">
        <v>0</v>
      </c>
      <c r="I391" s="18" t="s">
        <v>527</v>
      </c>
      <c r="J391" s="28" t="n">
        <v>1636.33</v>
      </c>
      <c r="K391" s="12" t="str">
        <f aca="false">TEXT(B391,"yyyy-mm")</f>
        <v>2026-01</v>
      </c>
      <c r="L391" s="21" t="str">
        <f aca="false">IFERROR(INDEX(Projects!$E$2:$E$500,MATCH(C391,Projects!$A$2:$A$500,0)),"")</f>
        <v>Cloud &amp; Infrastructure</v>
      </c>
      <c r="M391" s="31" t="n">
        <f aca="false">IF(I391="Yes",H391*INDEX(Resources!$I$2:$I$500,MATCH(E391,Resources!$A$2:$A$500,0)),0)</f>
        <v>0</v>
      </c>
    </row>
    <row r="392" customFormat="false" ht="15" hidden="false" customHeight="false" outlineLevel="0" collapsed="false">
      <c r="A392" s="18" t="s">
        <v>1423</v>
      </c>
      <c r="B392" s="19" t="n">
        <v>46053</v>
      </c>
      <c r="C392" s="18" t="s">
        <v>267</v>
      </c>
      <c r="D392" s="18" t="s">
        <v>876</v>
      </c>
      <c r="E392" s="18"/>
      <c r="F392" s="18" t="s">
        <v>1032</v>
      </c>
      <c r="G392" s="18" t="s">
        <v>1033</v>
      </c>
      <c r="H392" s="30" t="n">
        <v>0</v>
      </c>
      <c r="I392" s="18" t="s">
        <v>527</v>
      </c>
      <c r="J392" s="28" t="n">
        <v>736.66</v>
      </c>
      <c r="K392" s="12" t="str">
        <f aca="false">TEXT(B392,"yyyy-mm")</f>
        <v>2026-01</v>
      </c>
      <c r="L392" s="21" t="str">
        <f aca="false">IFERROR(INDEX(Projects!$E$2:$E$500,MATCH(C392,Projects!$A$2:$A$500,0)),"")</f>
        <v>Cloud &amp; Infrastructure</v>
      </c>
      <c r="M392" s="31" t="n">
        <f aca="false">IF(I392="Yes",H392*INDEX(Resources!$I$2:$I$500,MATCH(E392,Resources!$A$2:$A$500,0)),0)</f>
        <v>0</v>
      </c>
    </row>
    <row r="393" customFormat="false" ht="15" hidden="false" customHeight="false" outlineLevel="0" collapsed="false">
      <c r="A393" s="18" t="s">
        <v>1424</v>
      </c>
      <c r="B393" s="19" t="n">
        <v>46053</v>
      </c>
      <c r="C393" s="18" t="s">
        <v>275</v>
      </c>
      <c r="D393" s="18" t="s">
        <v>869</v>
      </c>
      <c r="E393" s="18" t="s">
        <v>218</v>
      </c>
      <c r="F393" s="18"/>
      <c r="G393" s="18" t="s">
        <v>1019</v>
      </c>
      <c r="H393" s="30" t="n">
        <v>56.2</v>
      </c>
      <c r="I393" s="18" t="s">
        <v>513</v>
      </c>
      <c r="J393" s="28" t="n">
        <v>4203.76</v>
      </c>
      <c r="K393" s="12" t="str">
        <f aca="false">TEXT(B393,"yyyy-mm")</f>
        <v>2026-01</v>
      </c>
      <c r="L393" s="21" t="str">
        <f aca="false">IFERROR(INDEX(Projects!$E$2:$E$500,MATCH(C393,Projects!$A$2:$A$500,0)),"")</f>
        <v>Customer Experience</v>
      </c>
      <c r="M393" s="31" t="n">
        <f aca="false">IF(I393="Yes",H393*INDEX(Resources!$I$2:$I$500,MATCH(E393,Resources!$A$2:$A$500,0)),0)</f>
        <v>8430</v>
      </c>
    </row>
    <row r="394" customFormat="false" ht="15" hidden="false" customHeight="false" outlineLevel="0" collapsed="false">
      <c r="A394" s="18" t="s">
        <v>1425</v>
      </c>
      <c r="B394" s="19" t="n">
        <v>46053</v>
      </c>
      <c r="C394" s="18" t="s">
        <v>275</v>
      </c>
      <c r="D394" s="18" t="s">
        <v>869</v>
      </c>
      <c r="E394" s="18" t="s">
        <v>371</v>
      </c>
      <c r="F394" s="18"/>
      <c r="G394" s="18" t="s">
        <v>1019</v>
      </c>
      <c r="H394" s="30" t="n">
        <v>54.1</v>
      </c>
      <c r="I394" s="18" t="s">
        <v>513</v>
      </c>
      <c r="J394" s="28" t="n">
        <v>3421.28</v>
      </c>
      <c r="K394" s="12" t="str">
        <f aca="false">TEXT(B394,"yyyy-mm")</f>
        <v>2026-01</v>
      </c>
      <c r="L394" s="21" t="str">
        <f aca="false">IFERROR(INDEX(Projects!$E$2:$E$500,MATCH(C394,Projects!$A$2:$A$500,0)),"")</f>
        <v>Customer Experience</v>
      </c>
      <c r="M394" s="31" t="n">
        <f aca="false">IF(I394="Yes",H394*INDEX(Resources!$I$2:$I$500,MATCH(E394,Resources!$A$2:$A$500,0)),0)</f>
        <v>7033</v>
      </c>
    </row>
    <row r="395" customFormat="false" ht="15" hidden="false" customHeight="false" outlineLevel="0" collapsed="false">
      <c r="A395" s="18" t="s">
        <v>1426</v>
      </c>
      <c r="B395" s="19" t="n">
        <v>46053</v>
      </c>
      <c r="C395" s="18" t="s">
        <v>275</v>
      </c>
      <c r="D395" s="18" t="s">
        <v>869</v>
      </c>
      <c r="E395" s="18" t="s">
        <v>387</v>
      </c>
      <c r="F395" s="18"/>
      <c r="G395" s="18" t="s">
        <v>1019</v>
      </c>
      <c r="H395" s="30" t="n">
        <v>55.9</v>
      </c>
      <c r="I395" s="18" t="s">
        <v>513</v>
      </c>
      <c r="J395" s="28" t="n">
        <v>3516.11</v>
      </c>
      <c r="K395" s="12" t="str">
        <f aca="false">TEXT(B395,"yyyy-mm")</f>
        <v>2026-01</v>
      </c>
      <c r="L395" s="21" t="str">
        <f aca="false">IFERROR(INDEX(Projects!$E$2:$E$500,MATCH(C395,Projects!$A$2:$A$500,0)),"")</f>
        <v>Customer Experience</v>
      </c>
      <c r="M395" s="31" t="n">
        <f aca="false">IF(I395="Yes",H395*INDEX(Resources!$I$2:$I$500,MATCH(E395,Resources!$A$2:$A$500,0)),0)</f>
        <v>7267</v>
      </c>
    </row>
    <row r="396" customFormat="false" ht="15" hidden="false" customHeight="false" outlineLevel="0" collapsed="false">
      <c r="A396" s="18" t="s">
        <v>1427</v>
      </c>
      <c r="B396" s="19" t="n">
        <v>46053</v>
      </c>
      <c r="C396" s="18" t="s">
        <v>275</v>
      </c>
      <c r="D396" s="18" t="s">
        <v>869</v>
      </c>
      <c r="E396" s="18" t="s">
        <v>400</v>
      </c>
      <c r="F396" s="18"/>
      <c r="G396" s="18" t="s">
        <v>1019</v>
      </c>
      <c r="H396" s="30" t="n">
        <v>56.7</v>
      </c>
      <c r="I396" s="18" t="s">
        <v>513</v>
      </c>
      <c r="J396" s="28" t="n">
        <v>5633.71</v>
      </c>
      <c r="K396" s="12" t="str">
        <f aca="false">TEXT(B396,"yyyy-mm")</f>
        <v>2026-01</v>
      </c>
      <c r="L396" s="21" t="str">
        <f aca="false">IFERROR(INDEX(Projects!$E$2:$E$500,MATCH(C396,Projects!$A$2:$A$500,0)),"")</f>
        <v>Customer Experience</v>
      </c>
      <c r="M396" s="31" t="n">
        <f aca="false">IF(I396="Yes",H396*INDEX(Resources!$I$2:$I$500,MATCH(E396,Resources!$A$2:$A$500,0)),0)</f>
        <v>11340</v>
      </c>
    </row>
    <row r="397" customFormat="false" ht="15" hidden="false" customHeight="false" outlineLevel="0" collapsed="false">
      <c r="A397" s="18" t="s">
        <v>1428</v>
      </c>
      <c r="B397" s="19" t="n">
        <v>46053</v>
      </c>
      <c r="C397" s="18" t="s">
        <v>275</v>
      </c>
      <c r="D397" s="18" t="s">
        <v>869</v>
      </c>
      <c r="E397" s="18" t="s">
        <v>422</v>
      </c>
      <c r="F397" s="18"/>
      <c r="G397" s="18" t="s">
        <v>1019</v>
      </c>
      <c r="H397" s="30" t="n">
        <v>53.5</v>
      </c>
      <c r="I397" s="18" t="s">
        <v>513</v>
      </c>
      <c r="J397" s="28" t="n">
        <v>3184.32</v>
      </c>
      <c r="K397" s="12" t="str">
        <f aca="false">TEXT(B397,"yyyy-mm")</f>
        <v>2026-01</v>
      </c>
      <c r="L397" s="21" t="str">
        <f aca="false">IFERROR(INDEX(Projects!$E$2:$E$500,MATCH(C397,Projects!$A$2:$A$500,0)),"")</f>
        <v>Customer Experience</v>
      </c>
      <c r="M397" s="31" t="n">
        <f aca="false">IF(I397="Yes",H397*INDEX(Resources!$I$2:$I$500,MATCH(E397,Resources!$A$2:$A$500,0)),0)</f>
        <v>6420</v>
      </c>
    </row>
    <row r="398" customFormat="false" ht="15" hidden="false" customHeight="false" outlineLevel="0" collapsed="false">
      <c r="A398" s="18" t="s">
        <v>1429</v>
      </c>
      <c r="B398" s="19" t="n">
        <v>46053</v>
      </c>
      <c r="C398" s="18" t="s">
        <v>275</v>
      </c>
      <c r="D398" s="18" t="s">
        <v>872</v>
      </c>
      <c r="E398" s="18"/>
      <c r="F398" s="18" t="s">
        <v>353</v>
      </c>
      <c r="G398" s="18" t="s">
        <v>1026</v>
      </c>
      <c r="H398" s="30" t="n">
        <v>0</v>
      </c>
      <c r="I398" s="18" t="s">
        <v>527</v>
      </c>
      <c r="J398" s="28" t="n">
        <v>2136.99</v>
      </c>
      <c r="K398" s="12" t="str">
        <f aca="false">TEXT(B398,"yyyy-mm")</f>
        <v>2026-01</v>
      </c>
      <c r="L398" s="21" t="str">
        <f aca="false">IFERROR(INDEX(Projects!$E$2:$E$500,MATCH(C398,Projects!$A$2:$A$500,0)),"")</f>
        <v>Customer Experience</v>
      </c>
      <c r="M398" s="31" t="n">
        <f aca="false">IF(I398="Yes",H398*INDEX(Resources!$I$2:$I$500,MATCH(E398,Resources!$A$2:$A$500,0)),0)</f>
        <v>0</v>
      </c>
    </row>
    <row r="399" customFormat="false" ht="15" hidden="false" customHeight="false" outlineLevel="0" collapsed="false">
      <c r="A399" s="18" t="s">
        <v>1430</v>
      </c>
      <c r="B399" s="19" t="n">
        <v>46053</v>
      </c>
      <c r="C399" s="18" t="s">
        <v>275</v>
      </c>
      <c r="D399" s="18" t="s">
        <v>874</v>
      </c>
      <c r="E399" s="18"/>
      <c r="F399" s="18" t="s">
        <v>1028</v>
      </c>
      <c r="G399" s="18" t="s">
        <v>1026</v>
      </c>
      <c r="H399" s="30" t="n">
        <v>0</v>
      </c>
      <c r="I399" s="18" t="s">
        <v>527</v>
      </c>
      <c r="J399" s="28" t="n">
        <v>3339.84</v>
      </c>
      <c r="K399" s="12" t="str">
        <f aca="false">TEXT(B399,"yyyy-mm")</f>
        <v>2026-01</v>
      </c>
      <c r="L399" s="21" t="str">
        <f aca="false">IFERROR(INDEX(Projects!$E$2:$E$500,MATCH(C399,Projects!$A$2:$A$500,0)),"")</f>
        <v>Customer Experience</v>
      </c>
      <c r="M399" s="31" t="n">
        <f aca="false">IF(I399="Yes",H399*INDEX(Resources!$I$2:$I$500,MATCH(E399,Resources!$A$2:$A$500,0)),0)</f>
        <v>0</v>
      </c>
    </row>
    <row r="400" customFormat="false" ht="15" hidden="false" customHeight="false" outlineLevel="0" collapsed="false">
      <c r="A400" s="18" t="s">
        <v>1431</v>
      </c>
      <c r="B400" s="19" t="n">
        <v>46053</v>
      </c>
      <c r="C400" s="18" t="s">
        <v>275</v>
      </c>
      <c r="D400" s="18" t="s">
        <v>876</v>
      </c>
      <c r="E400" s="18"/>
      <c r="F400" s="18" t="s">
        <v>1071</v>
      </c>
      <c r="G400" s="18" t="s">
        <v>1033</v>
      </c>
      <c r="H400" s="30" t="n">
        <v>0</v>
      </c>
      <c r="I400" s="18" t="s">
        <v>527</v>
      </c>
      <c r="J400" s="28" t="n">
        <v>627.24</v>
      </c>
      <c r="K400" s="12" t="str">
        <f aca="false">TEXT(B400,"yyyy-mm")</f>
        <v>2026-01</v>
      </c>
      <c r="L400" s="21" t="str">
        <f aca="false">IFERROR(INDEX(Projects!$E$2:$E$500,MATCH(C400,Projects!$A$2:$A$500,0)),"")</f>
        <v>Customer Experience</v>
      </c>
      <c r="M400" s="31" t="n">
        <f aca="false">IF(I400="Yes",H400*INDEX(Resources!$I$2:$I$500,MATCH(E400,Resources!$A$2:$A$500,0)),0)</f>
        <v>0</v>
      </c>
    </row>
    <row r="401" customFormat="false" ht="15" hidden="false" customHeight="false" outlineLevel="0" collapsed="false">
      <c r="A401" s="18" t="s">
        <v>1432</v>
      </c>
      <c r="B401" s="19" t="n">
        <v>46053</v>
      </c>
      <c r="C401" s="18" t="s">
        <v>281</v>
      </c>
      <c r="D401" s="18" t="s">
        <v>869</v>
      </c>
      <c r="E401" s="18" t="s">
        <v>247</v>
      </c>
      <c r="F401" s="18"/>
      <c r="G401" s="18" t="s">
        <v>1019</v>
      </c>
      <c r="H401" s="30" t="n">
        <v>100.7</v>
      </c>
      <c r="I401" s="18" t="s">
        <v>513</v>
      </c>
      <c r="J401" s="28" t="n">
        <v>8861.6</v>
      </c>
      <c r="K401" s="12" t="str">
        <f aca="false">TEXT(B401,"yyyy-mm")</f>
        <v>2026-01</v>
      </c>
      <c r="L401" s="21" t="str">
        <f aca="false">IFERROR(INDEX(Projects!$E$2:$E$500,MATCH(C401,Projects!$A$2:$A$500,0)),"")</f>
        <v>Digital Transformation</v>
      </c>
      <c r="M401" s="31" t="n">
        <f aca="false">IF(I401="Yes",H401*INDEX(Resources!$I$2:$I$500,MATCH(E401,Resources!$A$2:$A$500,0)),0)</f>
        <v>17622.5</v>
      </c>
    </row>
    <row r="402" customFormat="false" ht="15" hidden="false" customHeight="false" outlineLevel="0" collapsed="false">
      <c r="A402" s="18" t="s">
        <v>1433</v>
      </c>
      <c r="B402" s="19" t="n">
        <v>46053</v>
      </c>
      <c r="C402" s="18" t="s">
        <v>281</v>
      </c>
      <c r="D402" s="18" t="s">
        <v>869</v>
      </c>
      <c r="E402" s="18" t="s">
        <v>371</v>
      </c>
      <c r="F402" s="18"/>
      <c r="G402" s="18" t="s">
        <v>1019</v>
      </c>
      <c r="H402" s="30" t="n">
        <v>130</v>
      </c>
      <c r="I402" s="18" t="s">
        <v>513</v>
      </c>
      <c r="J402" s="28" t="n">
        <v>8221.2</v>
      </c>
      <c r="K402" s="12" t="str">
        <f aca="false">TEXT(B402,"yyyy-mm")</f>
        <v>2026-01</v>
      </c>
      <c r="L402" s="21" t="str">
        <f aca="false">IFERROR(INDEX(Projects!$E$2:$E$500,MATCH(C402,Projects!$A$2:$A$500,0)),"")</f>
        <v>Digital Transformation</v>
      </c>
      <c r="M402" s="31" t="n">
        <f aca="false">IF(I402="Yes",H402*INDEX(Resources!$I$2:$I$500,MATCH(E402,Resources!$A$2:$A$500,0)),0)</f>
        <v>16900</v>
      </c>
    </row>
    <row r="403" customFormat="false" ht="15" hidden="false" customHeight="false" outlineLevel="0" collapsed="false">
      <c r="A403" s="18" t="s">
        <v>1434</v>
      </c>
      <c r="B403" s="19" t="n">
        <v>46053</v>
      </c>
      <c r="C403" s="18" t="s">
        <v>281</v>
      </c>
      <c r="D403" s="18" t="s">
        <v>869</v>
      </c>
      <c r="E403" s="18" t="s">
        <v>395</v>
      </c>
      <c r="F403" s="18"/>
      <c r="G403" s="18" t="s">
        <v>1019</v>
      </c>
      <c r="H403" s="30" t="n">
        <v>153.3</v>
      </c>
      <c r="I403" s="18" t="s">
        <v>513</v>
      </c>
      <c r="J403" s="28" t="n">
        <v>16395.44</v>
      </c>
      <c r="K403" s="12" t="str">
        <f aca="false">TEXT(B403,"yyyy-mm")</f>
        <v>2026-01</v>
      </c>
      <c r="L403" s="21" t="str">
        <f aca="false">IFERROR(INDEX(Projects!$E$2:$E$500,MATCH(C403,Projects!$A$2:$A$500,0)),"")</f>
        <v>Digital Transformation</v>
      </c>
      <c r="M403" s="31" t="n">
        <f aca="false">IF(I403="Yes",H403*INDEX(Resources!$I$2:$I$500,MATCH(E403,Resources!$A$2:$A$500,0)),0)</f>
        <v>26061</v>
      </c>
    </row>
    <row r="404" customFormat="false" ht="15" hidden="false" customHeight="false" outlineLevel="0" collapsed="false">
      <c r="A404" s="18" t="s">
        <v>1435</v>
      </c>
      <c r="B404" s="19" t="n">
        <v>46053</v>
      </c>
      <c r="C404" s="18" t="s">
        <v>281</v>
      </c>
      <c r="D404" s="18" t="s">
        <v>869</v>
      </c>
      <c r="E404" s="18" t="s">
        <v>417</v>
      </c>
      <c r="F404" s="18"/>
      <c r="G404" s="18" t="s">
        <v>1019</v>
      </c>
      <c r="H404" s="30" t="n">
        <v>159.2</v>
      </c>
      <c r="I404" s="18" t="s">
        <v>513</v>
      </c>
      <c r="J404" s="28" t="n">
        <v>8660.48</v>
      </c>
      <c r="K404" s="12" t="str">
        <f aca="false">TEXT(B404,"yyyy-mm")</f>
        <v>2026-01</v>
      </c>
      <c r="L404" s="21" t="str">
        <f aca="false">IFERROR(INDEX(Projects!$E$2:$E$500,MATCH(C404,Projects!$A$2:$A$500,0)),"")</f>
        <v>Digital Transformation</v>
      </c>
      <c r="M404" s="31" t="n">
        <f aca="false">IF(I404="Yes",H404*INDEX(Resources!$I$2:$I$500,MATCH(E404,Resources!$A$2:$A$500,0)),0)</f>
        <v>17512</v>
      </c>
    </row>
    <row r="405" customFormat="false" ht="15" hidden="false" customHeight="false" outlineLevel="0" collapsed="false">
      <c r="A405" s="18" t="s">
        <v>1436</v>
      </c>
      <c r="B405" s="19" t="n">
        <v>46053</v>
      </c>
      <c r="C405" s="18" t="s">
        <v>281</v>
      </c>
      <c r="D405" s="18" t="s">
        <v>869</v>
      </c>
      <c r="E405" s="18" t="s">
        <v>434</v>
      </c>
      <c r="F405" s="18"/>
      <c r="G405" s="18" t="s">
        <v>1019</v>
      </c>
      <c r="H405" s="30" t="n">
        <v>101.4</v>
      </c>
      <c r="I405" s="18" t="s">
        <v>513</v>
      </c>
      <c r="J405" s="28" t="n">
        <v>6586.94</v>
      </c>
      <c r="K405" s="12" t="str">
        <f aca="false">TEXT(B405,"yyyy-mm")</f>
        <v>2026-01</v>
      </c>
      <c r="L405" s="21" t="str">
        <f aca="false">IFERROR(INDEX(Projects!$E$2:$E$500,MATCH(C405,Projects!$A$2:$A$500,0)),"")</f>
        <v>Digital Transformation</v>
      </c>
      <c r="M405" s="31" t="n">
        <f aca="false">IF(I405="Yes",H405*INDEX(Resources!$I$2:$I$500,MATCH(E405,Resources!$A$2:$A$500,0)),0)</f>
        <v>13689</v>
      </c>
    </row>
    <row r="406" customFormat="false" ht="15" hidden="false" customHeight="false" outlineLevel="0" collapsed="false">
      <c r="A406" s="18" t="s">
        <v>1437</v>
      </c>
      <c r="B406" s="19" t="n">
        <v>46053</v>
      </c>
      <c r="C406" s="18" t="s">
        <v>281</v>
      </c>
      <c r="D406" s="18" t="s">
        <v>869</v>
      </c>
      <c r="E406" s="18" t="s">
        <v>492</v>
      </c>
      <c r="F406" s="18"/>
      <c r="G406" s="18" t="s">
        <v>1019</v>
      </c>
      <c r="H406" s="30" t="n">
        <v>46.9</v>
      </c>
      <c r="I406" s="18" t="s">
        <v>513</v>
      </c>
      <c r="J406" s="28" t="n">
        <v>3917.09</v>
      </c>
      <c r="K406" s="12" t="str">
        <f aca="false">TEXT(B406,"yyyy-mm")</f>
        <v>2026-01</v>
      </c>
      <c r="L406" s="21" t="str">
        <f aca="false">IFERROR(INDEX(Projects!$E$2:$E$500,MATCH(C406,Projects!$A$2:$A$500,0)),"")</f>
        <v>Digital Transformation</v>
      </c>
      <c r="M406" s="31" t="n">
        <f aca="false">IF(I406="Yes",H406*INDEX(Resources!$I$2:$I$500,MATCH(E406,Resources!$A$2:$A$500,0)),0)</f>
        <v>8207.5</v>
      </c>
    </row>
    <row r="407" customFormat="false" ht="15" hidden="false" customHeight="false" outlineLevel="0" collapsed="false">
      <c r="A407" s="18" t="s">
        <v>1438</v>
      </c>
      <c r="B407" s="19" t="n">
        <v>46053</v>
      </c>
      <c r="C407" s="18" t="s">
        <v>281</v>
      </c>
      <c r="D407" s="18" t="s">
        <v>872</v>
      </c>
      <c r="E407" s="18"/>
      <c r="F407" s="18" t="s">
        <v>1025</v>
      </c>
      <c r="G407" s="18" t="s">
        <v>1026</v>
      </c>
      <c r="H407" s="30" t="n">
        <v>0</v>
      </c>
      <c r="I407" s="18" t="s">
        <v>527</v>
      </c>
      <c r="J407" s="28" t="n">
        <v>3692.49</v>
      </c>
      <c r="K407" s="12" t="str">
        <f aca="false">TEXT(B407,"yyyy-mm")</f>
        <v>2026-01</v>
      </c>
      <c r="L407" s="21" t="str">
        <f aca="false">IFERROR(INDEX(Projects!$E$2:$E$500,MATCH(C407,Projects!$A$2:$A$500,0)),"")</f>
        <v>Digital Transformation</v>
      </c>
      <c r="M407" s="31" t="n">
        <f aca="false">IF(I407="Yes",H407*INDEX(Resources!$I$2:$I$500,MATCH(E407,Resources!$A$2:$A$500,0)),0)</f>
        <v>0</v>
      </c>
    </row>
    <row r="408" customFormat="false" ht="15" hidden="false" customHeight="false" outlineLevel="0" collapsed="false">
      <c r="A408" s="18" t="s">
        <v>1439</v>
      </c>
      <c r="B408" s="19" t="n">
        <v>46053</v>
      </c>
      <c r="C408" s="18" t="s">
        <v>281</v>
      </c>
      <c r="D408" s="18" t="s">
        <v>874</v>
      </c>
      <c r="E408" s="18"/>
      <c r="F408" s="18" t="s">
        <v>1028</v>
      </c>
      <c r="G408" s="18" t="s">
        <v>1026</v>
      </c>
      <c r="H408" s="30" t="n">
        <v>0</v>
      </c>
      <c r="I408" s="18" t="s">
        <v>527</v>
      </c>
      <c r="J408" s="28" t="n">
        <v>5209.24</v>
      </c>
      <c r="K408" s="12" t="str">
        <f aca="false">TEXT(B408,"yyyy-mm")</f>
        <v>2026-01</v>
      </c>
      <c r="L408" s="21" t="str">
        <f aca="false">IFERROR(INDEX(Projects!$E$2:$E$500,MATCH(C408,Projects!$A$2:$A$500,0)),"")</f>
        <v>Digital Transformation</v>
      </c>
      <c r="M408" s="31" t="n">
        <f aca="false">IF(I408="Yes",H408*INDEX(Resources!$I$2:$I$500,MATCH(E408,Resources!$A$2:$A$500,0)),0)</f>
        <v>0</v>
      </c>
    </row>
    <row r="409" customFormat="false" ht="15" hidden="false" customHeight="false" outlineLevel="0" collapsed="false">
      <c r="A409" s="18" t="s">
        <v>1440</v>
      </c>
      <c r="B409" s="19" t="n">
        <v>46053</v>
      </c>
      <c r="C409" s="18" t="s">
        <v>281</v>
      </c>
      <c r="D409" s="18" t="s">
        <v>495</v>
      </c>
      <c r="E409" s="18"/>
      <c r="F409" s="18" t="s">
        <v>1030</v>
      </c>
      <c r="G409" s="18" t="s">
        <v>1026</v>
      </c>
      <c r="H409" s="30" t="n">
        <v>0</v>
      </c>
      <c r="I409" s="18" t="s">
        <v>527</v>
      </c>
      <c r="J409" s="28" t="n">
        <v>1581.61</v>
      </c>
      <c r="K409" s="12" t="str">
        <f aca="false">TEXT(B409,"yyyy-mm")</f>
        <v>2026-01</v>
      </c>
      <c r="L409" s="21" t="str">
        <f aca="false">IFERROR(INDEX(Projects!$E$2:$E$500,MATCH(C409,Projects!$A$2:$A$500,0)),"")</f>
        <v>Digital Transformation</v>
      </c>
      <c r="M409" s="31" t="n">
        <f aca="false">IF(I409="Yes",H409*INDEX(Resources!$I$2:$I$500,MATCH(E409,Resources!$A$2:$A$500,0)),0)</f>
        <v>0</v>
      </c>
    </row>
    <row r="410" customFormat="false" ht="15" hidden="false" customHeight="false" outlineLevel="0" collapsed="false">
      <c r="A410" s="18" t="s">
        <v>1441</v>
      </c>
      <c r="B410" s="19" t="n">
        <v>46053</v>
      </c>
      <c r="C410" s="18" t="s">
        <v>281</v>
      </c>
      <c r="D410" s="18" t="s">
        <v>876</v>
      </c>
      <c r="E410" s="18"/>
      <c r="F410" s="18" t="s">
        <v>1071</v>
      </c>
      <c r="G410" s="18" t="s">
        <v>1033</v>
      </c>
      <c r="H410" s="30" t="n">
        <v>0</v>
      </c>
      <c r="I410" s="18" t="s">
        <v>527</v>
      </c>
      <c r="J410" s="28" t="n">
        <v>1043.8</v>
      </c>
      <c r="K410" s="12" t="str">
        <f aca="false">TEXT(B410,"yyyy-mm")</f>
        <v>2026-01</v>
      </c>
      <c r="L410" s="21" t="str">
        <f aca="false">IFERROR(INDEX(Projects!$E$2:$E$500,MATCH(C410,Projects!$A$2:$A$500,0)),"")</f>
        <v>Digital Transformation</v>
      </c>
      <c r="M410" s="31" t="n">
        <f aca="false">IF(I410="Yes",H410*INDEX(Resources!$I$2:$I$500,MATCH(E410,Resources!$A$2:$A$500,0)),0)</f>
        <v>0</v>
      </c>
    </row>
    <row r="411" customFormat="false" ht="15" hidden="false" customHeight="false" outlineLevel="0" collapsed="false">
      <c r="A411" s="18" t="s">
        <v>1442</v>
      </c>
      <c r="B411" s="19" t="n">
        <v>46053</v>
      </c>
      <c r="C411" s="18" t="s">
        <v>283</v>
      </c>
      <c r="D411" s="18" t="s">
        <v>889</v>
      </c>
      <c r="E411" s="18"/>
      <c r="F411" s="18" t="s">
        <v>1210</v>
      </c>
      <c r="G411" s="18" t="s">
        <v>1026</v>
      </c>
      <c r="H411" s="30" t="n">
        <v>0</v>
      </c>
      <c r="I411" s="18" t="s">
        <v>527</v>
      </c>
      <c r="J411" s="28" t="n">
        <v>3776.93</v>
      </c>
      <c r="K411" s="12" t="str">
        <f aca="false">TEXT(B411,"yyyy-mm")</f>
        <v>2026-01</v>
      </c>
      <c r="L411" s="21" t="str">
        <f aca="false">IFERROR(INDEX(Projects!$E$2:$E$500,MATCH(C411,Projects!$A$2:$A$500,0)),"")</f>
        <v>Data &amp; AI</v>
      </c>
      <c r="M411" s="31" t="n">
        <f aca="false">IF(I411="Yes",H411*INDEX(Resources!$I$2:$I$500,MATCH(E411,Resources!$A$2:$A$500,0)),0)</f>
        <v>0</v>
      </c>
    </row>
    <row r="412" customFormat="false" ht="15" hidden="false" customHeight="false" outlineLevel="0" collapsed="false">
      <c r="A412" s="18" t="s">
        <v>1443</v>
      </c>
      <c r="B412" s="19" t="n">
        <v>46053</v>
      </c>
      <c r="C412" s="18" t="s">
        <v>283</v>
      </c>
      <c r="D412" s="18" t="s">
        <v>869</v>
      </c>
      <c r="E412" s="18" t="s">
        <v>226</v>
      </c>
      <c r="F412" s="18"/>
      <c r="G412" s="18" t="s">
        <v>1019</v>
      </c>
      <c r="H412" s="30" t="n">
        <v>82</v>
      </c>
      <c r="I412" s="18" t="s">
        <v>527</v>
      </c>
      <c r="J412" s="28" t="n">
        <v>7216</v>
      </c>
      <c r="K412" s="12" t="str">
        <f aca="false">TEXT(B412,"yyyy-mm")</f>
        <v>2026-01</v>
      </c>
      <c r="L412" s="21" t="str">
        <f aca="false">IFERROR(INDEX(Projects!$E$2:$E$500,MATCH(C412,Projects!$A$2:$A$500,0)),"")</f>
        <v>Data &amp; AI</v>
      </c>
      <c r="M412" s="31" t="n">
        <f aca="false">IF(I412="Yes",H412*INDEX(Resources!$I$2:$I$500,MATCH(E412,Resources!$A$2:$A$500,0)),0)</f>
        <v>0</v>
      </c>
    </row>
    <row r="413" customFormat="false" ht="15" hidden="false" customHeight="false" outlineLevel="0" collapsed="false">
      <c r="A413" s="18" t="s">
        <v>1444</v>
      </c>
      <c r="B413" s="19" t="n">
        <v>46053</v>
      </c>
      <c r="C413" s="18" t="s">
        <v>283</v>
      </c>
      <c r="D413" s="18" t="s">
        <v>869</v>
      </c>
      <c r="E413" s="18" t="s">
        <v>354</v>
      </c>
      <c r="F413" s="18"/>
      <c r="G413" s="18" t="s">
        <v>1019</v>
      </c>
      <c r="H413" s="30" t="n">
        <v>45.3</v>
      </c>
      <c r="I413" s="18" t="s">
        <v>513</v>
      </c>
      <c r="J413" s="28" t="n">
        <v>5885.38</v>
      </c>
      <c r="K413" s="12" t="str">
        <f aca="false">TEXT(B413,"yyyy-mm")</f>
        <v>2026-01</v>
      </c>
      <c r="L413" s="21" t="str">
        <f aca="false">IFERROR(INDEX(Projects!$E$2:$E$500,MATCH(C413,Projects!$A$2:$A$500,0)),"")</f>
        <v>Data &amp; AI</v>
      </c>
      <c r="M413" s="31" t="n">
        <f aca="false">IF(I413="Yes",H413*INDEX(Resources!$I$2:$I$500,MATCH(E413,Resources!$A$2:$A$500,0)),0)</f>
        <v>11778</v>
      </c>
    </row>
    <row r="414" customFormat="false" ht="15" hidden="false" customHeight="false" outlineLevel="0" collapsed="false">
      <c r="A414" s="18" t="s">
        <v>1445</v>
      </c>
      <c r="B414" s="19" t="n">
        <v>46053</v>
      </c>
      <c r="C414" s="18" t="s">
        <v>283</v>
      </c>
      <c r="D414" s="18" t="s">
        <v>869</v>
      </c>
      <c r="E414" s="18" t="s">
        <v>424</v>
      </c>
      <c r="F414" s="18"/>
      <c r="G414" s="18" t="s">
        <v>1019</v>
      </c>
      <c r="H414" s="30" t="n">
        <v>93.2</v>
      </c>
      <c r="I414" s="18" t="s">
        <v>513</v>
      </c>
      <c r="J414" s="28" t="n">
        <v>6337.6</v>
      </c>
      <c r="K414" s="12" t="str">
        <f aca="false">TEXT(B414,"yyyy-mm")</f>
        <v>2026-01</v>
      </c>
      <c r="L414" s="21" t="str">
        <f aca="false">IFERROR(INDEX(Projects!$E$2:$E$500,MATCH(C414,Projects!$A$2:$A$500,0)),"")</f>
        <v>Data &amp; AI</v>
      </c>
      <c r="M414" s="31" t="n">
        <f aca="false">IF(I414="Yes",H414*INDEX(Resources!$I$2:$I$500,MATCH(E414,Resources!$A$2:$A$500,0)),0)</f>
        <v>10252</v>
      </c>
    </row>
    <row r="415" customFormat="false" ht="15" hidden="false" customHeight="false" outlineLevel="0" collapsed="false">
      <c r="A415" s="18" t="s">
        <v>1446</v>
      </c>
      <c r="B415" s="19" t="n">
        <v>46053</v>
      </c>
      <c r="C415" s="18" t="s">
        <v>283</v>
      </c>
      <c r="D415" s="18" t="s">
        <v>869</v>
      </c>
      <c r="E415" s="18" t="s">
        <v>439</v>
      </c>
      <c r="F415" s="18"/>
      <c r="G415" s="18" t="s">
        <v>1019</v>
      </c>
      <c r="H415" s="30" t="n">
        <v>11.7</v>
      </c>
      <c r="I415" s="18" t="s">
        <v>513</v>
      </c>
      <c r="J415" s="28" t="n">
        <v>950.04</v>
      </c>
      <c r="K415" s="12" t="str">
        <f aca="false">TEXT(B415,"yyyy-mm")</f>
        <v>2026-01</v>
      </c>
      <c r="L415" s="21" t="str">
        <f aca="false">IFERROR(INDEX(Projects!$E$2:$E$500,MATCH(C415,Projects!$A$2:$A$500,0)),"")</f>
        <v>Data &amp; AI</v>
      </c>
      <c r="M415" s="31" t="n">
        <f aca="false">IF(I415="Yes",H415*INDEX(Resources!$I$2:$I$500,MATCH(E415,Resources!$A$2:$A$500,0)),0)</f>
        <v>1579.5</v>
      </c>
    </row>
    <row r="416" customFormat="false" ht="15" hidden="false" customHeight="false" outlineLevel="0" collapsed="false">
      <c r="A416" s="18" t="s">
        <v>1447</v>
      </c>
      <c r="B416" s="19" t="n">
        <v>46053</v>
      </c>
      <c r="C416" s="18" t="s">
        <v>283</v>
      </c>
      <c r="D416" s="18" t="s">
        <v>869</v>
      </c>
      <c r="E416" s="18" t="s">
        <v>459</v>
      </c>
      <c r="F416" s="18"/>
      <c r="G416" s="18" t="s">
        <v>1019</v>
      </c>
      <c r="H416" s="30" t="n">
        <v>163.9</v>
      </c>
      <c r="I416" s="18" t="s">
        <v>513</v>
      </c>
      <c r="J416" s="28" t="n">
        <v>15931.08</v>
      </c>
      <c r="K416" s="12" t="str">
        <f aca="false">TEXT(B416,"yyyy-mm")</f>
        <v>2026-01</v>
      </c>
      <c r="L416" s="21" t="str">
        <f aca="false">IFERROR(INDEX(Projects!$E$2:$E$500,MATCH(C416,Projects!$A$2:$A$500,0)),"")</f>
        <v>Data &amp; AI</v>
      </c>
      <c r="M416" s="31" t="n">
        <f aca="false">IF(I416="Yes",H416*INDEX(Resources!$I$2:$I$500,MATCH(E416,Resources!$A$2:$A$500,0)),0)</f>
        <v>31960.5</v>
      </c>
    </row>
    <row r="417" customFormat="false" ht="15" hidden="false" customHeight="false" outlineLevel="0" collapsed="false">
      <c r="A417" s="18" t="s">
        <v>1448</v>
      </c>
      <c r="B417" s="19" t="n">
        <v>46053</v>
      </c>
      <c r="C417" s="18" t="s">
        <v>283</v>
      </c>
      <c r="D417" s="18" t="s">
        <v>869</v>
      </c>
      <c r="E417" s="18" t="s">
        <v>466</v>
      </c>
      <c r="F417" s="18"/>
      <c r="G417" s="18" t="s">
        <v>1019</v>
      </c>
      <c r="H417" s="30" t="n">
        <v>116.9</v>
      </c>
      <c r="I417" s="18" t="s">
        <v>513</v>
      </c>
      <c r="J417" s="28" t="n">
        <v>11456.2</v>
      </c>
      <c r="K417" s="12" t="str">
        <f aca="false">TEXT(B417,"yyyy-mm")</f>
        <v>2026-01</v>
      </c>
      <c r="L417" s="21" t="str">
        <f aca="false">IFERROR(INDEX(Projects!$E$2:$E$500,MATCH(C417,Projects!$A$2:$A$500,0)),"")</f>
        <v>Data &amp; AI</v>
      </c>
      <c r="M417" s="31" t="n">
        <f aca="false">IF(I417="Yes",H417*INDEX(Resources!$I$2:$I$500,MATCH(E417,Resources!$A$2:$A$500,0)),0)</f>
        <v>23380</v>
      </c>
    </row>
    <row r="418" customFormat="false" ht="15" hidden="false" customHeight="false" outlineLevel="0" collapsed="false">
      <c r="A418" s="18" t="s">
        <v>1449</v>
      </c>
      <c r="B418" s="19" t="n">
        <v>46053</v>
      </c>
      <c r="C418" s="18" t="s">
        <v>283</v>
      </c>
      <c r="D418" s="18" t="s">
        <v>872</v>
      </c>
      <c r="E418" s="18"/>
      <c r="F418" s="18" t="s">
        <v>1025</v>
      </c>
      <c r="G418" s="18" t="s">
        <v>1026</v>
      </c>
      <c r="H418" s="30" t="n">
        <v>0</v>
      </c>
      <c r="I418" s="18" t="s">
        <v>527</v>
      </c>
      <c r="J418" s="28" t="n">
        <v>2717.52</v>
      </c>
      <c r="K418" s="12" t="str">
        <f aca="false">TEXT(B418,"yyyy-mm")</f>
        <v>2026-01</v>
      </c>
      <c r="L418" s="21" t="str">
        <f aca="false">IFERROR(INDEX(Projects!$E$2:$E$500,MATCH(C418,Projects!$A$2:$A$500,0)),"")</f>
        <v>Data &amp; AI</v>
      </c>
      <c r="M418" s="31" t="n">
        <f aca="false">IF(I418="Yes",H418*INDEX(Resources!$I$2:$I$500,MATCH(E418,Resources!$A$2:$A$500,0)),0)</f>
        <v>0</v>
      </c>
    </row>
    <row r="419" customFormat="false" ht="15" hidden="false" customHeight="false" outlineLevel="0" collapsed="false">
      <c r="A419" s="18" t="s">
        <v>1450</v>
      </c>
      <c r="B419" s="19" t="n">
        <v>46053</v>
      </c>
      <c r="C419" s="18" t="s">
        <v>283</v>
      </c>
      <c r="D419" s="18" t="s">
        <v>876</v>
      </c>
      <c r="E419" s="18"/>
      <c r="F419" s="18" t="s">
        <v>1071</v>
      </c>
      <c r="G419" s="18" t="s">
        <v>1033</v>
      </c>
      <c r="H419" s="30" t="n">
        <v>0</v>
      </c>
      <c r="I419" s="18" t="s">
        <v>527</v>
      </c>
      <c r="J419" s="28" t="n">
        <v>613.53</v>
      </c>
      <c r="K419" s="12" t="str">
        <f aca="false">TEXT(B419,"yyyy-mm")</f>
        <v>2026-01</v>
      </c>
      <c r="L419" s="21" t="str">
        <f aca="false">IFERROR(INDEX(Projects!$E$2:$E$500,MATCH(C419,Projects!$A$2:$A$500,0)),"")</f>
        <v>Data &amp; AI</v>
      </c>
      <c r="M419" s="31" t="n">
        <f aca="false">IF(I419="Yes",H419*INDEX(Resources!$I$2:$I$500,MATCH(E419,Resources!$A$2:$A$500,0)),0)</f>
        <v>0</v>
      </c>
    </row>
    <row r="420" customFormat="false" ht="15" hidden="false" customHeight="false" outlineLevel="0" collapsed="false">
      <c r="A420" s="18" t="s">
        <v>1451</v>
      </c>
      <c r="B420" s="19" t="n">
        <v>46081</v>
      </c>
      <c r="C420" s="18" t="s">
        <v>197</v>
      </c>
      <c r="D420" s="18" t="s">
        <v>869</v>
      </c>
      <c r="E420" s="18" t="s">
        <v>201</v>
      </c>
      <c r="F420" s="18"/>
      <c r="G420" s="18" t="s">
        <v>1019</v>
      </c>
      <c r="H420" s="30" t="n">
        <v>73.5</v>
      </c>
      <c r="I420" s="18" t="s">
        <v>513</v>
      </c>
      <c r="J420" s="28" t="n">
        <v>7502.88</v>
      </c>
      <c r="K420" s="12" t="str">
        <f aca="false">TEXT(B420,"yyyy-mm")</f>
        <v>2026-02</v>
      </c>
      <c r="L420" s="21" t="str">
        <f aca="false">IFERROR(INDEX(Projects!$E$2:$E$500,MATCH(C420,Projects!$A$2:$A$500,0)),"")</f>
        <v>Customer Experience</v>
      </c>
      <c r="M420" s="31" t="n">
        <f aca="false">IF(I420="Yes",H420*INDEX(Resources!$I$2:$I$500,MATCH(E420,Resources!$A$2:$A$500,0)),0)</f>
        <v>15067.5</v>
      </c>
    </row>
    <row r="421" customFormat="false" ht="15" hidden="false" customHeight="false" outlineLevel="0" collapsed="false">
      <c r="A421" s="18" t="s">
        <v>1452</v>
      </c>
      <c r="B421" s="19" t="n">
        <v>46081</v>
      </c>
      <c r="C421" s="18" t="s">
        <v>197</v>
      </c>
      <c r="D421" s="18" t="s">
        <v>869</v>
      </c>
      <c r="E421" s="18" t="s">
        <v>363</v>
      </c>
      <c r="F421" s="18"/>
      <c r="G421" s="18" t="s">
        <v>1019</v>
      </c>
      <c r="H421" s="30" t="n">
        <v>81.7</v>
      </c>
      <c r="I421" s="18" t="s">
        <v>513</v>
      </c>
      <c r="J421" s="28" t="n">
        <v>6444.5</v>
      </c>
      <c r="K421" s="12" t="str">
        <f aca="false">TEXT(B421,"yyyy-mm")</f>
        <v>2026-02</v>
      </c>
      <c r="L421" s="21" t="str">
        <f aca="false">IFERROR(INDEX(Projects!$E$2:$E$500,MATCH(C421,Projects!$A$2:$A$500,0)),"")</f>
        <v>Customer Experience</v>
      </c>
      <c r="M421" s="31" t="n">
        <f aca="false">IF(I421="Yes",H421*INDEX(Resources!$I$2:$I$500,MATCH(E421,Resources!$A$2:$A$500,0)),0)</f>
        <v>13072</v>
      </c>
    </row>
    <row r="422" customFormat="false" ht="15" hidden="false" customHeight="false" outlineLevel="0" collapsed="false">
      <c r="A422" s="18" t="s">
        <v>1453</v>
      </c>
      <c r="B422" s="19" t="n">
        <v>46081</v>
      </c>
      <c r="C422" s="18" t="s">
        <v>197</v>
      </c>
      <c r="D422" s="18" t="s">
        <v>869</v>
      </c>
      <c r="E422" s="18" t="s">
        <v>379</v>
      </c>
      <c r="F422" s="18"/>
      <c r="G422" s="18" t="s">
        <v>1019</v>
      </c>
      <c r="H422" s="30" t="n">
        <v>110.8</v>
      </c>
      <c r="I422" s="18" t="s">
        <v>513</v>
      </c>
      <c r="J422" s="28" t="n">
        <v>9511.07</v>
      </c>
      <c r="K422" s="12" t="str">
        <f aca="false">TEXT(B422,"yyyy-mm")</f>
        <v>2026-02</v>
      </c>
      <c r="L422" s="21" t="str">
        <f aca="false">IFERROR(INDEX(Projects!$E$2:$E$500,MATCH(C422,Projects!$A$2:$A$500,0)),"")</f>
        <v>Customer Experience</v>
      </c>
      <c r="M422" s="31" t="n">
        <f aca="false">IF(I422="Yes",H422*INDEX(Resources!$I$2:$I$500,MATCH(E422,Resources!$A$2:$A$500,0)),0)</f>
        <v>19390</v>
      </c>
    </row>
    <row r="423" customFormat="false" ht="15" hidden="false" customHeight="false" outlineLevel="0" collapsed="false">
      <c r="A423" s="18" t="s">
        <v>1454</v>
      </c>
      <c r="B423" s="19" t="n">
        <v>46081</v>
      </c>
      <c r="C423" s="18" t="s">
        <v>197</v>
      </c>
      <c r="D423" s="18" t="s">
        <v>869</v>
      </c>
      <c r="E423" s="18" t="s">
        <v>389</v>
      </c>
      <c r="F423" s="18"/>
      <c r="G423" s="18" t="s">
        <v>1019</v>
      </c>
      <c r="H423" s="30" t="n">
        <v>111.8</v>
      </c>
      <c r="I423" s="18" t="s">
        <v>513</v>
      </c>
      <c r="J423" s="28" t="n">
        <v>11931.3</v>
      </c>
      <c r="K423" s="12" t="str">
        <f aca="false">TEXT(B423,"yyyy-mm")</f>
        <v>2026-02</v>
      </c>
      <c r="L423" s="21" t="str">
        <f aca="false">IFERROR(INDEX(Projects!$E$2:$E$500,MATCH(C423,Projects!$A$2:$A$500,0)),"")</f>
        <v>Customer Experience</v>
      </c>
      <c r="M423" s="31" t="n">
        <f aca="false">IF(I423="Yes",H423*INDEX(Resources!$I$2:$I$500,MATCH(E423,Resources!$A$2:$A$500,0)),0)</f>
        <v>24037</v>
      </c>
    </row>
    <row r="424" customFormat="false" ht="15" hidden="false" customHeight="false" outlineLevel="0" collapsed="false">
      <c r="A424" s="18" t="s">
        <v>1455</v>
      </c>
      <c r="B424" s="19" t="n">
        <v>46081</v>
      </c>
      <c r="C424" s="18" t="s">
        <v>197</v>
      </c>
      <c r="D424" s="18" t="s">
        <v>869</v>
      </c>
      <c r="E424" s="18" t="s">
        <v>409</v>
      </c>
      <c r="F424" s="18"/>
      <c r="G424" s="18" t="s">
        <v>1019</v>
      </c>
      <c r="H424" s="30" t="n">
        <v>158.8</v>
      </c>
      <c r="I424" s="18" t="s">
        <v>513</v>
      </c>
      <c r="J424" s="28" t="n">
        <v>11789.31</v>
      </c>
      <c r="K424" s="12" t="str">
        <f aca="false">TEXT(B424,"yyyy-mm")</f>
        <v>2026-02</v>
      </c>
      <c r="L424" s="21" t="str">
        <f aca="false">IFERROR(INDEX(Projects!$E$2:$E$500,MATCH(C424,Projects!$A$2:$A$500,0)),"")</f>
        <v>Customer Experience</v>
      </c>
      <c r="M424" s="31" t="n">
        <f aca="false">IF(I424="Yes",H424*INDEX(Resources!$I$2:$I$500,MATCH(E424,Resources!$A$2:$A$500,0)),0)</f>
        <v>23820</v>
      </c>
    </row>
    <row r="425" customFormat="false" ht="15" hidden="false" customHeight="false" outlineLevel="0" collapsed="false">
      <c r="A425" s="18" t="s">
        <v>1456</v>
      </c>
      <c r="B425" s="19" t="n">
        <v>46081</v>
      </c>
      <c r="C425" s="18" t="s">
        <v>197</v>
      </c>
      <c r="D425" s="18" t="s">
        <v>872</v>
      </c>
      <c r="E425" s="18"/>
      <c r="F425" s="18" t="s">
        <v>1059</v>
      </c>
      <c r="G425" s="18" t="s">
        <v>1026</v>
      </c>
      <c r="H425" s="30" t="n">
        <v>0</v>
      </c>
      <c r="I425" s="18" t="s">
        <v>527</v>
      </c>
      <c r="J425" s="28" t="n">
        <v>2739.38</v>
      </c>
      <c r="K425" s="12" t="str">
        <f aca="false">TEXT(B425,"yyyy-mm")</f>
        <v>2026-02</v>
      </c>
      <c r="L425" s="21" t="str">
        <f aca="false">IFERROR(INDEX(Projects!$E$2:$E$500,MATCH(C425,Projects!$A$2:$A$500,0)),"")</f>
        <v>Customer Experience</v>
      </c>
      <c r="M425" s="31" t="n">
        <f aca="false">IF(I425="Yes",H425*INDEX(Resources!$I$2:$I$500,MATCH(E425,Resources!$A$2:$A$500,0)),0)</f>
        <v>0</v>
      </c>
    </row>
    <row r="426" customFormat="false" ht="15" hidden="false" customHeight="false" outlineLevel="0" collapsed="false">
      <c r="A426" s="18" t="s">
        <v>1457</v>
      </c>
      <c r="B426" s="19" t="n">
        <v>46081</v>
      </c>
      <c r="C426" s="18" t="s">
        <v>197</v>
      </c>
      <c r="D426" s="18" t="s">
        <v>874</v>
      </c>
      <c r="E426" s="18"/>
      <c r="F426" s="18" t="s">
        <v>1224</v>
      </c>
      <c r="G426" s="18" t="s">
        <v>1026</v>
      </c>
      <c r="H426" s="30" t="n">
        <v>0</v>
      </c>
      <c r="I426" s="18" t="s">
        <v>527</v>
      </c>
      <c r="J426" s="28" t="n">
        <v>4118.65</v>
      </c>
      <c r="K426" s="12" t="str">
        <f aca="false">TEXT(B426,"yyyy-mm")</f>
        <v>2026-02</v>
      </c>
      <c r="L426" s="21" t="str">
        <f aca="false">IFERROR(INDEX(Projects!$E$2:$E$500,MATCH(C426,Projects!$A$2:$A$500,0)),"")</f>
        <v>Customer Experience</v>
      </c>
      <c r="M426" s="31" t="n">
        <f aca="false">IF(I426="Yes",H426*INDEX(Resources!$I$2:$I$500,MATCH(E426,Resources!$A$2:$A$500,0)),0)</f>
        <v>0</v>
      </c>
    </row>
    <row r="427" customFormat="false" ht="15" hidden="false" customHeight="false" outlineLevel="0" collapsed="false">
      <c r="A427" s="18" t="s">
        <v>1458</v>
      </c>
      <c r="B427" s="19" t="n">
        <v>46081</v>
      </c>
      <c r="C427" s="18" t="s">
        <v>197</v>
      </c>
      <c r="D427" s="18" t="s">
        <v>876</v>
      </c>
      <c r="E427" s="18"/>
      <c r="F427" s="18" t="s">
        <v>1032</v>
      </c>
      <c r="G427" s="18" t="s">
        <v>1033</v>
      </c>
      <c r="H427" s="30" t="n">
        <v>0</v>
      </c>
      <c r="I427" s="18" t="s">
        <v>527</v>
      </c>
      <c r="J427" s="28" t="n">
        <v>1096.14</v>
      </c>
      <c r="K427" s="12" t="str">
        <f aca="false">TEXT(B427,"yyyy-mm")</f>
        <v>2026-02</v>
      </c>
      <c r="L427" s="21" t="str">
        <f aca="false">IFERROR(INDEX(Projects!$E$2:$E$500,MATCH(C427,Projects!$A$2:$A$500,0)),"")</f>
        <v>Customer Experience</v>
      </c>
      <c r="M427" s="31" t="n">
        <f aca="false">IF(I427="Yes",H427*INDEX(Resources!$I$2:$I$500,MATCH(E427,Resources!$A$2:$A$500,0)),0)</f>
        <v>0</v>
      </c>
    </row>
    <row r="428" customFormat="false" ht="15" hidden="false" customHeight="false" outlineLevel="0" collapsed="false">
      <c r="A428" s="18" t="s">
        <v>1459</v>
      </c>
      <c r="B428" s="19" t="n">
        <v>46081</v>
      </c>
      <c r="C428" s="18" t="s">
        <v>207</v>
      </c>
      <c r="D428" s="18" t="s">
        <v>869</v>
      </c>
      <c r="E428" s="18" t="s">
        <v>211</v>
      </c>
      <c r="F428" s="18"/>
      <c r="G428" s="18" t="s">
        <v>1019</v>
      </c>
      <c r="H428" s="30" t="n">
        <v>60.1</v>
      </c>
      <c r="I428" s="18" t="s">
        <v>513</v>
      </c>
      <c r="J428" s="28" t="n">
        <v>6135.01</v>
      </c>
      <c r="K428" s="12" t="str">
        <f aca="false">TEXT(B428,"yyyy-mm")</f>
        <v>2026-02</v>
      </c>
      <c r="L428" s="21" t="str">
        <f aca="false">IFERROR(INDEX(Projects!$E$2:$E$500,MATCH(C428,Projects!$A$2:$A$500,0)),"")</f>
        <v>Operational Excellence</v>
      </c>
      <c r="M428" s="31" t="n">
        <f aca="false">IF(I428="Yes",H428*INDEX(Resources!$I$2:$I$500,MATCH(E428,Resources!$A$2:$A$500,0)),0)</f>
        <v>12320.5</v>
      </c>
    </row>
    <row r="429" customFormat="false" ht="15" hidden="false" customHeight="false" outlineLevel="0" collapsed="false">
      <c r="A429" s="18" t="s">
        <v>1460</v>
      </c>
      <c r="B429" s="19" t="n">
        <v>46081</v>
      </c>
      <c r="C429" s="18" t="s">
        <v>207</v>
      </c>
      <c r="D429" s="18" t="s">
        <v>869</v>
      </c>
      <c r="E429" s="18" t="s">
        <v>368</v>
      </c>
      <c r="F429" s="18"/>
      <c r="G429" s="18" t="s">
        <v>1019</v>
      </c>
      <c r="H429" s="30" t="n">
        <v>116.8</v>
      </c>
      <c r="I429" s="18" t="s">
        <v>513</v>
      </c>
      <c r="J429" s="28" t="n">
        <v>8577.79</v>
      </c>
      <c r="K429" s="12" t="str">
        <f aca="false">TEXT(B429,"yyyy-mm")</f>
        <v>2026-02</v>
      </c>
      <c r="L429" s="21" t="str">
        <f aca="false">IFERROR(INDEX(Projects!$E$2:$E$500,MATCH(C429,Projects!$A$2:$A$500,0)),"")</f>
        <v>Operational Excellence</v>
      </c>
      <c r="M429" s="31" t="n">
        <f aca="false">IF(I429="Yes",H429*INDEX(Resources!$I$2:$I$500,MATCH(E429,Resources!$A$2:$A$500,0)),0)</f>
        <v>17520</v>
      </c>
    </row>
    <row r="430" customFormat="false" ht="15" hidden="false" customHeight="false" outlineLevel="0" collapsed="false">
      <c r="A430" s="18" t="s">
        <v>1461</v>
      </c>
      <c r="B430" s="19" t="n">
        <v>46081</v>
      </c>
      <c r="C430" s="18" t="s">
        <v>207</v>
      </c>
      <c r="D430" s="18" t="s">
        <v>869</v>
      </c>
      <c r="E430" s="18" t="s">
        <v>393</v>
      </c>
      <c r="F430" s="18"/>
      <c r="G430" s="18" t="s">
        <v>1019</v>
      </c>
      <c r="H430" s="30" t="n">
        <v>109.3</v>
      </c>
      <c r="I430" s="18" t="s">
        <v>513</v>
      </c>
      <c r="J430" s="28" t="n">
        <v>10860.05</v>
      </c>
      <c r="K430" s="12" t="str">
        <f aca="false">TEXT(B430,"yyyy-mm")</f>
        <v>2026-02</v>
      </c>
      <c r="L430" s="21" t="str">
        <f aca="false">IFERROR(INDEX(Projects!$E$2:$E$500,MATCH(C430,Projects!$A$2:$A$500,0)),"")</f>
        <v>Operational Excellence</v>
      </c>
      <c r="M430" s="31" t="n">
        <f aca="false">IF(I430="Yes",H430*INDEX(Resources!$I$2:$I$500,MATCH(E430,Resources!$A$2:$A$500,0)),0)</f>
        <v>21860</v>
      </c>
    </row>
    <row r="431" customFormat="false" ht="15" hidden="false" customHeight="false" outlineLevel="0" collapsed="false">
      <c r="A431" s="18" t="s">
        <v>1462</v>
      </c>
      <c r="B431" s="19" t="n">
        <v>46081</v>
      </c>
      <c r="C431" s="18" t="s">
        <v>207</v>
      </c>
      <c r="D431" s="18" t="s">
        <v>869</v>
      </c>
      <c r="E431" s="18" t="s">
        <v>412</v>
      </c>
      <c r="F431" s="18"/>
      <c r="G431" s="18" t="s">
        <v>1019</v>
      </c>
      <c r="H431" s="30" t="n">
        <v>176.2</v>
      </c>
      <c r="I431" s="18" t="s">
        <v>513</v>
      </c>
      <c r="J431" s="28" t="n">
        <v>10487.42</v>
      </c>
      <c r="K431" s="12" t="str">
        <f aca="false">TEXT(B431,"yyyy-mm")</f>
        <v>2026-02</v>
      </c>
      <c r="L431" s="21" t="str">
        <f aca="false">IFERROR(INDEX(Projects!$E$2:$E$500,MATCH(C431,Projects!$A$2:$A$500,0)),"")</f>
        <v>Operational Excellence</v>
      </c>
      <c r="M431" s="31" t="n">
        <f aca="false">IF(I431="Yes",H431*INDEX(Resources!$I$2:$I$500,MATCH(E431,Resources!$A$2:$A$500,0)),0)</f>
        <v>21144</v>
      </c>
    </row>
    <row r="432" customFormat="false" ht="15" hidden="false" customHeight="false" outlineLevel="0" collapsed="false">
      <c r="A432" s="18" t="s">
        <v>1463</v>
      </c>
      <c r="B432" s="19" t="n">
        <v>46081</v>
      </c>
      <c r="C432" s="18" t="s">
        <v>207</v>
      </c>
      <c r="D432" s="18" t="s">
        <v>872</v>
      </c>
      <c r="E432" s="18"/>
      <c r="F432" s="18" t="s">
        <v>353</v>
      </c>
      <c r="G432" s="18" t="s">
        <v>1026</v>
      </c>
      <c r="H432" s="30" t="n">
        <v>0</v>
      </c>
      <c r="I432" s="18" t="s">
        <v>527</v>
      </c>
      <c r="J432" s="28" t="n">
        <v>1927.24</v>
      </c>
      <c r="K432" s="12" t="str">
        <f aca="false">TEXT(B432,"yyyy-mm")</f>
        <v>2026-02</v>
      </c>
      <c r="L432" s="21" t="str">
        <f aca="false">IFERROR(INDEX(Projects!$E$2:$E$500,MATCH(C432,Projects!$A$2:$A$500,0)),"")</f>
        <v>Operational Excellence</v>
      </c>
      <c r="M432" s="31" t="n">
        <f aca="false">IF(I432="Yes",H432*INDEX(Resources!$I$2:$I$500,MATCH(E432,Resources!$A$2:$A$500,0)),0)</f>
        <v>0</v>
      </c>
    </row>
    <row r="433" customFormat="false" ht="15" hidden="false" customHeight="false" outlineLevel="0" collapsed="false">
      <c r="A433" s="18" t="s">
        <v>1464</v>
      </c>
      <c r="B433" s="19" t="n">
        <v>46081</v>
      </c>
      <c r="C433" s="18" t="s">
        <v>207</v>
      </c>
      <c r="D433" s="18" t="s">
        <v>495</v>
      </c>
      <c r="E433" s="18"/>
      <c r="F433" s="18" t="s">
        <v>1373</v>
      </c>
      <c r="G433" s="18" t="s">
        <v>1026</v>
      </c>
      <c r="H433" s="30" t="n">
        <v>0</v>
      </c>
      <c r="I433" s="18" t="s">
        <v>527</v>
      </c>
      <c r="J433" s="28" t="n">
        <v>782.12</v>
      </c>
      <c r="K433" s="12" t="str">
        <f aca="false">TEXT(B433,"yyyy-mm")</f>
        <v>2026-02</v>
      </c>
      <c r="L433" s="21" t="str">
        <f aca="false">IFERROR(INDEX(Projects!$E$2:$E$500,MATCH(C433,Projects!$A$2:$A$500,0)),"")</f>
        <v>Operational Excellence</v>
      </c>
      <c r="M433" s="31" t="n">
        <f aca="false">IF(I433="Yes",H433*INDEX(Resources!$I$2:$I$500,MATCH(E433,Resources!$A$2:$A$500,0)),0)</f>
        <v>0</v>
      </c>
    </row>
    <row r="434" customFormat="false" ht="15" hidden="false" customHeight="false" outlineLevel="0" collapsed="false">
      <c r="A434" s="18" t="s">
        <v>1465</v>
      </c>
      <c r="B434" s="19" t="n">
        <v>46081</v>
      </c>
      <c r="C434" s="18" t="s">
        <v>207</v>
      </c>
      <c r="D434" s="18" t="s">
        <v>876</v>
      </c>
      <c r="E434" s="18"/>
      <c r="F434" s="18" t="s">
        <v>1071</v>
      </c>
      <c r="G434" s="18" t="s">
        <v>1033</v>
      </c>
      <c r="H434" s="30" t="n">
        <v>0</v>
      </c>
      <c r="I434" s="18" t="s">
        <v>527</v>
      </c>
      <c r="J434" s="28" t="n">
        <v>643.47</v>
      </c>
      <c r="K434" s="12" t="str">
        <f aca="false">TEXT(B434,"yyyy-mm")</f>
        <v>2026-02</v>
      </c>
      <c r="L434" s="21" t="str">
        <f aca="false">IFERROR(INDEX(Projects!$E$2:$E$500,MATCH(C434,Projects!$A$2:$A$500,0)),"")</f>
        <v>Operational Excellence</v>
      </c>
      <c r="M434" s="31" t="n">
        <f aca="false">IF(I434="Yes",H434*INDEX(Resources!$I$2:$I$500,MATCH(E434,Resources!$A$2:$A$500,0)),0)</f>
        <v>0</v>
      </c>
    </row>
    <row r="435" customFormat="false" ht="15" hidden="false" customHeight="false" outlineLevel="0" collapsed="false">
      <c r="A435" s="18" t="s">
        <v>1466</v>
      </c>
      <c r="B435" s="19" t="n">
        <v>46081</v>
      </c>
      <c r="C435" s="18" t="s">
        <v>215</v>
      </c>
      <c r="D435" s="18" t="s">
        <v>889</v>
      </c>
      <c r="E435" s="18"/>
      <c r="F435" s="18" t="s">
        <v>1035</v>
      </c>
      <c r="G435" s="18" t="s">
        <v>1026</v>
      </c>
      <c r="H435" s="30" t="n">
        <v>0</v>
      </c>
      <c r="I435" s="18" t="s">
        <v>527</v>
      </c>
      <c r="J435" s="28" t="n">
        <v>4647.14</v>
      </c>
      <c r="K435" s="12" t="str">
        <f aca="false">TEXT(B435,"yyyy-mm")</f>
        <v>2026-02</v>
      </c>
      <c r="L435" s="21" t="str">
        <f aca="false">IFERROR(INDEX(Projects!$E$2:$E$500,MATCH(C435,Projects!$A$2:$A$500,0)),"")</f>
        <v>Data &amp; AI</v>
      </c>
      <c r="M435" s="31" t="n">
        <f aca="false">IF(I435="Yes",H435*INDEX(Resources!$I$2:$I$500,MATCH(E435,Resources!$A$2:$A$500,0)),0)</f>
        <v>0</v>
      </c>
    </row>
    <row r="436" customFormat="false" ht="15" hidden="false" customHeight="false" outlineLevel="0" collapsed="false">
      <c r="A436" s="18" t="s">
        <v>1467</v>
      </c>
      <c r="B436" s="19" t="n">
        <v>46081</v>
      </c>
      <c r="C436" s="18" t="s">
        <v>215</v>
      </c>
      <c r="D436" s="18" t="s">
        <v>869</v>
      </c>
      <c r="E436" s="18" t="s">
        <v>218</v>
      </c>
      <c r="F436" s="18"/>
      <c r="G436" s="18" t="s">
        <v>1019</v>
      </c>
      <c r="H436" s="30" t="n">
        <v>43.6</v>
      </c>
      <c r="I436" s="18" t="s">
        <v>527</v>
      </c>
      <c r="J436" s="28" t="n">
        <v>3261.28</v>
      </c>
      <c r="K436" s="12" t="str">
        <f aca="false">TEXT(B436,"yyyy-mm")</f>
        <v>2026-02</v>
      </c>
      <c r="L436" s="21" t="str">
        <f aca="false">IFERROR(INDEX(Projects!$E$2:$E$500,MATCH(C436,Projects!$A$2:$A$500,0)),"")</f>
        <v>Data &amp; AI</v>
      </c>
      <c r="M436" s="31" t="n">
        <f aca="false">IF(I436="Yes",H436*INDEX(Resources!$I$2:$I$500,MATCH(E436,Resources!$A$2:$A$500,0)),0)</f>
        <v>0</v>
      </c>
    </row>
    <row r="437" customFormat="false" ht="15" hidden="false" customHeight="false" outlineLevel="0" collapsed="false">
      <c r="A437" s="18" t="s">
        <v>1468</v>
      </c>
      <c r="B437" s="19" t="n">
        <v>46081</v>
      </c>
      <c r="C437" s="18" t="s">
        <v>215</v>
      </c>
      <c r="D437" s="18" t="s">
        <v>869</v>
      </c>
      <c r="E437" s="18" t="s">
        <v>357</v>
      </c>
      <c r="F437" s="18"/>
      <c r="G437" s="18" t="s">
        <v>1019</v>
      </c>
      <c r="H437" s="30" t="n">
        <v>46.9</v>
      </c>
      <c r="I437" s="18" t="s">
        <v>513</v>
      </c>
      <c r="J437" s="28" t="n">
        <v>5673.02</v>
      </c>
      <c r="K437" s="12" t="str">
        <f aca="false">TEXT(B437,"yyyy-mm")</f>
        <v>2026-02</v>
      </c>
      <c r="L437" s="21" t="str">
        <f aca="false">IFERROR(INDEX(Projects!$E$2:$E$500,MATCH(C437,Projects!$A$2:$A$500,0)),"")</f>
        <v>Data &amp; AI</v>
      </c>
      <c r="M437" s="31" t="n">
        <f aca="false">IF(I437="Yes",H437*INDEX(Resources!$I$2:$I$500,MATCH(E437,Resources!$A$2:$A$500,0)),0)</f>
        <v>11490.5</v>
      </c>
    </row>
    <row r="438" customFormat="false" ht="15" hidden="false" customHeight="false" outlineLevel="0" collapsed="false">
      <c r="A438" s="18" t="s">
        <v>1469</v>
      </c>
      <c r="B438" s="19" t="n">
        <v>46081</v>
      </c>
      <c r="C438" s="18" t="s">
        <v>215</v>
      </c>
      <c r="D438" s="18" t="s">
        <v>869</v>
      </c>
      <c r="E438" s="18" t="s">
        <v>414</v>
      </c>
      <c r="F438" s="18"/>
      <c r="G438" s="18" t="s">
        <v>1019</v>
      </c>
      <c r="H438" s="30" t="n">
        <v>83.6</v>
      </c>
      <c r="I438" s="18" t="s">
        <v>513</v>
      </c>
      <c r="J438" s="28" t="n">
        <v>4975.87</v>
      </c>
      <c r="K438" s="12" t="str">
        <f aca="false">TEXT(B438,"yyyy-mm")</f>
        <v>2026-02</v>
      </c>
      <c r="L438" s="21" t="str">
        <f aca="false">IFERROR(INDEX(Projects!$E$2:$E$500,MATCH(C438,Projects!$A$2:$A$500,0)),"")</f>
        <v>Data &amp; AI</v>
      </c>
      <c r="M438" s="31" t="n">
        <f aca="false">IF(I438="Yes",H438*INDEX(Resources!$I$2:$I$500,MATCH(E438,Resources!$A$2:$A$500,0)),0)</f>
        <v>10032</v>
      </c>
    </row>
    <row r="439" customFormat="false" ht="15" hidden="false" customHeight="false" outlineLevel="0" collapsed="false">
      <c r="A439" s="18" t="s">
        <v>1470</v>
      </c>
      <c r="B439" s="19" t="n">
        <v>46081</v>
      </c>
      <c r="C439" s="18" t="s">
        <v>215</v>
      </c>
      <c r="D439" s="18" t="s">
        <v>869</v>
      </c>
      <c r="E439" s="18" t="s">
        <v>450</v>
      </c>
      <c r="F439" s="18"/>
      <c r="G439" s="18" t="s">
        <v>1019</v>
      </c>
      <c r="H439" s="30" t="n">
        <v>180.6</v>
      </c>
      <c r="I439" s="18" t="s">
        <v>513</v>
      </c>
      <c r="J439" s="28" t="n">
        <v>18854.64</v>
      </c>
      <c r="K439" s="12" t="str">
        <f aca="false">TEXT(B439,"yyyy-mm")</f>
        <v>2026-02</v>
      </c>
      <c r="L439" s="21" t="str">
        <f aca="false">IFERROR(INDEX(Projects!$E$2:$E$500,MATCH(C439,Projects!$A$2:$A$500,0)),"")</f>
        <v>Data &amp; AI</v>
      </c>
      <c r="M439" s="31" t="n">
        <f aca="false">IF(I439="Yes",H439*INDEX(Resources!$I$2:$I$500,MATCH(E439,Resources!$A$2:$A$500,0)),0)</f>
        <v>37926</v>
      </c>
    </row>
    <row r="440" customFormat="false" ht="15" hidden="false" customHeight="false" outlineLevel="0" collapsed="false">
      <c r="A440" s="18" t="s">
        <v>1471</v>
      </c>
      <c r="B440" s="19" t="n">
        <v>46081</v>
      </c>
      <c r="C440" s="18" t="s">
        <v>215</v>
      </c>
      <c r="D440" s="18" t="s">
        <v>869</v>
      </c>
      <c r="E440" s="18" t="s">
        <v>462</v>
      </c>
      <c r="F440" s="18"/>
      <c r="G440" s="18" t="s">
        <v>1019</v>
      </c>
      <c r="H440" s="30" t="n">
        <v>94.6</v>
      </c>
      <c r="I440" s="18" t="s">
        <v>513</v>
      </c>
      <c r="J440" s="28" t="n">
        <v>10754.13</v>
      </c>
      <c r="K440" s="12" t="str">
        <f aca="false">TEXT(B440,"yyyy-mm")</f>
        <v>2026-02</v>
      </c>
      <c r="L440" s="21" t="str">
        <f aca="false">IFERROR(INDEX(Projects!$E$2:$E$500,MATCH(C440,Projects!$A$2:$A$500,0)),"")</f>
        <v>Data &amp; AI</v>
      </c>
      <c r="M440" s="31" t="n">
        <f aca="false">IF(I440="Yes",H440*INDEX(Resources!$I$2:$I$500,MATCH(E440,Resources!$A$2:$A$500,0)),0)</f>
        <v>21758</v>
      </c>
    </row>
    <row r="441" customFormat="false" ht="15" hidden="false" customHeight="false" outlineLevel="0" collapsed="false">
      <c r="A441" s="18" t="s">
        <v>1472</v>
      </c>
      <c r="B441" s="19" t="n">
        <v>46081</v>
      </c>
      <c r="C441" s="18" t="s">
        <v>215</v>
      </c>
      <c r="D441" s="18" t="s">
        <v>872</v>
      </c>
      <c r="E441" s="18"/>
      <c r="F441" s="18" t="s">
        <v>1059</v>
      </c>
      <c r="G441" s="18" t="s">
        <v>1026</v>
      </c>
      <c r="H441" s="30" t="n">
        <v>0</v>
      </c>
      <c r="I441" s="18" t="s">
        <v>527</v>
      </c>
      <c r="J441" s="28" t="n">
        <v>2881.27</v>
      </c>
      <c r="K441" s="12" t="str">
        <f aca="false">TEXT(B441,"yyyy-mm")</f>
        <v>2026-02</v>
      </c>
      <c r="L441" s="21" t="str">
        <f aca="false">IFERROR(INDEX(Projects!$E$2:$E$500,MATCH(C441,Projects!$A$2:$A$500,0)),"")</f>
        <v>Data &amp; AI</v>
      </c>
      <c r="M441" s="31" t="n">
        <f aca="false">IF(I441="Yes",H441*INDEX(Resources!$I$2:$I$500,MATCH(E441,Resources!$A$2:$A$500,0)),0)</f>
        <v>0</v>
      </c>
    </row>
    <row r="442" customFormat="false" ht="15" hidden="false" customHeight="false" outlineLevel="0" collapsed="false">
      <c r="A442" s="18" t="s">
        <v>1473</v>
      </c>
      <c r="B442" s="19" t="n">
        <v>46081</v>
      </c>
      <c r="C442" s="18" t="s">
        <v>215</v>
      </c>
      <c r="D442" s="18" t="s">
        <v>876</v>
      </c>
      <c r="E442" s="18"/>
      <c r="F442" s="18" t="s">
        <v>1032</v>
      </c>
      <c r="G442" s="18" t="s">
        <v>1033</v>
      </c>
      <c r="H442" s="30" t="n">
        <v>0</v>
      </c>
      <c r="I442" s="18" t="s">
        <v>527</v>
      </c>
      <c r="J442" s="28" t="n">
        <v>516.09</v>
      </c>
      <c r="K442" s="12" t="str">
        <f aca="false">TEXT(B442,"yyyy-mm")</f>
        <v>2026-02</v>
      </c>
      <c r="L442" s="21" t="str">
        <f aca="false">IFERROR(INDEX(Projects!$E$2:$E$500,MATCH(C442,Projects!$A$2:$A$500,0)),"")</f>
        <v>Data &amp; AI</v>
      </c>
      <c r="M442" s="31" t="n">
        <f aca="false">IF(I442="Yes",H442*INDEX(Resources!$I$2:$I$500,MATCH(E442,Resources!$A$2:$A$500,0)),0)</f>
        <v>0</v>
      </c>
    </row>
    <row r="443" customFormat="false" ht="15" hidden="false" customHeight="false" outlineLevel="0" collapsed="false">
      <c r="A443" s="18" t="s">
        <v>1474</v>
      </c>
      <c r="B443" s="19" t="n">
        <v>46081</v>
      </c>
      <c r="C443" s="18" t="s">
        <v>222</v>
      </c>
      <c r="D443" s="18" t="s">
        <v>889</v>
      </c>
      <c r="E443" s="18"/>
      <c r="F443" s="18" t="s">
        <v>1035</v>
      </c>
      <c r="G443" s="18" t="s">
        <v>1026</v>
      </c>
      <c r="H443" s="30" t="n">
        <v>0</v>
      </c>
      <c r="I443" s="18" t="s">
        <v>527</v>
      </c>
      <c r="J443" s="28" t="n">
        <v>6962.64</v>
      </c>
      <c r="K443" s="12" t="str">
        <f aca="false">TEXT(B443,"yyyy-mm")</f>
        <v>2026-02</v>
      </c>
      <c r="L443" s="21" t="str">
        <f aca="false">IFERROR(INDEX(Projects!$E$2:$E$500,MATCH(C443,Projects!$A$2:$A$500,0)),"")</f>
        <v>Cloud &amp; Infrastructure</v>
      </c>
      <c r="M443" s="31" t="n">
        <f aca="false">IF(I443="Yes",H443*INDEX(Resources!$I$2:$I$500,MATCH(E443,Resources!$A$2:$A$500,0)),0)</f>
        <v>0</v>
      </c>
    </row>
    <row r="444" customFormat="false" ht="15" hidden="false" customHeight="false" outlineLevel="0" collapsed="false">
      <c r="A444" s="18" t="s">
        <v>1475</v>
      </c>
      <c r="B444" s="19" t="n">
        <v>46081</v>
      </c>
      <c r="C444" s="18" t="s">
        <v>222</v>
      </c>
      <c r="D444" s="18" t="s">
        <v>869</v>
      </c>
      <c r="E444" s="18" t="s">
        <v>226</v>
      </c>
      <c r="F444" s="18"/>
      <c r="G444" s="18" t="s">
        <v>1019</v>
      </c>
      <c r="H444" s="30" t="n">
        <v>40.6</v>
      </c>
      <c r="I444" s="18" t="s">
        <v>513</v>
      </c>
      <c r="J444" s="28" t="n">
        <v>3572.8</v>
      </c>
      <c r="K444" s="12" t="str">
        <f aca="false">TEXT(B444,"yyyy-mm")</f>
        <v>2026-02</v>
      </c>
      <c r="L444" s="21" t="str">
        <f aca="false">IFERROR(INDEX(Projects!$E$2:$E$500,MATCH(C444,Projects!$A$2:$A$500,0)),"")</f>
        <v>Cloud &amp; Infrastructure</v>
      </c>
      <c r="M444" s="31" t="n">
        <f aca="false">IF(I444="Yes",H444*INDEX(Resources!$I$2:$I$500,MATCH(E444,Resources!$A$2:$A$500,0)),0)</f>
        <v>7105</v>
      </c>
    </row>
    <row r="445" customFormat="false" ht="15" hidden="false" customHeight="false" outlineLevel="0" collapsed="false">
      <c r="A445" s="18" t="s">
        <v>1476</v>
      </c>
      <c r="B445" s="19" t="n">
        <v>46081</v>
      </c>
      <c r="C445" s="18" t="s">
        <v>222</v>
      </c>
      <c r="D445" s="18" t="s">
        <v>869</v>
      </c>
      <c r="E445" s="18" t="s">
        <v>348</v>
      </c>
      <c r="F445" s="18"/>
      <c r="G445" s="18" t="s">
        <v>1019</v>
      </c>
      <c r="H445" s="30" t="n">
        <v>38.9</v>
      </c>
      <c r="I445" s="18" t="s">
        <v>513</v>
      </c>
      <c r="J445" s="28" t="n">
        <v>5053.89</v>
      </c>
      <c r="K445" s="12" t="str">
        <f aca="false">TEXT(B445,"yyyy-mm")</f>
        <v>2026-02</v>
      </c>
      <c r="L445" s="21" t="str">
        <f aca="false">IFERROR(INDEX(Projects!$E$2:$E$500,MATCH(C445,Projects!$A$2:$A$500,0)),"")</f>
        <v>Cloud &amp; Infrastructure</v>
      </c>
      <c r="M445" s="31" t="n">
        <f aca="false">IF(I445="Yes",H445*INDEX(Resources!$I$2:$I$500,MATCH(E445,Resources!$A$2:$A$500,0)),0)</f>
        <v>10114</v>
      </c>
    </row>
    <row r="446" customFormat="false" ht="15" hidden="false" customHeight="false" outlineLevel="0" collapsed="false">
      <c r="A446" s="18" t="s">
        <v>1477</v>
      </c>
      <c r="B446" s="19" t="n">
        <v>46081</v>
      </c>
      <c r="C446" s="18" t="s">
        <v>222</v>
      </c>
      <c r="D446" s="18" t="s">
        <v>869</v>
      </c>
      <c r="E446" s="18" t="s">
        <v>395</v>
      </c>
      <c r="F446" s="18"/>
      <c r="G446" s="18" t="s">
        <v>1019</v>
      </c>
      <c r="H446" s="30" t="n">
        <v>72.1</v>
      </c>
      <c r="I446" s="18" t="s">
        <v>513</v>
      </c>
      <c r="J446" s="28" t="n">
        <v>7711.09</v>
      </c>
      <c r="K446" s="12" t="str">
        <f aca="false">TEXT(B446,"yyyy-mm")</f>
        <v>2026-02</v>
      </c>
      <c r="L446" s="21" t="str">
        <f aca="false">IFERROR(INDEX(Projects!$E$2:$E$500,MATCH(C446,Projects!$A$2:$A$500,0)),"")</f>
        <v>Cloud &amp; Infrastructure</v>
      </c>
      <c r="M446" s="31" t="n">
        <f aca="false">IF(I446="Yes",H446*INDEX(Resources!$I$2:$I$500,MATCH(E446,Resources!$A$2:$A$500,0)),0)</f>
        <v>12257</v>
      </c>
    </row>
    <row r="447" customFormat="false" ht="15" hidden="false" customHeight="false" outlineLevel="0" collapsed="false">
      <c r="A447" s="18" t="s">
        <v>1478</v>
      </c>
      <c r="B447" s="19" t="n">
        <v>46081</v>
      </c>
      <c r="C447" s="18" t="s">
        <v>222</v>
      </c>
      <c r="D447" s="18" t="s">
        <v>869</v>
      </c>
      <c r="E447" s="18" t="s">
        <v>470</v>
      </c>
      <c r="F447" s="18"/>
      <c r="G447" s="18" t="s">
        <v>1019</v>
      </c>
      <c r="H447" s="30" t="n">
        <v>173.7</v>
      </c>
      <c r="I447" s="18" t="s">
        <v>513</v>
      </c>
      <c r="J447" s="28" t="n">
        <v>18940.25</v>
      </c>
      <c r="K447" s="12" t="str">
        <f aca="false">TEXT(B447,"yyyy-mm")</f>
        <v>2026-02</v>
      </c>
      <c r="L447" s="21" t="str">
        <f aca="false">IFERROR(INDEX(Projects!$E$2:$E$500,MATCH(C447,Projects!$A$2:$A$500,0)),"")</f>
        <v>Cloud &amp; Infrastructure</v>
      </c>
      <c r="M447" s="31" t="n">
        <f aca="false">IF(I447="Yes",H447*INDEX(Resources!$I$2:$I$500,MATCH(E447,Resources!$A$2:$A$500,0)),0)</f>
        <v>38214</v>
      </c>
    </row>
    <row r="448" customFormat="false" ht="15" hidden="false" customHeight="false" outlineLevel="0" collapsed="false">
      <c r="A448" s="18" t="s">
        <v>1479</v>
      </c>
      <c r="B448" s="19" t="n">
        <v>46081</v>
      </c>
      <c r="C448" s="18" t="s">
        <v>222</v>
      </c>
      <c r="D448" s="18" t="s">
        <v>869</v>
      </c>
      <c r="E448" s="18" t="s">
        <v>483</v>
      </c>
      <c r="F448" s="18"/>
      <c r="G448" s="18" t="s">
        <v>1019</v>
      </c>
      <c r="H448" s="30" t="n">
        <v>87.4</v>
      </c>
      <c r="I448" s="18" t="s">
        <v>513</v>
      </c>
      <c r="J448" s="28" t="n">
        <v>8719.02</v>
      </c>
      <c r="K448" s="12" t="str">
        <f aca="false">TEXT(B448,"yyyy-mm")</f>
        <v>2026-02</v>
      </c>
      <c r="L448" s="21" t="str">
        <f aca="false">IFERROR(INDEX(Projects!$E$2:$E$500,MATCH(C448,Projects!$A$2:$A$500,0)),"")</f>
        <v>Cloud &amp; Infrastructure</v>
      </c>
      <c r="M448" s="31" t="n">
        <f aca="false">IF(I448="Yes",H448*INDEX(Resources!$I$2:$I$500,MATCH(E448,Resources!$A$2:$A$500,0)),0)</f>
        <v>17917</v>
      </c>
    </row>
    <row r="449" customFormat="false" ht="15" hidden="false" customHeight="false" outlineLevel="0" collapsed="false">
      <c r="A449" s="18" t="s">
        <v>1480</v>
      </c>
      <c r="B449" s="19" t="n">
        <v>46081</v>
      </c>
      <c r="C449" s="18" t="s">
        <v>222</v>
      </c>
      <c r="D449" s="18" t="s">
        <v>872</v>
      </c>
      <c r="E449" s="18"/>
      <c r="F449" s="18" t="s">
        <v>353</v>
      </c>
      <c r="G449" s="18" t="s">
        <v>1026</v>
      </c>
      <c r="H449" s="30" t="n">
        <v>0</v>
      </c>
      <c r="I449" s="18" t="s">
        <v>527</v>
      </c>
      <c r="J449" s="28" t="n">
        <v>2528.1</v>
      </c>
      <c r="K449" s="12" t="str">
        <f aca="false">TEXT(B449,"yyyy-mm")</f>
        <v>2026-02</v>
      </c>
      <c r="L449" s="21" t="str">
        <f aca="false">IFERROR(INDEX(Projects!$E$2:$E$500,MATCH(C449,Projects!$A$2:$A$500,0)),"")</f>
        <v>Cloud &amp; Infrastructure</v>
      </c>
      <c r="M449" s="31" t="n">
        <f aca="false">IF(I449="Yes",H449*INDEX(Resources!$I$2:$I$500,MATCH(E449,Resources!$A$2:$A$500,0)),0)</f>
        <v>0</v>
      </c>
    </row>
    <row r="450" customFormat="false" ht="15" hidden="false" customHeight="false" outlineLevel="0" collapsed="false">
      <c r="A450" s="18" t="s">
        <v>1481</v>
      </c>
      <c r="B450" s="19" t="n">
        <v>46081</v>
      </c>
      <c r="C450" s="18" t="s">
        <v>222</v>
      </c>
      <c r="D450" s="18" t="s">
        <v>876</v>
      </c>
      <c r="E450" s="18"/>
      <c r="F450" s="18" t="s">
        <v>1032</v>
      </c>
      <c r="G450" s="18" t="s">
        <v>1033</v>
      </c>
      <c r="H450" s="30" t="n">
        <v>0</v>
      </c>
      <c r="I450" s="18" t="s">
        <v>527</v>
      </c>
      <c r="J450" s="28" t="n">
        <v>834.74</v>
      </c>
      <c r="K450" s="12" t="str">
        <f aca="false">TEXT(B450,"yyyy-mm")</f>
        <v>2026-02</v>
      </c>
      <c r="L450" s="21" t="str">
        <f aca="false">IFERROR(INDEX(Projects!$E$2:$E$500,MATCH(C450,Projects!$A$2:$A$500,0)),"")</f>
        <v>Cloud &amp; Infrastructure</v>
      </c>
      <c r="M450" s="31" t="n">
        <f aca="false">IF(I450="Yes",H450*INDEX(Resources!$I$2:$I$500,MATCH(E450,Resources!$A$2:$A$500,0)),0)</f>
        <v>0</v>
      </c>
    </row>
    <row r="451" customFormat="false" ht="15" hidden="false" customHeight="false" outlineLevel="0" collapsed="false">
      <c r="A451" s="18" t="s">
        <v>1482</v>
      </c>
      <c r="B451" s="19" t="n">
        <v>46081</v>
      </c>
      <c r="C451" s="18" t="s">
        <v>233</v>
      </c>
      <c r="D451" s="18" t="s">
        <v>869</v>
      </c>
      <c r="E451" s="18" t="s">
        <v>237</v>
      </c>
      <c r="F451" s="18"/>
      <c r="G451" s="18" t="s">
        <v>1019</v>
      </c>
      <c r="H451" s="30" t="n">
        <v>110.4</v>
      </c>
      <c r="I451" s="18" t="s">
        <v>513</v>
      </c>
      <c r="J451" s="28" t="n">
        <v>8257.92</v>
      </c>
      <c r="K451" s="12" t="str">
        <f aca="false">TEXT(B451,"yyyy-mm")</f>
        <v>2026-02</v>
      </c>
      <c r="L451" s="21" t="str">
        <f aca="false">IFERROR(INDEX(Projects!$E$2:$E$500,MATCH(C451,Projects!$A$2:$A$500,0)),"")</f>
        <v>Customer Experience</v>
      </c>
      <c r="M451" s="31" t="n">
        <f aca="false">IF(I451="Yes",H451*INDEX(Resources!$I$2:$I$500,MATCH(E451,Resources!$A$2:$A$500,0)),0)</f>
        <v>16560</v>
      </c>
    </row>
    <row r="452" customFormat="false" ht="15" hidden="false" customHeight="false" outlineLevel="0" collapsed="false">
      <c r="A452" s="18" t="s">
        <v>1483</v>
      </c>
      <c r="B452" s="19" t="n">
        <v>46081</v>
      </c>
      <c r="C452" s="18" t="s">
        <v>233</v>
      </c>
      <c r="D452" s="18" t="s">
        <v>869</v>
      </c>
      <c r="E452" s="18" t="s">
        <v>375</v>
      </c>
      <c r="F452" s="18"/>
      <c r="G452" s="18" t="s">
        <v>1019</v>
      </c>
      <c r="H452" s="30" t="n">
        <v>95.6</v>
      </c>
      <c r="I452" s="18" t="s">
        <v>513</v>
      </c>
      <c r="J452" s="28" t="n">
        <v>6907.1</v>
      </c>
      <c r="K452" s="12" t="str">
        <f aca="false">TEXT(B452,"yyyy-mm")</f>
        <v>2026-02</v>
      </c>
      <c r="L452" s="21" t="str">
        <f aca="false">IFERROR(INDEX(Projects!$E$2:$E$500,MATCH(C452,Projects!$A$2:$A$500,0)),"")</f>
        <v>Customer Experience</v>
      </c>
      <c r="M452" s="31" t="n">
        <f aca="false">IF(I452="Yes",H452*INDEX(Resources!$I$2:$I$500,MATCH(E452,Resources!$A$2:$A$500,0)),0)</f>
        <v>11472</v>
      </c>
    </row>
    <row r="453" customFormat="false" ht="15" hidden="false" customHeight="false" outlineLevel="0" collapsed="false">
      <c r="A453" s="18" t="s">
        <v>1484</v>
      </c>
      <c r="B453" s="19" t="n">
        <v>46081</v>
      </c>
      <c r="C453" s="18" t="s">
        <v>233</v>
      </c>
      <c r="D453" s="18" t="s">
        <v>869</v>
      </c>
      <c r="E453" s="18" t="s">
        <v>384</v>
      </c>
      <c r="F453" s="18"/>
      <c r="G453" s="18" t="s">
        <v>1019</v>
      </c>
      <c r="H453" s="30" t="n">
        <v>163.9</v>
      </c>
      <c r="I453" s="18" t="s">
        <v>513</v>
      </c>
      <c r="J453" s="28" t="n">
        <v>11279.6</v>
      </c>
      <c r="K453" s="12" t="str">
        <f aca="false">TEXT(B453,"yyyy-mm")</f>
        <v>2026-02</v>
      </c>
      <c r="L453" s="21" t="str">
        <f aca="false">IFERROR(INDEX(Projects!$E$2:$E$500,MATCH(C453,Projects!$A$2:$A$500,0)),"")</f>
        <v>Customer Experience</v>
      </c>
      <c r="M453" s="31" t="n">
        <f aca="false">IF(I453="Yes",H453*INDEX(Resources!$I$2:$I$500,MATCH(E453,Resources!$A$2:$A$500,0)),0)</f>
        <v>22946</v>
      </c>
    </row>
    <row r="454" customFormat="false" ht="15" hidden="false" customHeight="false" outlineLevel="0" collapsed="false">
      <c r="A454" s="18" t="s">
        <v>1485</v>
      </c>
      <c r="B454" s="19" t="n">
        <v>46081</v>
      </c>
      <c r="C454" s="18" t="s">
        <v>233</v>
      </c>
      <c r="D454" s="18" t="s">
        <v>869</v>
      </c>
      <c r="E454" s="18" t="s">
        <v>398</v>
      </c>
      <c r="F454" s="18"/>
      <c r="G454" s="18" t="s">
        <v>1019</v>
      </c>
      <c r="H454" s="30" t="n">
        <v>155.8</v>
      </c>
      <c r="I454" s="18" t="s">
        <v>513</v>
      </c>
      <c r="J454" s="28" t="n">
        <v>13330.25</v>
      </c>
      <c r="K454" s="12" t="str">
        <f aca="false">TEXT(B454,"yyyy-mm")</f>
        <v>2026-02</v>
      </c>
      <c r="L454" s="21" t="str">
        <f aca="false">IFERROR(INDEX(Projects!$E$2:$E$500,MATCH(C454,Projects!$A$2:$A$500,0)),"")</f>
        <v>Customer Experience</v>
      </c>
      <c r="M454" s="31" t="n">
        <f aca="false">IF(I454="Yes",H454*INDEX(Resources!$I$2:$I$500,MATCH(E454,Resources!$A$2:$A$500,0)),0)</f>
        <v>26486</v>
      </c>
    </row>
    <row r="455" customFormat="false" ht="15" hidden="false" customHeight="false" outlineLevel="0" collapsed="false">
      <c r="A455" s="18" t="s">
        <v>1486</v>
      </c>
      <c r="B455" s="19" t="n">
        <v>46081</v>
      </c>
      <c r="C455" s="18" t="s">
        <v>233</v>
      </c>
      <c r="D455" s="18" t="s">
        <v>869</v>
      </c>
      <c r="E455" s="18" t="s">
        <v>420</v>
      </c>
      <c r="F455" s="18"/>
      <c r="G455" s="18" t="s">
        <v>1019</v>
      </c>
      <c r="H455" s="30" t="n">
        <v>196.1</v>
      </c>
      <c r="I455" s="18" t="s">
        <v>513</v>
      </c>
      <c r="J455" s="28" t="n">
        <v>11671.87</v>
      </c>
      <c r="K455" s="12" t="str">
        <f aca="false">TEXT(B455,"yyyy-mm")</f>
        <v>2026-02</v>
      </c>
      <c r="L455" s="21" t="str">
        <f aca="false">IFERROR(INDEX(Projects!$E$2:$E$500,MATCH(C455,Projects!$A$2:$A$500,0)),"")</f>
        <v>Customer Experience</v>
      </c>
      <c r="M455" s="31" t="n">
        <f aca="false">IF(I455="Yes",H455*INDEX(Resources!$I$2:$I$500,MATCH(E455,Resources!$A$2:$A$500,0)),0)</f>
        <v>23532</v>
      </c>
    </row>
    <row r="456" customFormat="false" ht="15" hidden="false" customHeight="false" outlineLevel="0" collapsed="false">
      <c r="A456" s="18" t="s">
        <v>1487</v>
      </c>
      <c r="B456" s="19" t="n">
        <v>46081</v>
      </c>
      <c r="C456" s="18" t="s">
        <v>233</v>
      </c>
      <c r="D456" s="18" t="s">
        <v>872</v>
      </c>
      <c r="E456" s="18"/>
      <c r="F456" s="18" t="s">
        <v>353</v>
      </c>
      <c r="G456" s="18" t="s">
        <v>1026</v>
      </c>
      <c r="H456" s="30" t="n">
        <v>0</v>
      </c>
      <c r="I456" s="18" t="s">
        <v>527</v>
      </c>
      <c r="J456" s="28" t="n">
        <v>2698.69</v>
      </c>
      <c r="K456" s="12" t="str">
        <f aca="false">TEXT(B456,"yyyy-mm")</f>
        <v>2026-02</v>
      </c>
      <c r="L456" s="21" t="str">
        <f aca="false">IFERROR(INDEX(Projects!$E$2:$E$500,MATCH(C456,Projects!$A$2:$A$500,0)),"")</f>
        <v>Customer Experience</v>
      </c>
      <c r="M456" s="31" t="n">
        <f aca="false">IF(I456="Yes",H456*INDEX(Resources!$I$2:$I$500,MATCH(E456,Resources!$A$2:$A$500,0)),0)</f>
        <v>0</v>
      </c>
    </row>
    <row r="457" customFormat="false" ht="15" hidden="false" customHeight="false" outlineLevel="0" collapsed="false">
      <c r="A457" s="18" t="s">
        <v>1488</v>
      </c>
      <c r="B457" s="19" t="n">
        <v>46081</v>
      </c>
      <c r="C457" s="18" t="s">
        <v>233</v>
      </c>
      <c r="D457" s="18" t="s">
        <v>874</v>
      </c>
      <c r="E457" s="18"/>
      <c r="F457" s="18" t="s">
        <v>1028</v>
      </c>
      <c r="G457" s="18" t="s">
        <v>1026</v>
      </c>
      <c r="H457" s="30" t="n">
        <v>0</v>
      </c>
      <c r="I457" s="18" t="s">
        <v>527</v>
      </c>
      <c r="J457" s="28" t="n">
        <v>4586.54</v>
      </c>
      <c r="K457" s="12" t="str">
        <f aca="false">TEXT(B457,"yyyy-mm")</f>
        <v>2026-02</v>
      </c>
      <c r="L457" s="21" t="str">
        <f aca="false">IFERROR(INDEX(Projects!$E$2:$E$500,MATCH(C457,Projects!$A$2:$A$500,0)),"")</f>
        <v>Customer Experience</v>
      </c>
      <c r="M457" s="31" t="n">
        <f aca="false">IF(I457="Yes",H457*INDEX(Resources!$I$2:$I$500,MATCH(E457,Resources!$A$2:$A$500,0)),0)</f>
        <v>0</v>
      </c>
    </row>
    <row r="458" customFormat="false" ht="15" hidden="false" customHeight="false" outlineLevel="0" collapsed="false">
      <c r="A458" s="18" t="s">
        <v>1489</v>
      </c>
      <c r="B458" s="19" t="n">
        <v>46081</v>
      </c>
      <c r="C458" s="18" t="s">
        <v>233</v>
      </c>
      <c r="D458" s="18" t="s">
        <v>876</v>
      </c>
      <c r="E458" s="18"/>
      <c r="F458" s="18" t="s">
        <v>1032</v>
      </c>
      <c r="G458" s="18" t="s">
        <v>1033</v>
      </c>
      <c r="H458" s="30" t="n">
        <v>0</v>
      </c>
      <c r="I458" s="18" t="s">
        <v>527</v>
      </c>
      <c r="J458" s="28" t="n">
        <v>850.76</v>
      </c>
      <c r="K458" s="12" t="str">
        <f aca="false">TEXT(B458,"yyyy-mm")</f>
        <v>2026-02</v>
      </c>
      <c r="L458" s="21" t="str">
        <f aca="false">IFERROR(INDEX(Projects!$E$2:$E$500,MATCH(C458,Projects!$A$2:$A$500,0)),"")</f>
        <v>Customer Experience</v>
      </c>
      <c r="M458" s="31" t="n">
        <f aca="false">IF(I458="Yes",H458*INDEX(Resources!$I$2:$I$500,MATCH(E458,Resources!$A$2:$A$500,0)),0)</f>
        <v>0</v>
      </c>
    </row>
    <row r="459" customFormat="false" ht="15" hidden="false" customHeight="false" outlineLevel="0" collapsed="false">
      <c r="A459" s="18" t="s">
        <v>1490</v>
      </c>
      <c r="B459" s="19" t="n">
        <v>46081</v>
      </c>
      <c r="C459" s="18" t="s">
        <v>244</v>
      </c>
      <c r="D459" s="18" t="s">
        <v>889</v>
      </c>
      <c r="E459" s="18"/>
      <c r="F459" s="18" t="s">
        <v>474</v>
      </c>
      <c r="G459" s="18" t="s">
        <v>1026</v>
      </c>
      <c r="H459" s="30" t="n">
        <v>0</v>
      </c>
      <c r="I459" s="18" t="s">
        <v>527</v>
      </c>
      <c r="J459" s="28" t="n">
        <v>5313.89</v>
      </c>
      <c r="K459" s="12" t="str">
        <f aca="false">TEXT(B459,"yyyy-mm")</f>
        <v>2026-02</v>
      </c>
      <c r="L459" s="21" t="str">
        <f aca="false">IFERROR(INDEX(Projects!$E$2:$E$500,MATCH(C459,Projects!$A$2:$A$500,0)),"")</f>
        <v>Cloud &amp; Infrastructure</v>
      </c>
      <c r="M459" s="31" t="n">
        <f aca="false">IF(I459="Yes",H459*INDEX(Resources!$I$2:$I$500,MATCH(E459,Resources!$A$2:$A$500,0)),0)</f>
        <v>0</v>
      </c>
    </row>
    <row r="460" customFormat="false" ht="15" hidden="false" customHeight="false" outlineLevel="0" collapsed="false">
      <c r="A460" s="18" t="s">
        <v>1491</v>
      </c>
      <c r="B460" s="19" t="n">
        <v>46081</v>
      </c>
      <c r="C460" s="18" t="s">
        <v>244</v>
      </c>
      <c r="D460" s="18" t="s">
        <v>869</v>
      </c>
      <c r="E460" s="18" t="s">
        <v>247</v>
      </c>
      <c r="F460" s="18"/>
      <c r="G460" s="18" t="s">
        <v>1019</v>
      </c>
      <c r="H460" s="30" t="n">
        <v>45.7</v>
      </c>
      <c r="I460" s="18" t="s">
        <v>527</v>
      </c>
      <c r="J460" s="28" t="n">
        <v>4021.6</v>
      </c>
      <c r="K460" s="12" t="str">
        <f aca="false">TEXT(B460,"yyyy-mm")</f>
        <v>2026-02</v>
      </c>
      <c r="L460" s="21" t="str">
        <f aca="false">IFERROR(INDEX(Projects!$E$2:$E$500,MATCH(C460,Projects!$A$2:$A$500,0)),"")</f>
        <v>Cloud &amp; Infrastructure</v>
      </c>
      <c r="M460" s="31" t="n">
        <f aca="false">IF(I460="Yes",H460*INDEX(Resources!$I$2:$I$500,MATCH(E460,Resources!$A$2:$A$500,0)),0)</f>
        <v>0</v>
      </c>
    </row>
    <row r="461" customFormat="false" ht="15" hidden="false" customHeight="false" outlineLevel="0" collapsed="false">
      <c r="A461" s="18" t="s">
        <v>1492</v>
      </c>
      <c r="B461" s="19" t="n">
        <v>46081</v>
      </c>
      <c r="C461" s="18" t="s">
        <v>244</v>
      </c>
      <c r="D461" s="18" t="s">
        <v>869</v>
      </c>
      <c r="E461" s="18" t="s">
        <v>354</v>
      </c>
      <c r="F461" s="18"/>
      <c r="G461" s="18" t="s">
        <v>1019</v>
      </c>
      <c r="H461" s="30" t="n">
        <v>48.4</v>
      </c>
      <c r="I461" s="18" t="s">
        <v>513</v>
      </c>
      <c r="J461" s="28" t="n">
        <v>6288.13</v>
      </c>
      <c r="K461" s="12" t="str">
        <f aca="false">TEXT(B461,"yyyy-mm")</f>
        <v>2026-02</v>
      </c>
      <c r="L461" s="21" t="str">
        <f aca="false">IFERROR(INDEX(Projects!$E$2:$E$500,MATCH(C461,Projects!$A$2:$A$500,0)),"")</f>
        <v>Cloud &amp; Infrastructure</v>
      </c>
      <c r="M461" s="31" t="n">
        <f aca="false">IF(I461="Yes",H461*INDEX(Resources!$I$2:$I$500,MATCH(E461,Resources!$A$2:$A$500,0)),0)</f>
        <v>12584</v>
      </c>
    </row>
    <row r="462" customFormat="false" ht="15" hidden="false" customHeight="false" outlineLevel="0" collapsed="false">
      <c r="A462" s="18" t="s">
        <v>1493</v>
      </c>
      <c r="B462" s="19" t="n">
        <v>46081</v>
      </c>
      <c r="C462" s="18" t="s">
        <v>244</v>
      </c>
      <c r="D462" s="18" t="s">
        <v>869</v>
      </c>
      <c r="E462" s="18" t="s">
        <v>405</v>
      </c>
      <c r="F462" s="18"/>
      <c r="G462" s="18" t="s">
        <v>1019</v>
      </c>
      <c r="H462" s="30" t="n">
        <v>94.6</v>
      </c>
      <c r="I462" s="18" t="s">
        <v>513</v>
      </c>
      <c r="J462" s="28" t="n">
        <v>9399.46</v>
      </c>
      <c r="K462" s="12" t="str">
        <f aca="false">TEXT(B462,"yyyy-mm")</f>
        <v>2026-02</v>
      </c>
      <c r="L462" s="21" t="str">
        <f aca="false">IFERROR(INDEX(Projects!$E$2:$E$500,MATCH(C462,Projects!$A$2:$A$500,0)),"")</f>
        <v>Cloud &amp; Infrastructure</v>
      </c>
      <c r="M462" s="31" t="n">
        <f aca="false">IF(I462="Yes",H462*INDEX(Resources!$I$2:$I$500,MATCH(E462,Resources!$A$2:$A$500,0)),0)</f>
        <v>18920</v>
      </c>
    </row>
    <row r="463" customFormat="false" ht="15" hidden="false" customHeight="false" outlineLevel="0" collapsed="false">
      <c r="A463" s="18" t="s">
        <v>1494</v>
      </c>
      <c r="B463" s="19" t="n">
        <v>46081</v>
      </c>
      <c r="C463" s="18" t="s">
        <v>244</v>
      </c>
      <c r="D463" s="18" t="s">
        <v>869</v>
      </c>
      <c r="E463" s="18" t="s">
        <v>475</v>
      </c>
      <c r="F463" s="18"/>
      <c r="G463" s="18" t="s">
        <v>1019</v>
      </c>
      <c r="H463" s="30" t="n">
        <v>144.3</v>
      </c>
      <c r="I463" s="18" t="s">
        <v>513</v>
      </c>
      <c r="J463" s="28" t="n">
        <v>16955.25</v>
      </c>
      <c r="K463" s="12" t="str">
        <f aca="false">TEXT(B463,"yyyy-mm")</f>
        <v>2026-02</v>
      </c>
      <c r="L463" s="21" t="str">
        <f aca="false">IFERROR(INDEX(Projects!$E$2:$E$500,MATCH(C463,Projects!$A$2:$A$500,0)),"")</f>
        <v>Cloud &amp; Infrastructure</v>
      </c>
      <c r="M463" s="31" t="n">
        <f aca="false">IF(I463="Yes",H463*INDEX(Resources!$I$2:$I$500,MATCH(E463,Resources!$A$2:$A$500,0)),0)</f>
        <v>27417</v>
      </c>
    </row>
    <row r="464" customFormat="false" ht="15" hidden="false" customHeight="false" outlineLevel="0" collapsed="false">
      <c r="A464" s="18" t="s">
        <v>1495</v>
      </c>
      <c r="B464" s="19" t="n">
        <v>46081</v>
      </c>
      <c r="C464" s="18" t="s">
        <v>244</v>
      </c>
      <c r="D464" s="18" t="s">
        <v>869</v>
      </c>
      <c r="E464" s="18" t="s">
        <v>487</v>
      </c>
      <c r="F464" s="18"/>
      <c r="G464" s="18" t="s">
        <v>1019</v>
      </c>
      <c r="H464" s="30" t="n">
        <v>90.8</v>
      </c>
      <c r="I464" s="18" t="s">
        <v>513</v>
      </c>
      <c r="J464" s="28" t="n">
        <v>7262.18</v>
      </c>
      <c r="K464" s="12" t="str">
        <f aca="false">TEXT(B464,"yyyy-mm")</f>
        <v>2026-02</v>
      </c>
      <c r="L464" s="21" t="str">
        <f aca="false">IFERROR(INDEX(Projects!$E$2:$E$500,MATCH(C464,Projects!$A$2:$A$500,0)),"")</f>
        <v>Cloud &amp; Infrastructure</v>
      </c>
      <c r="M464" s="31" t="n">
        <f aca="false">IF(I464="Yes",H464*INDEX(Resources!$I$2:$I$500,MATCH(E464,Resources!$A$2:$A$500,0)),0)</f>
        <v>14982</v>
      </c>
    </row>
    <row r="465" customFormat="false" ht="15" hidden="false" customHeight="false" outlineLevel="0" collapsed="false">
      <c r="A465" s="18" t="s">
        <v>1496</v>
      </c>
      <c r="B465" s="19" t="n">
        <v>46081</v>
      </c>
      <c r="C465" s="18" t="s">
        <v>244</v>
      </c>
      <c r="D465" s="18" t="s">
        <v>872</v>
      </c>
      <c r="E465" s="18"/>
      <c r="F465" s="18" t="s">
        <v>1025</v>
      </c>
      <c r="G465" s="18" t="s">
        <v>1026</v>
      </c>
      <c r="H465" s="30" t="n">
        <v>0</v>
      </c>
      <c r="I465" s="18" t="s">
        <v>527</v>
      </c>
      <c r="J465" s="28" t="n">
        <v>2171.73</v>
      </c>
      <c r="K465" s="12" t="str">
        <f aca="false">TEXT(B465,"yyyy-mm")</f>
        <v>2026-02</v>
      </c>
      <c r="L465" s="21" t="str">
        <f aca="false">IFERROR(INDEX(Projects!$E$2:$E$500,MATCH(C465,Projects!$A$2:$A$500,0)),"")</f>
        <v>Cloud &amp; Infrastructure</v>
      </c>
      <c r="M465" s="31" t="n">
        <f aca="false">IF(I465="Yes",H465*INDEX(Resources!$I$2:$I$500,MATCH(E465,Resources!$A$2:$A$500,0)),0)</f>
        <v>0</v>
      </c>
    </row>
    <row r="466" customFormat="false" ht="15" hidden="false" customHeight="false" outlineLevel="0" collapsed="false">
      <c r="A466" s="18" t="s">
        <v>1497</v>
      </c>
      <c r="B466" s="19" t="n">
        <v>46081</v>
      </c>
      <c r="C466" s="18" t="s">
        <v>244</v>
      </c>
      <c r="D466" s="18" t="s">
        <v>876</v>
      </c>
      <c r="E466" s="18"/>
      <c r="F466" s="18" t="s">
        <v>1071</v>
      </c>
      <c r="G466" s="18" t="s">
        <v>1033</v>
      </c>
      <c r="H466" s="30" t="n">
        <v>0</v>
      </c>
      <c r="I466" s="18" t="s">
        <v>527</v>
      </c>
      <c r="J466" s="28" t="n">
        <v>817.59</v>
      </c>
      <c r="K466" s="12" t="str">
        <f aca="false">TEXT(B466,"yyyy-mm")</f>
        <v>2026-02</v>
      </c>
      <c r="L466" s="21" t="str">
        <f aca="false">IFERROR(INDEX(Projects!$E$2:$E$500,MATCH(C466,Projects!$A$2:$A$500,0)),"")</f>
        <v>Cloud &amp; Infrastructure</v>
      </c>
      <c r="M466" s="31" t="n">
        <f aca="false">IF(I466="Yes",H466*INDEX(Resources!$I$2:$I$500,MATCH(E466,Resources!$A$2:$A$500,0)),0)</f>
        <v>0</v>
      </c>
    </row>
    <row r="467" customFormat="false" ht="15" hidden="false" customHeight="false" outlineLevel="0" collapsed="false">
      <c r="A467" s="18" t="s">
        <v>1498</v>
      </c>
      <c r="B467" s="19" t="n">
        <v>46081</v>
      </c>
      <c r="C467" s="18" t="s">
        <v>253</v>
      </c>
      <c r="D467" s="18" t="s">
        <v>869</v>
      </c>
      <c r="E467" s="18" t="s">
        <v>231</v>
      </c>
      <c r="F467" s="18"/>
      <c r="G467" s="18" t="s">
        <v>1019</v>
      </c>
      <c r="H467" s="30" t="n">
        <v>109.8</v>
      </c>
      <c r="I467" s="18" t="s">
        <v>513</v>
      </c>
      <c r="J467" s="28" t="n">
        <v>11208.38</v>
      </c>
      <c r="K467" s="12" t="str">
        <f aca="false">TEXT(B467,"yyyy-mm")</f>
        <v>2026-02</v>
      </c>
      <c r="L467" s="21" t="str">
        <f aca="false">IFERROR(INDEX(Projects!$E$2:$E$500,MATCH(C467,Projects!$A$2:$A$500,0)),"")</f>
        <v>Customer Experience</v>
      </c>
      <c r="M467" s="31" t="n">
        <f aca="false">IF(I467="Yes",H467*INDEX(Resources!$I$2:$I$500,MATCH(E467,Resources!$A$2:$A$500,0)),0)</f>
        <v>22509</v>
      </c>
    </row>
    <row r="468" customFormat="false" ht="15" hidden="false" customHeight="false" outlineLevel="0" collapsed="false">
      <c r="A468" s="18" t="s">
        <v>1499</v>
      </c>
      <c r="B468" s="19" t="n">
        <v>46081</v>
      </c>
      <c r="C468" s="18" t="s">
        <v>253</v>
      </c>
      <c r="D468" s="18" t="s">
        <v>869</v>
      </c>
      <c r="E468" s="18" t="s">
        <v>373</v>
      </c>
      <c r="F468" s="18"/>
      <c r="G468" s="18" t="s">
        <v>1019</v>
      </c>
      <c r="H468" s="30" t="n">
        <v>91.4</v>
      </c>
      <c r="I468" s="18" t="s">
        <v>513</v>
      </c>
      <c r="J468" s="28" t="n">
        <v>6712.42</v>
      </c>
      <c r="K468" s="12" t="str">
        <f aca="false">TEXT(B468,"yyyy-mm")</f>
        <v>2026-02</v>
      </c>
      <c r="L468" s="21" t="str">
        <f aca="false">IFERROR(INDEX(Projects!$E$2:$E$500,MATCH(C468,Projects!$A$2:$A$500,0)),"")</f>
        <v>Customer Experience</v>
      </c>
      <c r="M468" s="31" t="n">
        <f aca="false">IF(I468="Yes",H468*INDEX(Resources!$I$2:$I$500,MATCH(E468,Resources!$A$2:$A$500,0)),0)</f>
        <v>13710</v>
      </c>
    </row>
    <row r="469" customFormat="false" ht="15" hidden="false" customHeight="false" outlineLevel="0" collapsed="false">
      <c r="A469" s="18" t="s">
        <v>1500</v>
      </c>
      <c r="B469" s="19" t="n">
        <v>46081</v>
      </c>
      <c r="C469" s="18" t="s">
        <v>253</v>
      </c>
      <c r="D469" s="18" t="s">
        <v>869</v>
      </c>
      <c r="E469" s="18" t="s">
        <v>387</v>
      </c>
      <c r="F469" s="18"/>
      <c r="G469" s="18" t="s">
        <v>1019</v>
      </c>
      <c r="H469" s="30" t="n">
        <v>108.1</v>
      </c>
      <c r="I469" s="18" t="s">
        <v>513</v>
      </c>
      <c r="J469" s="28" t="n">
        <v>6799.49</v>
      </c>
      <c r="K469" s="12" t="str">
        <f aca="false">TEXT(B469,"yyyy-mm")</f>
        <v>2026-02</v>
      </c>
      <c r="L469" s="21" t="str">
        <f aca="false">IFERROR(INDEX(Projects!$E$2:$E$500,MATCH(C469,Projects!$A$2:$A$500,0)),"")</f>
        <v>Customer Experience</v>
      </c>
      <c r="M469" s="31" t="n">
        <f aca="false">IF(I469="Yes",H469*INDEX(Resources!$I$2:$I$500,MATCH(E469,Resources!$A$2:$A$500,0)),0)</f>
        <v>14053</v>
      </c>
    </row>
    <row r="470" customFormat="false" ht="15" hidden="false" customHeight="false" outlineLevel="0" collapsed="false">
      <c r="A470" s="18" t="s">
        <v>1501</v>
      </c>
      <c r="B470" s="19" t="n">
        <v>46081</v>
      </c>
      <c r="C470" s="18" t="s">
        <v>253</v>
      </c>
      <c r="D470" s="18" t="s">
        <v>869</v>
      </c>
      <c r="E470" s="18" t="s">
        <v>407</v>
      </c>
      <c r="F470" s="18"/>
      <c r="G470" s="18" t="s">
        <v>1019</v>
      </c>
      <c r="H470" s="30" t="n">
        <v>216.6</v>
      </c>
      <c r="I470" s="18" t="s">
        <v>513</v>
      </c>
      <c r="J470" s="28" t="n">
        <v>18532.3</v>
      </c>
      <c r="K470" s="12" t="str">
        <f aca="false">TEXT(B470,"yyyy-mm")</f>
        <v>2026-02</v>
      </c>
      <c r="L470" s="21" t="str">
        <f aca="false">IFERROR(INDEX(Projects!$E$2:$E$500,MATCH(C470,Projects!$A$2:$A$500,0)),"")</f>
        <v>Customer Experience</v>
      </c>
      <c r="M470" s="31" t="n">
        <f aca="false">IF(I470="Yes",H470*INDEX(Resources!$I$2:$I$500,MATCH(E470,Resources!$A$2:$A$500,0)),0)</f>
        <v>36822</v>
      </c>
    </row>
    <row r="471" customFormat="false" ht="15" hidden="false" customHeight="false" outlineLevel="0" collapsed="false">
      <c r="A471" s="18" t="s">
        <v>1502</v>
      </c>
      <c r="B471" s="19" t="n">
        <v>46081</v>
      </c>
      <c r="C471" s="18" t="s">
        <v>253</v>
      </c>
      <c r="D471" s="18" t="s">
        <v>869</v>
      </c>
      <c r="E471" s="18" t="s">
        <v>426</v>
      </c>
      <c r="F471" s="18"/>
      <c r="G471" s="18" t="s">
        <v>1019</v>
      </c>
      <c r="H471" s="30" t="n">
        <v>100.7</v>
      </c>
      <c r="I471" s="18" t="s">
        <v>513</v>
      </c>
      <c r="J471" s="28" t="n">
        <v>7475.97</v>
      </c>
      <c r="K471" s="12" t="str">
        <f aca="false">TEXT(B471,"yyyy-mm")</f>
        <v>2026-02</v>
      </c>
      <c r="L471" s="21" t="str">
        <f aca="false">IFERROR(INDEX(Projects!$E$2:$E$500,MATCH(C471,Projects!$A$2:$A$500,0)),"")</f>
        <v>Customer Experience</v>
      </c>
      <c r="M471" s="31" t="n">
        <f aca="false">IF(I471="Yes",H471*INDEX(Resources!$I$2:$I$500,MATCH(E471,Resources!$A$2:$A$500,0)),0)</f>
        <v>15105</v>
      </c>
    </row>
    <row r="472" customFormat="false" ht="15" hidden="false" customHeight="false" outlineLevel="0" collapsed="false">
      <c r="A472" s="18" t="s">
        <v>1503</v>
      </c>
      <c r="B472" s="19" t="n">
        <v>46081</v>
      </c>
      <c r="C472" s="18" t="s">
        <v>253</v>
      </c>
      <c r="D472" s="18" t="s">
        <v>872</v>
      </c>
      <c r="E472" s="18"/>
      <c r="F472" s="18" t="s">
        <v>1025</v>
      </c>
      <c r="G472" s="18" t="s">
        <v>1026</v>
      </c>
      <c r="H472" s="30" t="n">
        <v>0</v>
      </c>
      <c r="I472" s="18" t="s">
        <v>527</v>
      </c>
      <c r="J472" s="28" t="n">
        <v>3632.44</v>
      </c>
      <c r="K472" s="12" t="str">
        <f aca="false">TEXT(B472,"yyyy-mm")</f>
        <v>2026-02</v>
      </c>
      <c r="L472" s="21" t="str">
        <f aca="false">IFERROR(INDEX(Projects!$E$2:$E$500,MATCH(C472,Projects!$A$2:$A$500,0)),"")</f>
        <v>Customer Experience</v>
      </c>
      <c r="M472" s="31" t="n">
        <f aca="false">IF(I472="Yes",H472*INDEX(Resources!$I$2:$I$500,MATCH(E472,Resources!$A$2:$A$500,0)),0)</f>
        <v>0</v>
      </c>
    </row>
    <row r="473" customFormat="false" ht="15" hidden="false" customHeight="false" outlineLevel="0" collapsed="false">
      <c r="A473" s="18" t="s">
        <v>1504</v>
      </c>
      <c r="B473" s="19" t="n">
        <v>46081</v>
      </c>
      <c r="C473" s="18" t="s">
        <v>253</v>
      </c>
      <c r="D473" s="18" t="s">
        <v>874</v>
      </c>
      <c r="E473" s="18"/>
      <c r="F473" s="18" t="s">
        <v>1224</v>
      </c>
      <c r="G473" s="18" t="s">
        <v>1026</v>
      </c>
      <c r="H473" s="30" t="n">
        <v>0</v>
      </c>
      <c r="I473" s="18" t="s">
        <v>527</v>
      </c>
      <c r="J473" s="28" t="n">
        <v>4262.85</v>
      </c>
      <c r="K473" s="12" t="str">
        <f aca="false">TEXT(B473,"yyyy-mm")</f>
        <v>2026-02</v>
      </c>
      <c r="L473" s="21" t="str">
        <f aca="false">IFERROR(INDEX(Projects!$E$2:$E$500,MATCH(C473,Projects!$A$2:$A$500,0)),"")</f>
        <v>Customer Experience</v>
      </c>
      <c r="M473" s="31" t="n">
        <f aca="false">IF(I473="Yes",H473*INDEX(Resources!$I$2:$I$500,MATCH(E473,Resources!$A$2:$A$500,0)),0)</f>
        <v>0</v>
      </c>
    </row>
    <row r="474" customFormat="false" ht="15" hidden="false" customHeight="false" outlineLevel="0" collapsed="false">
      <c r="A474" s="18" t="s">
        <v>1505</v>
      </c>
      <c r="B474" s="19" t="n">
        <v>46081</v>
      </c>
      <c r="C474" s="18" t="s">
        <v>253</v>
      </c>
      <c r="D474" s="18" t="s">
        <v>876</v>
      </c>
      <c r="E474" s="18"/>
      <c r="F474" s="18" t="s">
        <v>1071</v>
      </c>
      <c r="G474" s="18" t="s">
        <v>1033</v>
      </c>
      <c r="H474" s="30" t="n">
        <v>0</v>
      </c>
      <c r="I474" s="18" t="s">
        <v>527</v>
      </c>
      <c r="J474" s="28" t="n">
        <v>767.83</v>
      </c>
      <c r="K474" s="12" t="str">
        <f aca="false">TEXT(B474,"yyyy-mm")</f>
        <v>2026-02</v>
      </c>
      <c r="L474" s="21" t="str">
        <f aca="false">IFERROR(INDEX(Projects!$E$2:$E$500,MATCH(C474,Projects!$A$2:$A$500,0)),"")</f>
        <v>Customer Experience</v>
      </c>
      <c r="M474" s="31" t="n">
        <f aca="false">IF(I474="Yes",H474*INDEX(Resources!$I$2:$I$500,MATCH(E474,Resources!$A$2:$A$500,0)),0)</f>
        <v>0</v>
      </c>
    </row>
    <row r="475" customFormat="false" ht="15" hidden="false" customHeight="false" outlineLevel="0" collapsed="false">
      <c r="A475" s="18" t="s">
        <v>1506</v>
      </c>
      <c r="B475" s="19" t="n">
        <v>46081</v>
      </c>
      <c r="C475" s="18" t="s">
        <v>257</v>
      </c>
      <c r="D475" s="18" t="s">
        <v>889</v>
      </c>
      <c r="E475" s="18"/>
      <c r="F475" s="18" t="s">
        <v>474</v>
      </c>
      <c r="G475" s="18" t="s">
        <v>1026</v>
      </c>
      <c r="H475" s="30" t="n">
        <v>0</v>
      </c>
      <c r="I475" s="18" t="s">
        <v>527</v>
      </c>
      <c r="J475" s="28" t="n">
        <v>2873.39</v>
      </c>
      <c r="K475" s="12" t="str">
        <f aca="false">TEXT(B475,"yyyy-mm")</f>
        <v>2026-02</v>
      </c>
      <c r="L475" s="21" t="str">
        <f aca="false">IFERROR(INDEX(Projects!$E$2:$E$500,MATCH(C475,Projects!$A$2:$A$500,0)),"")</f>
        <v>Data &amp; AI</v>
      </c>
      <c r="M475" s="31" t="n">
        <f aca="false">IF(I475="Yes",H475*INDEX(Resources!$I$2:$I$500,MATCH(E475,Resources!$A$2:$A$500,0)),0)</f>
        <v>0</v>
      </c>
    </row>
    <row r="476" customFormat="false" ht="15" hidden="false" customHeight="false" outlineLevel="0" collapsed="false">
      <c r="A476" s="18" t="s">
        <v>1507</v>
      </c>
      <c r="B476" s="19" t="n">
        <v>46081</v>
      </c>
      <c r="C476" s="18" t="s">
        <v>257</v>
      </c>
      <c r="D476" s="18" t="s">
        <v>869</v>
      </c>
      <c r="E476" s="18" t="s">
        <v>226</v>
      </c>
      <c r="F476" s="18"/>
      <c r="G476" s="18" t="s">
        <v>1019</v>
      </c>
      <c r="H476" s="30" t="n">
        <v>19.6</v>
      </c>
      <c r="I476" s="18" t="s">
        <v>527</v>
      </c>
      <c r="J476" s="28" t="n">
        <v>1724.8</v>
      </c>
      <c r="K476" s="12" t="str">
        <f aca="false">TEXT(B476,"yyyy-mm")</f>
        <v>2026-02</v>
      </c>
      <c r="L476" s="21" t="str">
        <f aca="false">IFERROR(INDEX(Projects!$E$2:$E$500,MATCH(C476,Projects!$A$2:$A$500,0)),"")</f>
        <v>Data &amp; AI</v>
      </c>
      <c r="M476" s="31" t="n">
        <f aca="false">IF(I476="Yes",H476*INDEX(Resources!$I$2:$I$500,MATCH(E476,Resources!$A$2:$A$500,0)),0)</f>
        <v>0</v>
      </c>
    </row>
    <row r="477" customFormat="false" ht="15" hidden="false" customHeight="false" outlineLevel="0" collapsed="false">
      <c r="A477" s="18" t="s">
        <v>1508</v>
      </c>
      <c r="B477" s="19" t="n">
        <v>46081</v>
      </c>
      <c r="C477" s="18" t="s">
        <v>257</v>
      </c>
      <c r="D477" s="18" t="s">
        <v>869</v>
      </c>
      <c r="E477" s="18" t="s">
        <v>357</v>
      </c>
      <c r="F477" s="18"/>
      <c r="G477" s="18" t="s">
        <v>1019</v>
      </c>
      <c r="H477" s="30" t="n">
        <v>19.9</v>
      </c>
      <c r="I477" s="18" t="s">
        <v>513</v>
      </c>
      <c r="J477" s="28" t="n">
        <v>2407.1</v>
      </c>
      <c r="K477" s="12" t="str">
        <f aca="false">TEXT(B477,"yyyy-mm")</f>
        <v>2026-02</v>
      </c>
      <c r="L477" s="21" t="str">
        <f aca="false">IFERROR(INDEX(Projects!$E$2:$E$500,MATCH(C477,Projects!$A$2:$A$500,0)),"")</f>
        <v>Data &amp; AI</v>
      </c>
      <c r="M477" s="31" t="n">
        <f aca="false">IF(I477="Yes",H477*INDEX(Resources!$I$2:$I$500,MATCH(E477,Resources!$A$2:$A$500,0)),0)</f>
        <v>4875.5</v>
      </c>
    </row>
    <row r="478" customFormat="false" ht="15" hidden="false" customHeight="false" outlineLevel="0" collapsed="false">
      <c r="A478" s="18" t="s">
        <v>1509</v>
      </c>
      <c r="B478" s="19" t="n">
        <v>46081</v>
      </c>
      <c r="C478" s="18" t="s">
        <v>257</v>
      </c>
      <c r="D478" s="18" t="s">
        <v>869</v>
      </c>
      <c r="E478" s="18" t="s">
        <v>428</v>
      </c>
      <c r="F478" s="18"/>
      <c r="G478" s="18" t="s">
        <v>1019</v>
      </c>
      <c r="H478" s="30" t="n">
        <v>42.4</v>
      </c>
      <c r="I478" s="18" t="s">
        <v>513</v>
      </c>
      <c r="J478" s="28" t="n">
        <v>2306.56</v>
      </c>
      <c r="K478" s="12" t="str">
        <f aca="false">TEXT(B478,"yyyy-mm")</f>
        <v>2026-02</v>
      </c>
      <c r="L478" s="21" t="str">
        <f aca="false">IFERROR(INDEX(Projects!$E$2:$E$500,MATCH(C478,Projects!$A$2:$A$500,0)),"")</f>
        <v>Data &amp; AI</v>
      </c>
      <c r="M478" s="31" t="n">
        <f aca="false">IF(I478="Yes",H478*INDEX(Resources!$I$2:$I$500,MATCH(E478,Resources!$A$2:$A$500,0)),0)</f>
        <v>4664</v>
      </c>
    </row>
    <row r="479" customFormat="false" ht="15" hidden="false" customHeight="false" outlineLevel="0" collapsed="false">
      <c r="A479" s="18" t="s">
        <v>1510</v>
      </c>
      <c r="B479" s="19" t="n">
        <v>46081</v>
      </c>
      <c r="C479" s="18" t="s">
        <v>257</v>
      </c>
      <c r="D479" s="18" t="s">
        <v>869</v>
      </c>
      <c r="E479" s="18" t="s">
        <v>457</v>
      </c>
      <c r="F479" s="18"/>
      <c r="G479" s="18" t="s">
        <v>1019</v>
      </c>
      <c r="H479" s="30" t="n">
        <v>44.5</v>
      </c>
      <c r="I479" s="18" t="s">
        <v>513</v>
      </c>
      <c r="J479" s="28" t="n">
        <v>4645.8</v>
      </c>
      <c r="K479" s="12" t="str">
        <f aca="false">TEXT(B479,"yyyy-mm")</f>
        <v>2026-02</v>
      </c>
      <c r="L479" s="21" t="str">
        <f aca="false">IFERROR(INDEX(Projects!$E$2:$E$500,MATCH(C479,Projects!$A$2:$A$500,0)),"")</f>
        <v>Data &amp; AI</v>
      </c>
      <c r="M479" s="31" t="n">
        <f aca="false">IF(I479="Yes",H479*INDEX(Resources!$I$2:$I$500,MATCH(E479,Resources!$A$2:$A$500,0)),0)</f>
        <v>9345</v>
      </c>
    </row>
    <row r="480" customFormat="false" ht="15" hidden="false" customHeight="false" outlineLevel="0" collapsed="false">
      <c r="A480" s="18" t="s">
        <v>1511</v>
      </c>
      <c r="B480" s="19" t="n">
        <v>46081</v>
      </c>
      <c r="C480" s="18" t="s">
        <v>257</v>
      </c>
      <c r="D480" s="18" t="s">
        <v>872</v>
      </c>
      <c r="E480" s="18"/>
      <c r="F480" s="18" t="s">
        <v>1059</v>
      </c>
      <c r="G480" s="18" t="s">
        <v>1026</v>
      </c>
      <c r="H480" s="30" t="n">
        <v>0</v>
      </c>
      <c r="I480" s="18" t="s">
        <v>527</v>
      </c>
      <c r="J480" s="28" t="n">
        <v>2258.19</v>
      </c>
      <c r="K480" s="12" t="str">
        <f aca="false">TEXT(B480,"yyyy-mm")</f>
        <v>2026-02</v>
      </c>
      <c r="L480" s="21" t="str">
        <f aca="false">IFERROR(INDEX(Projects!$E$2:$E$500,MATCH(C480,Projects!$A$2:$A$500,0)),"")</f>
        <v>Data &amp; AI</v>
      </c>
      <c r="M480" s="31" t="n">
        <f aca="false">IF(I480="Yes",H480*INDEX(Resources!$I$2:$I$500,MATCH(E480,Resources!$A$2:$A$500,0)),0)</f>
        <v>0</v>
      </c>
    </row>
    <row r="481" customFormat="false" ht="15" hidden="false" customHeight="false" outlineLevel="0" collapsed="false">
      <c r="A481" s="18" t="s">
        <v>1512</v>
      </c>
      <c r="B481" s="19" t="n">
        <v>46081</v>
      </c>
      <c r="C481" s="18" t="s">
        <v>257</v>
      </c>
      <c r="D481" s="18" t="s">
        <v>876</v>
      </c>
      <c r="E481" s="18"/>
      <c r="F481" s="18" t="s">
        <v>1071</v>
      </c>
      <c r="G481" s="18" t="s">
        <v>1033</v>
      </c>
      <c r="H481" s="30" t="n">
        <v>0</v>
      </c>
      <c r="I481" s="18" t="s">
        <v>527</v>
      </c>
      <c r="J481" s="28" t="n">
        <v>444.4</v>
      </c>
      <c r="K481" s="12" t="str">
        <f aca="false">TEXT(B481,"yyyy-mm")</f>
        <v>2026-02</v>
      </c>
      <c r="L481" s="21" t="str">
        <f aca="false">IFERROR(INDEX(Projects!$E$2:$E$500,MATCH(C481,Projects!$A$2:$A$500,0)),"")</f>
        <v>Data &amp; AI</v>
      </c>
      <c r="M481" s="31" t="n">
        <f aca="false">IF(I481="Yes",H481*INDEX(Resources!$I$2:$I$500,MATCH(E481,Resources!$A$2:$A$500,0)),0)</f>
        <v>0</v>
      </c>
    </row>
    <row r="482" customFormat="false" ht="15" hidden="false" customHeight="false" outlineLevel="0" collapsed="false">
      <c r="A482" s="18" t="s">
        <v>1513</v>
      </c>
      <c r="B482" s="19" t="n">
        <v>46081</v>
      </c>
      <c r="C482" s="18" t="s">
        <v>265</v>
      </c>
      <c r="D482" s="18" t="s">
        <v>869</v>
      </c>
      <c r="E482" s="18" t="s">
        <v>211</v>
      </c>
      <c r="F482" s="18"/>
      <c r="G482" s="18" t="s">
        <v>1019</v>
      </c>
      <c r="H482" s="30" t="n">
        <v>103.9</v>
      </c>
      <c r="I482" s="18" t="s">
        <v>513</v>
      </c>
      <c r="J482" s="28" t="n">
        <v>10606.11</v>
      </c>
      <c r="K482" s="12" t="str">
        <f aca="false">TEXT(B482,"yyyy-mm")</f>
        <v>2026-02</v>
      </c>
      <c r="L482" s="21" t="str">
        <f aca="false">IFERROR(INDEX(Projects!$E$2:$E$500,MATCH(C482,Projects!$A$2:$A$500,0)),"")</f>
        <v>Digital Transformation</v>
      </c>
      <c r="M482" s="31" t="n">
        <f aca="false">IF(I482="Yes",H482*INDEX(Resources!$I$2:$I$500,MATCH(E482,Resources!$A$2:$A$500,0)),0)</f>
        <v>21299.5</v>
      </c>
    </row>
    <row r="483" customFormat="false" ht="15" hidden="false" customHeight="false" outlineLevel="0" collapsed="false">
      <c r="A483" s="18" t="s">
        <v>1514</v>
      </c>
      <c r="B483" s="19" t="n">
        <v>46081</v>
      </c>
      <c r="C483" s="18" t="s">
        <v>265</v>
      </c>
      <c r="D483" s="18" t="s">
        <v>869</v>
      </c>
      <c r="E483" s="18" t="s">
        <v>360</v>
      </c>
      <c r="F483" s="18"/>
      <c r="G483" s="18" t="s">
        <v>1019</v>
      </c>
      <c r="H483" s="30" t="n">
        <v>95.5</v>
      </c>
      <c r="I483" s="18" t="s">
        <v>513</v>
      </c>
      <c r="J483" s="28" t="n">
        <v>9947.28</v>
      </c>
      <c r="K483" s="12" t="str">
        <f aca="false">TEXT(B483,"yyyy-mm")</f>
        <v>2026-02</v>
      </c>
      <c r="L483" s="21" t="str">
        <f aca="false">IFERROR(INDEX(Projects!$E$2:$E$500,MATCH(C483,Projects!$A$2:$A$500,0)),"")</f>
        <v>Digital Transformation</v>
      </c>
      <c r="M483" s="31" t="n">
        <f aca="false">IF(I483="Yes",H483*INDEX(Resources!$I$2:$I$500,MATCH(E483,Resources!$A$2:$A$500,0)),0)</f>
        <v>20055</v>
      </c>
    </row>
    <row r="484" customFormat="false" ht="15" hidden="false" customHeight="false" outlineLevel="0" collapsed="false">
      <c r="A484" s="18" t="s">
        <v>1515</v>
      </c>
      <c r="B484" s="19" t="n">
        <v>46081</v>
      </c>
      <c r="C484" s="18" t="s">
        <v>265</v>
      </c>
      <c r="D484" s="18" t="s">
        <v>869</v>
      </c>
      <c r="E484" s="18" t="s">
        <v>375</v>
      </c>
      <c r="F484" s="18"/>
      <c r="G484" s="18" t="s">
        <v>1019</v>
      </c>
      <c r="H484" s="30" t="n">
        <v>151.2</v>
      </c>
      <c r="I484" s="18" t="s">
        <v>513</v>
      </c>
      <c r="J484" s="28" t="n">
        <v>10924.2</v>
      </c>
      <c r="K484" s="12" t="str">
        <f aca="false">TEXT(B484,"yyyy-mm")</f>
        <v>2026-02</v>
      </c>
      <c r="L484" s="21" t="str">
        <f aca="false">IFERROR(INDEX(Projects!$E$2:$E$500,MATCH(C484,Projects!$A$2:$A$500,0)),"")</f>
        <v>Digital Transformation</v>
      </c>
      <c r="M484" s="31" t="n">
        <f aca="false">IF(I484="Yes",H484*INDEX(Resources!$I$2:$I$500,MATCH(E484,Resources!$A$2:$A$500,0)),0)</f>
        <v>18144</v>
      </c>
    </row>
    <row r="485" customFormat="false" ht="15" hidden="false" customHeight="false" outlineLevel="0" collapsed="false">
      <c r="A485" s="18" t="s">
        <v>1516</v>
      </c>
      <c r="B485" s="19" t="n">
        <v>46081</v>
      </c>
      <c r="C485" s="18" t="s">
        <v>265</v>
      </c>
      <c r="D485" s="18" t="s">
        <v>869</v>
      </c>
      <c r="E485" s="18" t="s">
        <v>403</v>
      </c>
      <c r="F485" s="18"/>
      <c r="G485" s="18" t="s">
        <v>1019</v>
      </c>
      <c r="H485" s="30" t="n">
        <v>152.2</v>
      </c>
      <c r="I485" s="18" t="s">
        <v>513</v>
      </c>
      <c r="J485" s="28" t="n">
        <v>13022.23</v>
      </c>
      <c r="K485" s="12" t="str">
        <f aca="false">TEXT(B485,"yyyy-mm")</f>
        <v>2026-02</v>
      </c>
      <c r="L485" s="21" t="str">
        <f aca="false">IFERROR(INDEX(Projects!$E$2:$E$500,MATCH(C485,Projects!$A$2:$A$500,0)),"")</f>
        <v>Digital Transformation</v>
      </c>
      <c r="M485" s="31" t="n">
        <f aca="false">IF(I485="Yes",H485*INDEX(Resources!$I$2:$I$500,MATCH(E485,Resources!$A$2:$A$500,0)),0)</f>
        <v>25874</v>
      </c>
    </row>
    <row r="486" customFormat="false" ht="15" hidden="false" customHeight="false" outlineLevel="0" collapsed="false">
      <c r="A486" s="18" t="s">
        <v>1517</v>
      </c>
      <c r="B486" s="19" t="n">
        <v>46081</v>
      </c>
      <c r="C486" s="18" t="s">
        <v>265</v>
      </c>
      <c r="D486" s="18" t="s">
        <v>869</v>
      </c>
      <c r="E486" s="18" t="s">
        <v>432</v>
      </c>
      <c r="F486" s="18"/>
      <c r="G486" s="18" t="s">
        <v>1019</v>
      </c>
      <c r="H486" s="30" t="n">
        <v>103.6</v>
      </c>
      <c r="I486" s="18" t="s">
        <v>513</v>
      </c>
      <c r="J486" s="28" t="n">
        <v>6630.4</v>
      </c>
      <c r="K486" s="12" t="str">
        <f aca="false">TEXT(B486,"yyyy-mm")</f>
        <v>2026-02</v>
      </c>
      <c r="L486" s="21" t="str">
        <f aca="false">IFERROR(INDEX(Projects!$E$2:$E$500,MATCH(C486,Projects!$A$2:$A$500,0)),"")</f>
        <v>Digital Transformation</v>
      </c>
      <c r="M486" s="31" t="n">
        <f aca="false">IF(I486="Yes",H486*INDEX(Resources!$I$2:$I$500,MATCH(E486,Resources!$A$2:$A$500,0)),0)</f>
        <v>13468</v>
      </c>
    </row>
    <row r="487" customFormat="false" ht="15" hidden="false" customHeight="false" outlineLevel="0" collapsed="false">
      <c r="A487" s="18" t="s">
        <v>1518</v>
      </c>
      <c r="B487" s="19" t="n">
        <v>46081</v>
      </c>
      <c r="C487" s="18" t="s">
        <v>265</v>
      </c>
      <c r="D487" s="18" t="s">
        <v>869</v>
      </c>
      <c r="E487" s="18" t="s">
        <v>448</v>
      </c>
      <c r="F487" s="18"/>
      <c r="G487" s="18" t="s">
        <v>1019</v>
      </c>
      <c r="H487" s="30" t="n">
        <v>27</v>
      </c>
      <c r="I487" s="18" t="s">
        <v>513</v>
      </c>
      <c r="J487" s="28" t="n">
        <v>1753.92</v>
      </c>
      <c r="K487" s="12" t="str">
        <f aca="false">TEXT(B487,"yyyy-mm")</f>
        <v>2026-02</v>
      </c>
      <c r="L487" s="21" t="str">
        <f aca="false">IFERROR(INDEX(Projects!$E$2:$E$500,MATCH(C487,Projects!$A$2:$A$500,0)),"")</f>
        <v>Digital Transformation</v>
      </c>
      <c r="M487" s="31" t="n">
        <f aca="false">IF(I487="Yes",H487*INDEX(Resources!$I$2:$I$500,MATCH(E487,Resources!$A$2:$A$500,0)),0)</f>
        <v>3645</v>
      </c>
    </row>
    <row r="488" customFormat="false" ht="15" hidden="false" customHeight="false" outlineLevel="0" collapsed="false">
      <c r="A488" s="18" t="s">
        <v>1519</v>
      </c>
      <c r="B488" s="19" t="n">
        <v>46081</v>
      </c>
      <c r="C488" s="18" t="s">
        <v>265</v>
      </c>
      <c r="D488" s="18" t="s">
        <v>869</v>
      </c>
      <c r="E488" s="18" t="s">
        <v>496</v>
      </c>
      <c r="F488" s="18"/>
      <c r="G488" s="18" t="s">
        <v>1019</v>
      </c>
      <c r="H488" s="30" t="n">
        <v>11</v>
      </c>
      <c r="I488" s="18" t="s">
        <v>513</v>
      </c>
      <c r="J488" s="28" t="n">
        <v>855.36</v>
      </c>
      <c r="K488" s="12" t="str">
        <f aca="false">TEXT(B488,"yyyy-mm")</f>
        <v>2026-02</v>
      </c>
      <c r="L488" s="21" t="str">
        <f aca="false">IFERROR(INDEX(Projects!$E$2:$E$500,MATCH(C488,Projects!$A$2:$A$500,0)),"")</f>
        <v>Digital Transformation</v>
      </c>
      <c r="M488" s="31" t="n">
        <f aca="false">IF(I488="Yes",H488*INDEX(Resources!$I$2:$I$500,MATCH(E488,Resources!$A$2:$A$500,0)),0)</f>
        <v>1760</v>
      </c>
    </row>
    <row r="489" customFormat="false" ht="15" hidden="false" customHeight="false" outlineLevel="0" collapsed="false">
      <c r="A489" s="18" t="s">
        <v>1520</v>
      </c>
      <c r="B489" s="19" t="n">
        <v>46081</v>
      </c>
      <c r="C489" s="18" t="s">
        <v>265</v>
      </c>
      <c r="D489" s="18" t="s">
        <v>872</v>
      </c>
      <c r="E489" s="18"/>
      <c r="F489" s="18" t="s">
        <v>353</v>
      </c>
      <c r="G489" s="18" t="s">
        <v>1026</v>
      </c>
      <c r="H489" s="30" t="n">
        <v>0</v>
      </c>
      <c r="I489" s="18" t="s">
        <v>527</v>
      </c>
      <c r="J489" s="28" t="n">
        <v>3776.21</v>
      </c>
      <c r="K489" s="12" t="str">
        <f aca="false">TEXT(B489,"yyyy-mm")</f>
        <v>2026-02</v>
      </c>
      <c r="L489" s="21" t="str">
        <f aca="false">IFERROR(INDEX(Projects!$E$2:$E$500,MATCH(C489,Projects!$A$2:$A$500,0)),"")</f>
        <v>Digital Transformation</v>
      </c>
      <c r="M489" s="31" t="n">
        <f aca="false">IF(I489="Yes",H489*INDEX(Resources!$I$2:$I$500,MATCH(E489,Resources!$A$2:$A$500,0)),0)</f>
        <v>0</v>
      </c>
    </row>
    <row r="490" customFormat="false" ht="15" hidden="false" customHeight="false" outlineLevel="0" collapsed="false">
      <c r="A490" s="18" t="s">
        <v>1521</v>
      </c>
      <c r="B490" s="19" t="n">
        <v>46081</v>
      </c>
      <c r="C490" s="18" t="s">
        <v>265</v>
      </c>
      <c r="D490" s="18" t="s">
        <v>874</v>
      </c>
      <c r="E490" s="18"/>
      <c r="F490" s="18" t="s">
        <v>1028</v>
      </c>
      <c r="G490" s="18" t="s">
        <v>1026</v>
      </c>
      <c r="H490" s="30" t="n">
        <v>0</v>
      </c>
      <c r="I490" s="18" t="s">
        <v>527</v>
      </c>
      <c r="J490" s="28" t="n">
        <v>5296.89</v>
      </c>
      <c r="K490" s="12" t="str">
        <f aca="false">TEXT(B490,"yyyy-mm")</f>
        <v>2026-02</v>
      </c>
      <c r="L490" s="21" t="str">
        <f aca="false">IFERROR(INDEX(Projects!$E$2:$E$500,MATCH(C490,Projects!$A$2:$A$500,0)),"")</f>
        <v>Digital Transformation</v>
      </c>
      <c r="M490" s="31" t="n">
        <f aca="false">IF(I490="Yes",H490*INDEX(Resources!$I$2:$I$500,MATCH(E490,Resources!$A$2:$A$500,0)),0)</f>
        <v>0</v>
      </c>
    </row>
    <row r="491" customFormat="false" ht="15" hidden="false" customHeight="false" outlineLevel="0" collapsed="false">
      <c r="A491" s="18" t="s">
        <v>1522</v>
      </c>
      <c r="B491" s="19" t="n">
        <v>46081</v>
      </c>
      <c r="C491" s="18" t="s">
        <v>265</v>
      </c>
      <c r="D491" s="18" t="s">
        <v>495</v>
      </c>
      <c r="E491" s="18"/>
      <c r="F491" s="18" t="s">
        <v>1030</v>
      </c>
      <c r="G491" s="18" t="s">
        <v>1026</v>
      </c>
      <c r="H491" s="30" t="n">
        <v>0</v>
      </c>
      <c r="I491" s="18" t="s">
        <v>527</v>
      </c>
      <c r="J491" s="28" t="n">
        <v>1472.5</v>
      </c>
      <c r="K491" s="12" t="str">
        <f aca="false">TEXT(B491,"yyyy-mm")</f>
        <v>2026-02</v>
      </c>
      <c r="L491" s="21" t="str">
        <f aca="false">IFERROR(INDEX(Projects!$E$2:$E$500,MATCH(C491,Projects!$A$2:$A$500,0)),"")</f>
        <v>Digital Transformation</v>
      </c>
      <c r="M491" s="31" t="n">
        <f aca="false">IF(I491="Yes",H491*INDEX(Resources!$I$2:$I$500,MATCH(E491,Resources!$A$2:$A$500,0)),0)</f>
        <v>0</v>
      </c>
    </row>
    <row r="492" customFormat="false" ht="15" hidden="false" customHeight="false" outlineLevel="0" collapsed="false">
      <c r="A492" s="18" t="s">
        <v>1523</v>
      </c>
      <c r="B492" s="19" t="n">
        <v>46081</v>
      </c>
      <c r="C492" s="18" t="s">
        <v>265</v>
      </c>
      <c r="D492" s="18" t="s">
        <v>876</v>
      </c>
      <c r="E492" s="18"/>
      <c r="F492" s="18" t="s">
        <v>1032</v>
      </c>
      <c r="G492" s="18" t="s">
        <v>1033</v>
      </c>
      <c r="H492" s="30" t="n">
        <v>0</v>
      </c>
      <c r="I492" s="18" t="s">
        <v>527</v>
      </c>
      <c r="J492" s="28" t="n">
        <v>987.59</v>
      </c>
      <c r="K492" s="12" t="str">
        <f aca="false">TEXT(B492,"yyyy-mm")</f>
        <v>2026-02</v>
      </c>
      <c r="L492" s="21" t="str">
        <f aca="false">IFERROR(INDEX(Projects!$E$2:$E$500,MATCH(C492,Projects!$A$2:$A$500,0)),"")</f>
        <v>Digital Transformation</v>
      </c>
      <c r="M492" s="31" t="n">
        <f aca="false">IF(I492="Yes",H492*INDEX(Resources!$I$2:$I$500,MATCH(E492,Resources!$A$2:$A$500,0)),0)</f>
        <v>0</v>
      </c>
    </row>
    <row r="493" customFormat="false" ht="15" hidden="false" customHeight="false" outlineLevel="0" collapsed="false">
      <c r="A493" s="18" t="s">
        <v>1524</v>
      </c>
      <c r="B493" s="19" t="n">
        <v>46081</v>
      </c>
      <c r="C493" s="18" t="s">
        <v>267</v>
      </c>
      <c r="D493" s="18" t="s">
        <v>889</v>
      </c>
      <c r="E493" s="18"/>
      <c r="F493" s="18" t="s">
        <v>1035</v>
      </c>
      <c r="G493" s="18" t="s">
        <v>1026</v>
      </c>
      <c r="H493" s="30" t="n">
        <v>0</v>
      </c>
      <c r="I493" s="18" t="s">
        <v>527</v>
      </c>
      <c r="J493" s="28" t="n">
        <v>5323.43</v>
      </c>
      <c r="K493" s="12" t="str">
        <f aca="false">TEXT(B493,"yyyy-mm")</f>
        <v>2026-02</v>
      </c>
      <c r="L493" s="21" t="str">
        <f aca="false">IFERROR(INDEX(Projects!$E$2:$E$500,MATCH(C493,Projects!$A$2:$A$500,0)),"")</f>
        <v>Cloud &amp; Infrastructure</v>
      </c>
      <c r="M493" s="31" t="n">
        <f aca="false">IF(I493="Yes",H493*INDEX(Resources!$I$2:$I$500,MATCH(E493,Resources!$A$2:$A$500,0)),0)</f>
        <v>0</v>
      </c>
    </row>
    <row r="494" customFormat="false" ht="15" hidden="false" customHeight="false" outlineLevel="0" collapsed="false">
      <c r="A494" s="18" t="s">
        <v>1525</v>
      </c>
      <c r="B494" s="19" t="n">
        <v>46081</v>
      </c>
      <c r="C494" s="18" t="s">
        <v>267</v>
      </c>
      <c r="D494" s="18" t="s">
        <v>869</v>
      </c>
      <c r="E494" s="18" t="s">
        <v>242</v>
      </c>
      <c r="F494" s="18"/>
      <c r="G494" s="18" t="s">
        <v>1019</v>
      </c>
      <c r="H494" s="30" t="n">
        <v>39.9</v>
      </c>
      <c r="I494" s="18" t="s">
        <v>513</v>
      </c>
      <c r="J494" s="28" t="n">
        <v>3792.1</v>
      </c>
      <c r="K494" s="12" t="str">
        <f aca="false">TEXT(B494,"yyyy-mm")</f>
        <v>2026-02</v>
      </c>
      <c r="L494" s="21" t="str">
        <f aca="false">IFERROR(INDEX(Projects!$E$2:$E$500,MATCH(C494,Projects!$A$2:$A$500,0)),"")</f>
        <v>Cloud &amp; Infrastructure</v>
      </c>
      <c r="M494" s="31" t="n">
        <f aca="false">IF(I494="Yes",H494*INDEX(Resources!$I$2:$I$500,MATCH(E494,Resources!$A$2:$A$500,0)),0)</f>
        <v>7581</v>
      </c>
    </row>
    <row r="495" customFormat="false" ht="15" hidden="false" customHeight="false" outlineLevel="0" collapsed="false">
      <c r="A495" s="18" t="s">
        <v>1526</v>
      </c>
      <c r="B495" s="19" t="n">
        <v>46081</v>
      </c>
      <c r="C495" s="18" t="s">
        <v>267</v>
      </c>
      <c r="D495" s="18" t="s">
        <v>869</v>
      </c>
      <c r="E495" s="18" t="s">
        <v>348</v>
      </c>
      <c r="F495" s="18"/>
      <c r="G495" s="18" t="s">
        <v>1019</v>
      </c>
      <c r="H495" s="30" t="n">
        <v>41.8</v>
      </c>
      <c r="I495" s="18" t="s">
        <v>513</v>
      </c>
      <c r="J495" s="28" t="n">
        <v>5430.66</v>
      </c>
      <c r="K495" s="12" t="str">
        <f aca="false">TEXT(B495,"yyyy-mm")</f>
        <v>2026-02</v>
      </c>
      <c r="L495" s="21" t="str">
        <f aca="false">IFERROR(INDEX(Projects!$E$2:$E$500,MATCH(C495,Projects!$A$2:$A$500,0)),"")</f>
        <v>Cloud &amp; Infrastructure</v>
      </c>
      <c r="M495" s="31" t="n">
        <f aca="false">IF(I495="Yes",H495*INDEX(Resources!$I$2:$I$500,MATCH(E495,Resources!$A$2:$A$500,0)),0)</f>
        <v>10868</v>
      </c>
    </row>
    <row r="496" customFormat="false" ht="15" hidden="false" customHeight="false" outlineLevel="0" collapsed="false">
      <c r="A496" s="18" t="s">
        <v>1527</v>
      </c>
      <c r="B496" s="19" t="n">
        <v>46081</v>
      </c>
      <c r="C496" s="18" t="s">
        <v>267</v>
      </c>
      <c r="D496" s="18" t="s">
        <v>869</v>
      </c>
      <c r="E496" s="18" t="s">
        <v>405</v>
      </c>
      <c r="F496" s="18"/>
      <c r="G496" s="18" t="s">
        <v>1019</v>
      </c>
      <c r="H496" s="30" t="n">
        <v>80.9</v>
      </c>
      <c r="I496" s="18" t="s">
        <v>513</v>
      </c>
      <c r="J496" s="28" t="n">
        <v>8038.22</v>
      </c>
      <c r="K496" s="12" t="str">
        <f aca="false">TEXT(B496,"yyyy-mm")</f>
        <v>2026-02</v>
      </c>
      <c r="L496" s="21" t="str">
        <f aca="false">IFERROR(INDEX(Projects!$E$2:$E$500,MATCH(C496,Projects!$A$2:$A$500,0)),"")</f>
        <v>Cloud &amp; Infrastructure</v>
      </c>
      <c r="M496" s="31" t="n">
        <f aca="false">IF(I496="Yes",H496*INDEX(Resources!$I$2:$I$500,MATCH(E496,Resources!$A$2:$A$500,0)),0)</f>
        <v>16180</v>
      </c>
    </row>
    <row r="497" customFormat="false" ht="15" hidden="false" customHeight="false" outlineLevel="0" collapsed="false">
      <c r="A497" s="18" t="s">
        <v>1528</v>
      </c>
      <c r="B497" s="19" t="n">
        <v>46081</v>
      </c>
      <c r="C497" s="18" t="s">
        <v>267</v>
      </c>
      <c r="D497" s="18" t="s">
        <v>869</v>
      </c>
      <c r="E497" s="18" t="s">
        <v>477</v>
      </c>
      <c r="F497" s="18"/>
      <c r="G497" s="18" t="s">
        <v>1019</v>
      </c>
      <c r="H497" s="30" t="n">
        <v>124.8</v>
      </c>
      <c r="I497" s="18" t="s">
        <v>513</v>
      </c>
      <c r="J497" s="28" t="n">
        <v>13608.19</v>
      </c>
      <c r="K497" s="12" t="str">
        <f aca="false">TEXT(B497,"yyyy-mm")</f>
        <v>2026-02</v>
      </c>
      <c r="L497" s="21" t="str">
        <f aca="false">IFERROR(INDEX(Projects!$E$2:$E$500,MATCH(C497,Projects!$A$2:$A$500,0)),"")</f>
        <v>Cloud &amp; Infrastructure</v>
      </c>
      <c r="M497" s="31" t="n">
        <f aca="false">IF(I497="Yes",H497*INDEX(Resources!$I$2:$I$500,MATCH(E497,Resources!$A$2:$A$500,0)),0)</f>
        <v>27456</v>
      </c>
    </row>
    <row r="498" customFormat="false" ht="15" hidden="false" customHeight="false" outlineLevel="0" collapsed="false">
      <c r="A498" s="18" t="s">
        <v>1529</v>
      </c>
      <c r="B498" s="19" t="n">
        <v>46081</v>
      </c>
      <c r="C498" s="18" t="s">
        <v>267</v>
      </c>
      <c r="D498" s="18" t="s">
        <v>869</v>
      </c>
      <c r="E498" s="18" t="s">
        <v>489</v>
      </c>
      <c r="F498" s="18"/>
      <c r="G498" s="18" t="s">
        <v>1019</v>
      </c>
      <c r="H498" s="30" t="n">
        <v>78.2</v>
      </c>
      <c r="I498" s="18" t="s">
        <v>513</v>
      </c>
      <c r="J498" s="28" t="n">
        <v>6725.2</v>
      </c>
      <c r="K498" s="12" t="str">
        <f aca="false">TEXT(B498,"yyyy-mm")</f>
        <v>2026-02</v>
      </c>
      <c r="L498" s="21" t="str">
        <f aca="false">IFERROR(INDEX(Projects!$E$2:$E$500,MATCH(C498,Projects!$A$2:$A$500,0)),"")</f>
        <v>Cloud &amp; Infrastructure</v>
      </c>
      <c r="M498" s="31" t="n">
        <f aca="false">IF(I498="Yes",H498*INDEX(Resources!$I$2:$I$500,MATCH(E498,Resources!$A$2:$A$500,0)),0)</f>
        <v>13685</v>
      </c>
    </row>
    <row r="499" customFormat="false" ht="15" hidden="false" customHeight="false" outlineLevel="0" collapsed="false">
      <c r="A499" s="18" t="s">
        <v>1530</v>
      </c>
      <c r="B499" s="19" t="n">
        <v>46081</v>
      </c>
      <c r="C499" s="18" t="s">
        <v>267</v>
      </c>
      <c r="D499" s="18" t="s">
        <v>872</v>
      </c>
      <c r="E499" s="18"/>
      <c r="F499" s="18" t="s">
        <v>1059</v>
      </c>
      <c r="G499" s="18" t="s">
        <v>1026</v>
      </c>
      <c r="H499" s="30" t="n">
        <v>0</v>
      </c>
      <c r="I499" s="18" t="s">
        <v>527</v>
      </c>
      <c r="J499" s="28" t="n">
        <v>1883.88</v>
      </c>
      <c r="K499" s="12" t="str">
        <f aca="false">TEXT(B499,"yyyy-mm")</f>
        <v>2026-02</v>
      </c>
      <c r="L499" s="21" t="str">
        <f aca="false">IFERROR(INDEX(Projects!$E$2:$E$500,MATCH(C499,Projects!$A$2:$A$500,0)),"")</f>
        <v>Cloud &amp; Infrastructure</v>
      </c>
      <c r="M499" s="31" t="n">
        <f aca="false">IF(I499="Yes",H499*INDEX(Resources!$I$2:$I$500,MATCH(E499,Resources!$A$2:$A$500,0)),0)</f>
        <v>0</v>
      </c>
    </row>
    <row r="500" customFormat="false" ht="15" hidden="false" customHeight="false" outlineLevel="0" collapsed="false">
      <c r="A500" s="18" t="s">
        <v>1531</v>
      </c>
      <c r="B500" s="19" t="n">
        <v>46081</v>
      </c>
      <c r="C500" s="18" t="s">
        <v>267</v>
      </c>
      <c r="D500" s="18" t="s">
        <v>876</v>
      </c>
      <c r="E500" s="18"/>
      <c r="F500" s="18" t="s">
        <v>1032</v>
      </c>
      <c r="G500" s="18" t="s">
        <v>1033</v>
      </c>
      <c r="H500" s="30" t="n">
        <v>0</v>
      </c>
      <c r="I500" s="18" t="s">
        <v>527</v>
      </c>
      <c r="J500" s="28" t="n">
        <v>728.61</v>
      </c>
      <c r="K500" s="12" t="str">
        <f aca="false">TEXT(B500,"yyyy-mm")</f>
        <v>2026-02</v>
      </c>
      <c r="L500" s="21" t="str">
        <f aca="false">IFERROR(INDEX(Projects!$E$2:$E$500,MATCH(C500,Projects!$A$2:$A$500,0)),"")</f>
        <v>Cloud &amp; Infrastructure</v>
      </c>
      <c r="M500" s="31" t="n">
        <f aca="false">IF(I500="Yes",H500*INDEX(Resources!$I$2:$I$500,MATCH(E500,Resources!$A$2:$A$500,0)),0)</f>
        <v>0</v>
      </c>
    </row>
    <row r="501" customFormat="false" ht="15" hidden="false" customHeight="false" outlineLevel="0" collapsed="false">
      <c r="A501" s="18" t="s">
        <v>1532</v>
      </c>
      <c r="B501" s="19" t="n">
        <v>46081</v>
      </c>
      <c r="C501" s="18" t="s">
        <v>275</v>
      </c>
      <c r="D501" s="18" t="s">
        <v>869</v>
      </c>
      <c r="E501" s="18" t="s">
        <v>218</v>
      </c>
      <c r="F501" s="18"/>
      <c r="G501" s="18" t="s">
        <v>1019</v>
      </c>
      <c r="H501" s="30" t="n">
        <v>121.3</v>
      </c>
      <c r="I501" s="18" t="s">
        <v>513</v>
      </c>
      <c r="J501" s="28" t="n">
        <v>9073.24</v>
      </c>
      <c r="K501" s="12" t="str">
        <f aca="false">TEXT(B501,"yyyy-mm")</f>
        <v>2026-02</v>
      </c>
      <c r="L501" s="21" t="str">
        <f aca="false">IFERROR(INDEX(Projects!$E$2:$E$500,MATCH(C501,Projects!$A$2:$A$500,0)),"")</f>
        <v>Customer Experience</v>
      </c>
      <c r="M501" s="31" t="n">
        <f aca="false">IF(I501="Yes",H501*INDEX(Resources!$I$2:$I$500,MATCH(E501,Resources!$A$2:$A$500,0)),0)</f>
        <v>18195</v>
      </c>
    </row>
    <row r="502" customFormat="false" ht="15" hidden="false" customHeight="false" outlineLevel="0" collapsed="false">
      <c r="A502" s="18" t="s">
        <v>1533</v>
      </c>
      <c r="B502" s="19" t="n">
        <v>46081</v>
      </c>
      <c r="C502" s="18" t="s">
        <v>275</v>
      </c>
      <c r="D502" s="18" t="s">
        <v>869</v>
      </c>
      <c r="E502" s="18" t="s">
        <v>371</v>
      </c>
      <c r="F502" s="18"/>
      <c r="G502" s="18" t="s">
        <v>1019</v>
      </c>
      <c r="H502" s="30" t="n">
        <v>114.4</v>
      </c>
      <c r="I502" s="18" t="s">
        <v>513</v>
      </c>
      <c r="J502" s="28" t="n">
        <v>7234.66</v>
      </c>
      <c r="K502" s="12" t="str">
        <f aca="false">TEXT(B502,"yyyy-mm")</f>
        <v>2026-02</v>
      </c>
      <c r="L502" s="21" t="str">
        <f aca="false">IFERROR(INDEX(Projects!$E$2:$E$500,MATCH(C502,Projects!$A$2:$A$500,0)),"")</f>
        <v>Customer Experience</v>
      </c>
      <c r="M502" s="31" t="n">
        <f aca="false">IF(I502="Yes",H502*INDEX(Resources!$I$2:$I$500,MATCH(E502,Resources!$A$2:$A$500,0)),0)</f>
        <v>14872</v>
      </c>
    </row>
    <row r="503" customFormat="false" ht="15" hidden="false" customHeight="false" outlineLevel="0" collapsed="false">
      <c r="A503" s="18" t="s">
        <v>1534</v>
      </c>
      <c r="B503" s="19" t="n">
        <v>46081</v>
      </c>
      <c r="C503" s="18" t="s">
        <v>275</v>
      </c>
      <c r="D503" s="18" t="s">
        <v>869</v>
      </c>
      <c r="E503" s="18" t="s">
        <v>387</v>
      </c>
      <c r="F503" s="18"/>
      <c r="G503" s="18" t="s">
        <v>1019</v>
      </c>
      <c r="H503" s="30" t="n">
        <v>117.4</v>
      </c>
      <c r="I503" s="18" t="s">
        <v>513</v>
      </c>
      <c r="J503" s="28" t="n">
        <v>7384.46</v>
      </c>
      <c r="K503" s="12" t="str">
        <f aca="false">TEXT(B503,"yyyy-mm")</f>
        <v>2026-02</v>
      </c>
      <c r="L503" s="21" t="str">
        <f aca="false">IFERROR(INDEX(Projects!$E$2:$E$500,MATCH(C503,Projects!$A$2:$A$500,0)),"")</f>
        <v>Customer Experience</v>
      </c>
      <c r="M503" s="31" t="n">
        <f aca="false">IF(I503="Yes",H503*INDEX(Resources!$I$2:$I$500,MATCH(E503,Resources!$A$2:$A$500,0)),0)</f>
        <v>15262</v>
      </c>
    </row>
    <row r="504" customFormat="false" ht="15" hidden="false" customHeight="false" outlineLevel="0" collapsed="false">
      <c r="A504" s="18" t="s">
        <v>1535</v>
      </c>
      <c r="B504" s="19" t="n">
        <v>46081</v>
      </c>
      <c r="C504" s="18" t="s">
        <v>275</v>
      </c>
      <c r="D504" s="18" t="s">
        <v>869</v>
      </c>
      <c r="E504" s="18" t="s">
        <v>400</v>
      </c>
      <c r="F504" s="18"/>
      <c r="G504" s="18" t="s">
        <v>1019</v>
      </c>
      <c r="H504" s="30" t="n">
        <v>110.5</v>
      </c>
      <c r="I504" s="18" t="s">
        <v>513</v>
      </c>
      <c r="J504" s="28" t="n">
        <v>10979.28</v>
      </c>
      <c r="K504" s="12" t="str">
        <f aca="false">TEXT(B504,"yyyy-mm")</f>
        <v>2026-02</v>
      </c>
      <c r="L504" s="21" t="str">
        <f aca="false">IFERROR(INDEX(Projects!$E$2:$E$500,MATCH(C504,Projects!$A$2:$A$500,0)),"")</f>
        <v>Customer Experience</v>
      </c>
      <c r="M504" s="31" t="n">
        <f aca="false">IF(I504="Yes",H504*INDEX(Resources!$I$2:$I$500,MATCH(E504,Resources!$A$2:$A$500,0)),0)</f>
        <v>22100</v>
      </c>
    </row>
    <row r="505" customFormat="false" ht="15" hidden="false" customHeight="false" outlineLevel="0" collapsed="false">
      <c r="A505" s="18" t="s">
        <v>1536</v>
      </c>
      <c r="B505" s="19" t="n">
        <v>46081</v>
      </c>
      <c r="C505" s="18" t="s">
        <v>275</v>
      </c>
      <c r="D505" s="18" t="s">
        <v>869</v>
      </c>
      <c r="E505" s="18" t="s">
        <v>422</v>
      </c>
      <c r="F505" s="18"/>
      <c r="G505" s="18" t="s">
        <v>1019</v>
      </c>
      <c r="H505" s="30" t="n">
        <v>110.9</v>
      </c>
      <c r="I505" s="18" t="s">
        <v>513</v>
      </c>
      <c r="J505" s="28" t="n">
        <v>6600.77</v>
      </c>
      <c r="K505" s="12" t="str">
        <f aca="false">TEXT(B505,"yyyy-mm")</f>
        <v>2026-02</v>
      </c>
      <c r="L505" s="21" t="str">
        <f aca="false">IFERROR(INDEX(Projects!$E$2:$E$500,MATCH(C505,Projects!$A$2:$A$500,0)),"")</f>
        <v>Customer Experience</v>
      </c>
      <c r="M505" s="31" t="n">
        <f aca="false">IF(I505="Yes",H505*INDEX(Resources!$I$2:$I$500,MATCH(E505,Resources!$A$2:$A$500,0)),0)</f>
        <v>13308</v>
      </c>
    </row>
    <row r="506" customFormat="false" ht="15" hidden="false" customHeight="false" outlineLevel="0" collapsed="false">
      <c r="A506" s="18" t="s">
        <v>1537</v>
      </c>
      <c r="B506" s="19" t="n">
        <v>46081</v>
      </c>
      <c r="C506" s="18" t="s">
        <v>275</v>
      </c>
      <c r="D506" s="18" t="s">
        <v>872</v>
      </c>
      <c r="E506" s="18"/>
      <c r="F506" s="18" t="s">
        <v>353</v>
      </c>
      <c r="G506" s="18" t="s">
        <v>1026</v>
      </c>
      <c r="H506" s="30" t="n">
        <v>0</v>
      </c>
      <c r="I506" s="18" t="s">
        <v>527</v>
      </c>
      <c r="J506" s="28" t="n">
        <v>2490.17</v>
      </c>
      <c r="K506" s="12" t="str">
        <f aca="false">TEXT(B506,"yyyy-mm")</f>
        <v>2026-02</v>
      </c>
      <c r="L506" s="21" t="str">
        <f aca="false">IFERROR(INDEX(Projects!$E$2:$E$500,MATCH(C506,Projects!$A$2:$A$500,0)),"")</f>
        <v>Customer Experience</v>
      </c>
      <c r="M506" s="31" t="n">
        <f aca="false">IF(I506="Yes",H506*INDEX(Resources!$I$2:$I$500,MATCH(E506,Resources!$A$2:$A$500,0)),0)</f>
        <v>0</v>
      </c>
    </row>
    <row r="507" customFormat="false" ht="15" hidden="false" customHeight="false" outlineLevel="0" collapsed="false">
      <c r="A507" s="18" t="s">
        <v>1538</v>
      </c>
      <c r="B507" s="19" t="n">
        <v>46081</v>
      </c>
      <c r="C507" s="18" t="s">
        <v>275</v>
      </c>
      <c r="D507" s="18" t="s">
        <v>874</v>
      </c>
      <c r="E507" s="18"/>
      <c r="F507" s="18" t="s">
        <v>1028</v>
      </c>
      <c r="G507" s="18" t="s">
        <v>1026</v>
      </c>
      <c r="H507" s="30" t="n">
        <v>0</v>
      </c>
      <c r="I507" s="18" t="s">
        <v>527</v>
      </c>
      <c r="J507" s="28" t="n">
        <v>3043.8</v>
      </c>
      <c r="K507" s="12" t="str">
        <f aca="false">TEXT(B507,"yyyy-mm")</f>
        <v>2026-02</v>
      </c>
      <c r="L507" s="21" t="str">
        <f aca="false">IFERROR(INDEX(Projects!$E$2:$E$500,MATCH(C507,Projects!$A$2:$A$500,0)),"")</f>
        <v>Customer Experience</v>
      </c>
      <c r="M507" s="31" t="n">
        <f aca="false">IF(I507="Yes",H507*INDEX(Resources!$I$2:$I$500,MATCH(E507,Resources!$A$2:$A$500,0)),0)</f>
        <v>0</v>
      </c>
    </row>
    <row r="508" customFormat="false" ht="15" hidden="false" customHeight="false" outlineLevel="0" collapsed="false">
      <c r="A508" s="18" t="s">
        <v>1539</v>
      </c>
      <c r="B508" s="19" t="n">
        <v>46081</v>
      </c>
      <c r="C508" s="18" t="s">
        <v>275</v>
      </c>
      <c r="D508" s="18" t="s">
        <v>876</v>
      </c>
      <c r="E508" s="18"/>
      <c r="F508" s="18" t="s">
        <v>1071</v>
      </c>
      <c r="G508" s="18" t="s">
        <v>1033</v>
      </c>
      <c r="H508" s="30" t="n">
        <v>0</v>
      </c>
      <c r="I508" s="18" t="s">
        <v>527</v>
      </c>
      <c r="J508" s="28" t="n">
        <v>683.21</v>
      </c>
      <c r="K508" s="12" t="str">
        <f aca="false">TEXT(B508,"yyyy-mm")</f>
        <v>2026-02</v>
      </c>
      <c r="L508" s="21" t="str">
        <f aca="false">IFERROR(INDEX(Projects!$E$2:$E$500,MATCH(C508,Projects!$A$2:$A$500,0)),"")</f>
        <v>Customer Experience</v>
      </c>
      <c r="M508" s="31" t="n">
        <f aca="false">IF(I508="Yes",H508*INDEX(Resources!$I$2:$I$500,MATCH(E508,Resources!$A$2:$A$500,0)),0)</f>
        <v>0</v>
      </c>
    </row>
    <row r="509" customFormat="false" ht="15" hidden="false" customHeight="false" outlineLevel="0" collapsed="false">
      <c r="A509" s="18" t="s">
        <v>1540</v>
      </c>
      <c r="B509" s="19" t="n">
        <v>46081</v>
      </c>
      <c r="C509" s="18" t="s">
        <v>281</v>
      </c>
      <c r="D509" s="18" t="s">
        <v>869</v>
      </c>
      <c r="E509" s="18" t="s">
        <v>247</v>
      </c>
      <c r="F509" s="18"/>
      <c r="G509" s="18" t="s">
        <v>1019</v>
      </c>
      <c r="H509" s="30" t="n">
        <v>82.9</v>
      </c>
      <c r="I509" s="18" t="s">
        <v>513</v>
      </c>
      <c r="J509" s="28" t="n">
        <v>7295.2</v>
      </c>
      <c r="K509" s="12" t="str">
        <f aca="false">TEXT(B509,"yyyy-mm")</f>
        <v>2026-02</v>
      </c>
      <c r="L509" s="21" t="str">
        <f aca="false">IFERROR(INDEX(Projects!$E$2:$E$500,MATCH(C509,Projects!$A$2:$A$500,0)),"")</f>
        <v>Digital Transformation</v>
      </c>
      <c r="M509" s="31" t="n">
        <f aca="false">IF(I509="Yes",H509*INDEX(Resources!$I$2:$I$500,MATCH(E509,Resources!$A$2:$A$500,0)),0)</f>
        <v>14507.5</v>
      </c>
    </row>
    <row r="510" customFormat="false" ht="15" hidden="false" customHeight="false" outlineLevel="0" collapsed="false">
      <c r="A510" s="18" t="s">
        <v>1541</v>
      </c>
      <c r="B510" s="19" t="n">
        <v>46081</v>
      </c>
      <c r="C510" s="18" t="s">
        <v>281</v>
      </c>
      <c r="D510" s="18" t="s">
        <v>869</v>
      </c>
      <c r="E510" s="18" t="s">
        <v>371</v>
      </c>
      <c r="F510" s="18"/>
      <c r="G510" s="18" t="s">
        <v>1019</v>
      </c>
      <c r="H510" s="30" t="n">
        <v>121.4</v>
      </c>
      <c r="I510" s="18" t="s">
        <v>513</v>
      </c>
      <c r="J510" s="28" t="n">
        <v>7677.34</v>
      </c>
      <c r="K510" s="12" t="str">
        <f aca="false">TEXT(B510,"yyyy-mm")</f>
        <v>2026-02</v>
      </c>
      <c r="L510" s="21" t="str">
        <f aca="false">IFERROR(INDEX(Projects!$E$2:$E$500,MATCH(C510,Projects!$A$2:$A$500,0)),"")</f>
        <v>Digital Transformation</v>
      </c>
      <c r="M510" s="31" t="n">
        <f aca="false">IF(I510="Yes",H510*INDEX(Resources!$I$2:$I$500,MATCH(E510,Resources!$A$2:$A$500,0)),0)</f>
        <v>15782</v>
      </c>
    </row>
    <row r="511" customFormat="false" ht="15" hidden="false" customHeight="false" outlineLevel="0" collapsed="false">
      <c r="A511" s="18" t="s">
        <v>1542</v>
      </c>
      <c r="B511" s="19" t="n">
        <v>46081</v>
      </c>
      <c r="C511" s="18" t="s">
        <v>281</v>
      </c>
      <c r="D511" s="18" t="s">
        <v>869</v>
      </c>
      <c r="E511" s="18" t="s">
        <v>395</v>
      </c>
      <c r="F511" s="18"/>
      <c r="G511" s="18" t="s">
        <v>1019</v>
      </c>
      <c r="H511" s="30" t="n">
        <v>117.4</v>
      </c>
      <c r="I511" s="18" t="s">
        <v>513</v>
      </c>
      <c r="J511" s="28" t="n">
        <v>12555.93</v>
      </c>
      <c r="K511" s="12" t="str">
        <f aca="false">TEXT(B511,"yyyy-mm")</f>
        <v>2026-02</v>
      </c>
      <c r="L511" s="21" t="str">
        <f aca="false">IFERROR(INDEX(Projects!$E$2:$E$500,MATCH(C511,Projects!$A$2:$A$500,0)),"")</f>
        <v>Digital Transformation</v>
      </c>
      <c r="M511" s="31" t="n">
        <f aca="false">IF(I511="Yes",H511*INDEX(Resources!$I$2:$I$500,MATCH(E511,Resources!$A$2:$A$500,0)),0)</f>
        <v>19958</v>
      </c>
    </row>
    <row r="512" customFormat="false" ht="15" hidden="false" customHeight="false" outlineLevel="0" collapsed="false">
      <c r="A512" s="18" t="s">
        <v>1543</v>
      </c>
      <c r="B512" s="19" t="n">
        <v>46081</v>
      </c>
      <c r="C512" s="18" t="s">
        <v>281</v>
      </c>
      <c r="D512" s="18" t="s">
        <v>869</v>
      </c>
      <c r="E512" s="18" t="s">
        <v>417</v>
      </c>
      <c r="F512" s="18"/>
      <c r="G512" s="18" t="s">
        <v>1019</v>
      </c>
      <c r="H512" s="30" t="n">
        <v>150.5</v>
      </c>
      <c r="I512" s="18" t="s">
        <v>513</v>
      </c>
      <c r="J512" s="28" t="n">
        <v>8187.2</v>
      </c>
      <c r="K512" s="12" t="str">
        <f aca="false">TEXT(B512,"yyyy-mm")</f>
        <v>2026-02</v>
      </c>
      <c r="L512" s="21" t="str">
        <f aca="false">IFERROR(INDEX(Projects!$E$2:$E$500,MATCH(C512,Projects!$A$2:$A$500,0)),"")</f>
        <v>Digital Transformation</v>
      </c>
      <c r="M512" s="31" t="n">
        <f aca="false">IF(I512="Yes",H512*INDEX(Resources!$I$2:$I$500,MATCH(E512,Resources!$A$2:$A$500,0)),0)</f>
        <v>16555</v>
      </c>
    </row>
    <row r="513" customFormat="false" ht="15" hidden="false" customHeight="false" outlineLevel="0" collapsed="false">
      <c r="A513" s="18" t="s">
        <v>1544</v>
      </c>
      <c r="B513" s="19" t="n">
        <v>46081</v>
      </c>
      <c r="C513" s="18" t="s">
        <v>281</v>
      </c>
      <c r="D513" s="18" t="s">
        <v>869</v>
      </c>
      <c r="E513" s="18" t="s">
        <v>434</v>
      </c>
      <c r="F513" s="18"/>
      <c r="G513" s="18" t="s">
        <v>1019</v>
      </c>
      <c r="H513" s="30" t="n">
        <v>83.1</v>
      </c>
      <c r="I513" s="18" t="s">
        <v>513</v>
      </c>
      <c r="J513" s="28" t="n">
        <v>5398.18</v>
      </c>
      <c r="K513" s="12" t="str">
        <f aca="false">TEXT(B513,"yyyy-mm")</f>
        <v>2026-02</v>
      </c>
      <c r="L513" s="21" t="str">
        <f aca="false">IFERROR(INDEX(Projects!$E$2:$E$500,MATCH(C513,Projects!$A$2:$A$500,0)),"")</f>
        <v>Digital Transformation</v>
      </c>
      <c r="M513" s="31" t="n">
        <f aca="false">IF(I513="Yes",H513*INDEX(Resources!$I$2:$I$500,MATCH(E513,Resources!$A$2:$A$500,0)),0)</f>
        <v>11218.5</v>
      </c>
    </row>
    <row r="514" customFormat="false" ht="15" hidden="false" customHeight="false" outlineLevel="0" collapsed="false">
      <c r="A514" s="18" t="s">
        <v>1545</v>
      </c>
      <c r="B514" s="19" t="n">
        <v>46081</v>
      </c>
      <c r="C514" s="18" t="s">
        <v>281</v>
      </c>
      <c r="D514" s="18" t="s">
        <v>869</v>
      </c>
      <c r="E514" s="18" t="s">
        <v>492</v>
      </c>
      <c r="F514" s="18"/>
      <c r="G514" s="18" t="s">
        <v>1019</v>
      </c>
      <c r="H514" s="30" t="n">
        <v>41.9</v>
      </c>
      <c r="I514" s="18" t="s">
        <v>513</v>
      </c>
      <c r="J514" s="28" t="n">
        <v>3499.49</v>
      </c>
      <c r="K514" s="12" t="str">
        <f aca="false">TEXT(B514,"yyyy-mm")</f>
        <v>2026-02</v>
      </c>
      <c r="L514" s="21" t="str">
        <f aca="false">IFERROR(INDEX(Projects!$E$2:$E$500,MATCH(C514,Projects!$A$2:$A$500,0)),"")</f>
        <v>Digital Transformation</v>
      </c>
      <c r="M514" s="31" t="n">
        <f aca="false">IF(I514="Yes",H514*INDEX(Resources!$I$2:$I$500,MATCH(E514,Resources!$A$2:$A$500,0)),0)</f>
        <v>7332.5</v>
      </c>
    </row>
    <row r="515" customFormat="false" ht="15" hidden="false" customHeight="false" outlineLevel="0" collapsed="false">
      <c r="A515" s="18" t="s">
        <v>1546</v>
      </c>
      <c r="B515" s="19" t="n">
        <v>46081</v>
      </c>
      <c r="C515" s="18" t="s">
        <v>281</v>
      </c>
      <c r="D515" s="18" t="s">
        <v>872</v>
      </c>
      <c r="E515" s="18"/>
      <c r="F515" s="18" t="s">
        <v>1025</v>
      </c>
      <c r="G515" s="18" t="s">
        <v>1026</v>
      </c>
      <c r="H515" s="30" t="n">
        <v>0</v>
      </c>
      <c r="I515" s="18" t="s">
        <v>527</v>
      </c>
      <c r="J515" s="28" t="n">
        <v>3612.9</v>
      </c>
      <c r="K515" s="12" t="str">
        <f aca="false">TEXT(B515,"yyyy-mm")</f>
        <v>2026-02</v>
      </c>
      <c r="L515" s="21" t="str">
        <f aca="false">IFERROR(INDEX(Projects!$E$2:$E$500,MATCH(C515,Projects!$A$2:$A$500,0)),"")</f>
        <v>Digital Transformation</v>
      </c>
      <c r="M515" s="31" t="n">
        <f aca="false">IF(I515="Yes",H515*INDEX(Resources!$I$2:$I$500,MATCH(E515,Resources!$A$2:$A$500,0)),0)</f>
        <v>0</v>
      </c>
    </row>
    <row r="516" customFormat="false" ht="15" hidden="false" customHeight="false" outlineLevel="0" collapsed="false">
      <c r="A516" s="18" t="s">
        <v>1547</v>
      </c>
      <c r="B516" s="19" t="n">
        <v>46081</v>
      </c>
      <c r="C516" s="18" t="s">
        <v>281</v>
      </c>
      <c r="D516" s="18" t="s">
        <v>874</v>
      </c>
      <c r="E516" s="18"/>
      <c r="F516" s="18" t="s">
        <v>1028</v>
      </c>
      <c r="G516" s="18" t="s">
        <v>1026</v>
      </c>
      <c r="H516" s="30" t="n">
        <v>0</v>
      </c>
      <c r="I516" s="18" t="s">
        <v>527</v>
      </c>
      <c r="J516" s="28" t="n">
        <v>5566.95</v>
      </c>
      <c r="K516" s="12" t="str">
        <f aca="false">TEXT(B516,"yyyy-mm")</f>
        <v>2026-02</v>
      </c>
      <c r="L516" s="21" t="str">
        <f aca="false">IFERROR(INDEX(Projects!$E$2:$E$500,MATCH(C516,Projects!$A$2:$A$500,0)),"")</f>
        <v>Digital Transformation</v>
      </c>
      <c r="M516" s="31" t="n">
        <f aca="false">IF(I516="Yes",H516*INDEX(Resources!$I$2:$I$500,MATCH(E516,Resources!$A$2:$A$500,0)),0)</f>
        <v>0</v>
      </c>
    </row>
    <row r="517" customFormat="false" ht="15" hidden="false" customHeight="false" outlineLevel="0" collapsed="false">
      <c r="A517" s="18" t="s">
        <v>1548</v>
      </c>
      <c r="B517" s="19" t="n">
        <v>46081</v>
      </c>
      <c r="C517" s="18" t="s">
        <v>281</v>
      </c>
      <c r="D517" s="18" t="s">
        <v>495</v>
      </c>
      <c r="E517" s="18"/>
      <c r="F517" s="18" t="s">
        <v>1030</v>
      </c>
      <c r="G517" s="18" t="s">
        <v>1026</v>
      </c>
      <c r="H517" s="30" t="n">
        <v>0</v>
      </c>
      <c r="I517" s="18" t="s">
        <v>527</v>
      </c>
      <c r="J517" s="28" t="n">
        <v>1363.29</v>
      </c>
      <c r="K517" s="12" t="str">
        <f aca="false">TEXT(B517,"yyyy-mm")</f>
        <v>2026-02</v>
      </c>
      <c r="L517" s="21" t="str">
        <f aca="false">IFERROR(INDEX(Projects!$E$2:$E$500,MATCH(C517,Projects!$A$2:$A$500,0)),"")</f>
        <v>Digital Transformation</v>
      </c>
      <c r="M517" s="31" t="n">
        <f aca="false">IF(I517="Yes",H517*INDEX(Resources!$I$2:$I$500,MATCH(E517,Resources!$A$2:$A$500,0)),0)</f>
        <v>0</v>
      </c>
    </row>
    <row r="518" customFormat="false" ht="15" hidden="false" customHeight="false" outlineLevel="0" collapsed="false">
      <c r="A518" s="18" t="s">
        <v>1549</v>
      </c>
      <c r="B518" s="19" t="n">
        <v>46081</v>
      </c>
      <c r="C518" s="18" t="s">
        <v>281</v>
      </c>
      <c r="D518" s="18" t="s">
        <v>876</v>
      </c>
      <c r="E518" s="18"/>
      <c r="F518" s="18" t="s">
        <v>1071</v>
      </c>
      <c r="G518" s="18" t="s">
        <v>1033</v>
      </c>
      <c r="H518" s="30" t="n">
        <v>0</v>
      </c>
      <c r="I518" s="18" t="s">
        <v>527</v>
      </c>
      <c r="J518" s="28" t="n">
        <v>820.33</v>
      </c>
      <c r="K518" s="12" t="str">
        <f aca="false">TEXT(B518,"yyyy-mm")</f>
        <v>2026-02</v>
      </c>
      <c r="L518" s="21" t="str">
        <f aca="false">IFERROR(INDEX(Projects!$E$2:$E$500,MATCH(C518,Projects!$A$2:$A$500,0)),"")</f>
        <v>Digital Transformation</v>
      </c>
      <c r="M518" s="31" t="n">
        <f aca="false">IF(I518="Yes",H518*INDEX(Resources!$I$2:$I$500,MATCH(E518,Resources!$A$2:$A$500,0)),0)</f>
        <v>0</v>
      </c>
    </row>
    <row r="519" customFormat="false" ht="15" hidden="false" customHeight="false" outlineLevel="0" collapsed="false">
      <c r="A519" s="18" t="s">
        <v>1550</v>
      </c>
      <c r="B519" s="19" t="n">
        <v>46081</v>
      </c>
      <c r="C519" s="18" t="s">
        <v>283</v>
      </c>
      <c r="D519" s="18" t="s">
        <v>889</v>
      </c>
      <c r="E519" s="18"/>
      <c r="F519" s="18" t="s">
        <v>1210</v>
      </c>
      <c r="G519" s="18" t="s">
        <v>1026</v>
      </c>
      <c r="H519" s="30" t="n">
        <v>0</v>
      </c>
      <c r="I519" s="18" t="s">
        <v>527</v>
      </c>
      <c r="J519" s="28" t="n">
        <v>4106.74</v>
      </c>
      <c r="K519" s="12" t="str">
        <f aca="false">TEXT(B519,"yyyy-mm")</f>
        <v>2026-02</v>
      </c>
      <c r="L519" s="21" t="str">
        <f aca="false">IFERROR(INDEX(Projects!$E$2:$E$500,MATCH(C519,Projects!$A$2:$A$500,0)),"")</f>
        <v>Data &amp; AI</v>
      </c>
      <c r="M519" s="31" t="n">
        <f aca="false">IF(I519="Yes",H519*INDEX(Resources!$I$2:$I$500,MATCH(E519,Resources!$A$2:$A$500,0)),0)</f>
        <v>0</v>
      </c>
    </row>
    <row r="520" customFormat="false" ht="15" hidden="false" customHeight="false" outlineLevel="0" collapsed="false">
      <c r="A520" s="18" t="s">
        <v>1551</v>
      </c>
      <c r="B520" s="19" t="n">
        <v>46081</v>
      </c>
      <c r="C520" s="18" t="s">
        <v>283</v>
      </c>
      <c r="D520" s="18" t="s">
        <v>869</v>
      </c>
      <c r="E520" s="18" t="s">
        <v>226</v>
      </c>
      <c r="F520" s="18"/>
      <c r="G520" s="18" t="s">
        <v>1019</v>
      </c>
      <c r="H520" s="30" t="n">
        <v>73.4</v>
      </c>
      <c r="I520" s="18" t="s">
        <v>527</v>
      </c>
      <c r="J520" s="28" t="n">
        <v>6459.2</v>
      </c>
      <c r="K520" s="12" t="str">
        <f aca="false">TEXT(B520,"yyyy-mm")</f>
        <v>2026-02</v>
      </c>
      <c r="L520" s="21" t="str">
        <f aca="false">IFERROR(INDEX(Projects!$E$2:$E$500,MATCH(C520,Projects!$A$2:$A$500,0)),"")</f>
        <v>Data &amp; AI</v>
      </c>
      <c r="M520" s="31" t="n">
        <f aca="false">IF(I520="Yes",H520*INDEX(Resources!$I$2:$I$500,MATCH(E520,Resources!$A$2:$A$500,0)),0)</f>
        <v>0</v>
      </c>
    </row>
    <row r="521" customFormat="false" ht="15" hidden="false" customHeight="false" outlineLevel="0" collapsed="false">
      <c r="A521" s="18" t="s">
        <v>1552</v>
      </c>
      <c r="B521" s="19" t="n">
        <v>46081</v>
      </c>
      <c r="C521" s="18" t="s">
        <v>283</v>
      </c>
      <c r="D521" s="18" t="s">
        <v>869</v>
      </c>
      <c r="E521" s="18" t="s">
        <v>354</v>
      </c>
      <c r="F521" s="18"/>
      <c r="G521" s="18" t="s">
        <v>1019</v>
      </c>
      <c r="H521" s="30" t="n">
        <v>21.2</v>
      </c>
      <c r="I521" s="18" t="s">
        <v>513</v>
      </c>
      <c r="J521" s="28" t="n">
        <v>2754.3</v>
      </c>
      <c r="K521" s="12" t="str">
        <f aca="false">TEXT(B521,"yyyy-mm")</f>
        <v>2026-02</v>
      </c>
      <c r="L521" s="21" t="str">
        <f aca="false">IFERROR(INDEX(Projects!$E$2:$E$500,MATCH(C521,Projects!$A$2:$A$500,0)),"")</f>
        <v>Data &amp; AI</v>
      </c>
      <c r="M521" s="31" t="n">
        <f aca="false">IF(I521="Yes",H521*INDEX(Resources!$I$2:$I$500,MATCH(E521,Resources!$A$2:$A$500,0)),0)</f>
        <v>5512</v>
      </c>
    </row>
    <row r="522" customFormat="false" ht="15" hidden="false" customHeight="false" outlineLevel="0" collapsed="false">
      <c r="A522" s="18" t="s">
        <v>1553</v>
      </c>
      <c r="B522" s="19" t="n">
        <v>46081</v>
      </c>
      <c r="C522" s="18" t="s">
        <v>283</v>
      </c>
      <c r="D522" s="18" t="s">
        <v>869</v>
      </c>
      <c r="E522" s="18" t="s">
        <v>424</v>
      </c>
      <c r="F522" s="18"/>
      <c r="G522" s="18" t="s">
        <v>1019</v>
      </c>
      <c r="H522" s="30" t="n">
        <v>78.7</v>
      </c>
      <c r="I522" s="18" t="s">
        <v>513</v>
      </c>
      <c r="J522" s="28" t="n">
        <v>5351.6</v>
      </c>
      <c r="K522" s="12" t="str">
        <f aca="false">TEXT(B522,"yyyy-mm")</f>
        <v>2026-02</v>
      </c>
      <c r="L522" s="21" t="str">
        <f aca="false">IFERROR(INDEX(Projects!$E$2:$E$500,MATCH(C522,Projects!$A$2:$A$500,0)),"")</f>
        <v>Data &amp; AI</v>
      </c>
      <c r="M522" s="31" t="n">
        <f aca="false">IF(I522="Yes",H522*INDEX(Resources!$I$2:$I$500,MATCH(E522,Resources!$A$2:$A$500,0)),0)</f>
        <v>8657</v>
      </c>
    </row>
    <row r="523" customFormat="false" ht="15" hidden="false" customHeight="false" outlineLevel="0" collapsed="false">
      <c r="A523" s="18" t="s">
        <v>1554</v>
      </c>
      <c r="B523" s="19" t="n">
        <v>46081</v>
      </c>
      <c r="C523" s="18" t="s">
        <v>283</v>
      </c>
      <c r="D523" s="18" t="s">
        <v>869</v>
      </c>
      <c r="E523" s="18" t="s">
        <v>439</v>
      </c>
      <c r="F523" s="18"/>
      <c r="G523" s="18" t="s">
        <v>1019</v>
      </c>
      <c r="H523" s="30" t="n">
        <v>41.9</v>
      </c>
      <c r="I523" s="18" t="s">
        <v>513</v>
      </c>
      <c r="J523" s="28" t="n">
        <v>3402.28</v>
      </c>
      <c r="K523" s="12" t="str">
        <f aca="false">TEXT(B523,"yyyy-mm")</f>
        <v>2026-02</v>
      </c>
      <c r="L523" s="21" t="str">
        <f aca="false">IFERROR(INDEX(Projects!$E$2:$E$500,MATCH(C523,Projects!$A$2:$A$500,0)),"")</f>
        <v>Data &amp; AI</v>
      </c>
      <c r="M523" s="31" t="n">
        <f aca="false">IF(I523="Yes",H523*INDEX(Resources!$I$2:$I$500,MATCH(E523,Resources!$A$2:$A$500,0)),0)</f>
        <v>5656.5</v>
      </c>
    </row>
    <row r="524" customFormat="false" ht="15" hidden="false" customHeight="false" outlineLevel="0" collapsed="false">
      <c r="A524" s="18" t="s">
        <v>1555</v>
      </c>
      <c r="B524" s="19" t="n">
        <v>46081</v>
      </c>
      <c r="C524" s="18" t="s">
        <v>283</v>
      </c>
      <c r="D524" s="18" t="s">
        <v>869</v>
      </c>
      <c r="E524" s="18" t="s">
        <v>459</v>
      </c>
      <c r="F524" s="18"/>
      <c r="G524" s="18" t="s">
        <v>1019</v>
      </c>
      <c r="H524" s="30" t="n">
        <v>163.2</v>
      </c>
      <c r="I524" s="18" t="s">
        <v>513</v>
      </c>
      <c r="J524" s="28" t="n">
        <v>15863.04</v>
      </c>
      <c r="K524" s="12" t="str">
        <f aca="false">TEXT(B524,"yyyy-mm")</f>
        <v>2026-02</v>
      </c>
      <c r="L524" s="21" t="str">
        <f aca="false">IFERROR(INDEX(Projects!$E$2:$E$500,MATCH(C524,Projects!$A$2:$A$500,0)),"")</f>
        <v>Data &amp; AI</v>
      </c>
      <c r="M524" s="31" t="n">
        <f aca="false">IF(I524="Yes",H524*INDEX(Resources!$I$2:$I$500,MATCH(E524,Resources!$A$2:$A$500,0)),0)</f>
        <v>31824</v>
      </c>
    </row>
    <row r="525" customFormat="false" ht="15" hidden="false" customHeight="false" outlineLevel="0" collapsed="false">
      <c r="A525" s="18" t="s">
        <v>1556</v>
      </c>
      <c r="B525" s="19" t="n">
        <v>46081</v>
      </c>
      <c r="C525" s="18" t="s">
        <v>283</v>
      </c>
      <c r="D525" s="18" t="s">
        <v>869</v>
      </c>
      <c r="E525" s="18" t="s">
        <v>466</v>
      </c>
      <c r="F525" s="18"/>
      <c r="G525" s="18" t="s">
        <v>1019</v>
      </c>
      <c r="H525" s="30" t="n">
        <v>110</v>
      </c>
      <c r="I525" s="18" t="s">
        <v>513</v>
      </c>
      <c r="J525" s="28" t="n">
        <v>10780</v>
      </c>
      <c r="K525" s="12" t="str">
        <f aca="false">TEXT(B525,"yyyy-mm")</f>
        <v>2026-02</v>
      </c>
      <c r="L525" s="21" t="str">
        <f aca="false">IFERROR(INDEX(Projects!$E$2:$E$500,MATCH(C525,Projects!$A$2:$A$500,0)),"")</f>
        <v>Data &amp; AI</v>
      </c>
      <c r="M525" s="31" t="n">
        <f aca="false">IF(I525="Yes",H525*INDEX(Resources!$I$2:$I$500,MATCH(E525,Resources!$A$2:$A$500,0)),0)</f>
        <v>22000</v>
      </c>
    </row>
    <row r="526" customFormat="false" ht="15" hidden="false" customHeight="false" outlineLevel="0" collapsed="false">
      <c r="A526" s="18" t="s">
        <v>1557</v>
      </c>
      <c r="B526" s="19" t="n">
        <v>46081</v>
      </c>
      <c r="C526" s="18" t="s">
        <v>283</v>
      </c>
      <c r="D526" s="18" t="s">
        <v>872</v>
      </c>
      <c r="E526" s="18"/>
      <c r="F526" s="18" t="s">
        <v>1025</v>
      </c>
      <c r="G526" s="18" t="s">
        <v>1026</v>
      </c>
      <c r="H526" s="30" t="n">
        <v>0</v>
      </c>
      <c r="I526" s="18" t="s">
        <v>527</v>
      </c>
      <c r="J526" s="28" t="n">
        <v>2191.98</v>
      </c>
      <c r="K526" s="12" t="str">
        <f aca="false">TEXT(B526,"yyyy-mm")</f>
        <v>2026-02</v>
      </c>
      <c r="L526" s="21" t="str">
        <f aca="false">IFERROR(INDEX(Projects!$E$2:$E$500,MATCH(C526,Projects!$A$2:$A$500,0)),"")</f>
        <v>Data &amp; AI</v>
      </c>
      <c r="M526" s="31" t="n">
        <f aca="false">IF(I526="Yes",H526*INDEX(Resources!$I$2:$I$500,MATCH(E526,Resources!$A$2:$A$500,0)),0)</f>
        <v>0</v>
      </c>
    </row>
    <row r="527" customFormat="false" ht="15" hidden="false" customHeight="false" outlineLevel="0" collapsed="false">
      <c r="A527" s="18" t="s">
        <v>1558</v>
      </c>
      <c r="B527" s="19" t="n">
        <v>46081</v>
      </c>
      <c r="C527" s="18" t="s">
        <v>283</v>
      </c>
      <c r="D527" s="18" t="s">
        <v>876</v>
      </c>
      <c r="E527" s="18"/>
      <c r="F527" s="18" t="s">
        <v>1032</v>
      </c>
      <c r="G527" s="18" t="s">
        <v>1033</v>
      </c>
      <c r="H527" s="30" t="n">
        <v>0</v>
      </c>
      <c r="I527" s="18" t="s">
        <v>527</v>
      </c>
      <c r="J527" s="28" t="n">
        <v>537.61</v>
      </c>
      <c r="K527" s="12" t="str">
        <f aca="false">TEXT(B527,"yyyy-mm")</f>
        <v>2026-02</v>
      </c>
      <c r="L527" s="21" t="str">
        <f aca="false">IFERROR(INDEX(Projects!$E$2:$E$500,MATCH(C527,Projects!$A$2:$A$500,0)),"")</f>
        <v>Data &amp; AI</v>
      </c>
      <c r="M527" s="31" t="n">
        <f aca="false">IF(I527="Yes",H527*INDEX(Resources!$I$2:$I$500,MATCH(E527,Resources!$A$2:$A$500,0)),0)</f>
        <v>0</v>
      </c>
    </row>
    <row r="528" customFormat="false" ht="15" hidden="false" customHeight="false" outlineLevel="0" collapsed="false">
      <c r="A528" s="18" t="s">
        <v>1559</v>
      </c>
      <c r="B528" s="19" t="n">
        <v>46081</v>
      </c>
      <c r="C528" s="18" t="s">
        <v>285</v>
      </c>
      <c r="D528" s="18" t="s">
        <v>869</v>
      </c>
      <c r="E528" s="18" t="s">
        <v>247</v>
      </c>
      <c r="F528" s="18"/>
      <c r="G528" s="18" t="s">
        <v>1019</v>
      </c>
      <c r="H528" s="30" t="n">
        <v>34.9</v>
      </c>
      <c r="I528" s="18" t="s">
        <v>513</v>
      </c>
      <c r="J528" s="28" t="n">
        <v>3071.2</v>
      </c>
      <c r="K528" s="12" t="str">
        <f aca="false">TEXT(B528,"yyyy-mm")</f>
        <v>2026-02</v>
      </c>
      <c r="L528" s="21" t="str">
        <f aca="false">IFERROR(INDEX(Projects!$E$2:$E$500,MATCH(C528,Projects!$A$2:$A$500,0)),"")</f>
        <v>Operational Excellence</v>
      </c>
      <c r="M528" s="31" t="n">
        <f aca="false">IF(I528="Yes",H528*INDEX(Resources!$I$2:$I$500,MATCH(E528,Resources!$A$2:$A$500,0)),0)</f>
        <v>6107.5</v>
      </c>
    </row>
    <row r="529" customFormat="false" ht="15" hidden="false" customHeight="false" outlineLevel="0" collapsed="false">
      <c r="A529" s="18" t="s">
        <v>1560</v>
      </c>
      <c r="B529" s="19" t="n">
        <v>46081</v>
      </c>
      <c r="C529" s="18" t="s">
        <v>285</v>
      </c>
      <c r="D529" s="18" t="s">
        <v>869</v>
      </c>
      <c r="E529" s="18" t="s">
        <v>368</v>
      </c>
      <c r="F529" s="18"/>
      <c r="G529" s="18" t="s">
        <v>1019</v>
      </c>
      <c r="H529" s="30" t="n">
        <v>65.1</v>
      </c>
      <c r="I529" s="18" t="s">
        <v>513</v>
      </c>
      <c r="J529" s="28" t="n">
        <v>4780.94</v>
      </c>
      <c r="K529" s="12" t="str">
        <f aca="false">TEXT(B529,"yyyy-mm")</f>
        <v>2026-02</v>
      </c>
      <c r="L529" s="21" t="str">
        <f aca="false">IFERROR(INDEX(Projects!$E$2:$E$500,MATCH(C529,Projects!$A$2:$A$500,0)),"")</f>
        <v>Operational Excellence</v>
      </c>
      <c r="M529" s="31" t="n">
        <f aca="false">IF(I529="Yes",H529*INDEX(Resources!$I$2:$I$500,MATCH(E529,Resources!$A$2:$A$500,0)),0)</f>
        <v>9765</v>
      </c>
    </row>
    <row r="530" customFormat="false" ht="15" hidden="false" customHeight="false" outlineLevel="0" collapsed="false">
      <c r="A530" s="18" t="s">
        <v>1561</v>
      </c>
      <c r="B530" s="19" t="n">
        <v>46081</v>
      </c>
      <c r="C530" s="18" t="s">
        <v>285</v>
      </c>
      <c r="D530" s="18" t="s">
        <v>869</v>
      </c>
      <c r="E530" s="18" t="s">
        <v>398</v>
      </c>
      <c r="F530" s="18"/>
      <c r="G530" s="18" t="s">
        <v>1019</v>
      </c>
      <c r="H530" s="30" t="n">
        <v>96.4</v>
      </c>
      <c r="I530" s="18" t="s">
        <v>513</v>
      </c>
      <c r="J530" s="28" t="n">
        <v>8247.98</v>
      </c>
      <c r="K530" s="12" t="str">
        <f aca="false">TEXT(B530,"yyyy-mm")</f>
        <v>2026-02</v>
      </c>
      <c r="L530" s="21" t="str">
        <f aca="false">IFERROR(INDEX(Projects!$E$2:$E$500,MATCH(C530,Projects!$A$2:$A$500,0)),"")</f>
        <v>Operational Excellence</v>
      </c>
      <c r="M530" s="31" t="n">
        <f aca="false">IF(I530="Yes",H530*INDEX(Resources!$I$2:$I$500,MATCH(E530,Resources!$A$2:$A$500,0)),0)</f>
        <v>16388</v>
      </c>
    </row>
    <row r="531" customFormat="false" ht="15" hidden="false" customHeight="false" outlineLevel="0" collapsed="false">
      <c r="A531" s="18" t="s">
        <v>1562</v>
      </c>
      <c r="B531" s="19" t="n">
        <v>46081</v>
      </c>
      <c r="C531" s="18" t="s">
        <v>285</v>
      </c>
      <c r="D531" s="18" t="s">
        <v>869</v>
      </c>
      <c r="E531" s="18" t="s">
        <v>414</v>
      </c>
      <c r="F531" s="18"/>
      <c r="G531" s="18" t="s">
        <v>1019</v>
      </c>
      <c r="H531" s="30" t="n">
        <v>66.8</v>
      </c>
      <c r="I531" s="18" t="s">
        <v>513</v>
      </c>
      <c r="J531" s="28" t="n">
        <v>3975.94</v>
      </c>
      <c r="K531" s="12" t="str">
        <f aca="false">TEXT(B531,"yyyy-mm")</f>
        <v>2026-02</v>
      </c>
      <c r="L531" s="21" t="str">
        <f aca="false">IFERROR(INDEX(Projects!$E$2:$E$500,MATCH(C531,Projects!$A$2:$A$500,0)),"")</f>
        <v>Operational Excellence</v>
      </c>
      <c r="M531" s="31" t="n">
        <f aca="false">IF(I531="Yes",H531*INDEX(Resources!$I$2:$I$500,MATCH(E531,Resources!$A$2:$A$500,0)),0)</f>
        <v>8016</v>
      </c>
    </row>
    <row r="532" customFormat="false" ht="15" hidden="false" customHeight="false" outlineLevel="0" collapsed="false">
      <c r="A532" s="18" t="s">
        <v>1563</v>
      </c>
      <c r="B532" s="19" t="n">
        <v>46081</v>
      </c>
      <c r="C532" s="18" t="s">
        <v>285</v>
      </c>
      <c r="D532" s="18" t="s">
        <v>872</v>
      </c>
      <c r="E532" s="18"/>
      <c r="F532" s="18" t="s">
        <v>353</v>
      </c>
      <c r="G532" s="18" t="s">
        <v>1026</v>
      </c>
      <c r="H532" s="30" t="n">
        <v>0</v>
      </c>
      <c r="I532" s="18" t="s">
        <v>527</v>
      </c>
      <c r="J532" s="28" t="n">
        <v>1529.79</v>
      </c>
      <c r="K532" s="12" t="str">
        <f aca="false">TEXT(B532,"yyyy-mm")</f>
        <v>2026-02</v>
      </c>
      <c r="L532" s="21" t="str">
        <f aca="false">IFERROR(INDEX(Projects!$E$2:$E$500,MATCH(C532,Projects!$A$2:$A$500,0)),"")</f>
        <v>Operational Excellence</v>
      </c>
      <c r="M532" s="31" t="n">
        <f aca="false">IF(I532="Yes",H532*INDEX(Resources!$I$2:$I$500,MATCH(E532,Resources!$A$2:$A$500,0)),0)</f>
        <v>0</v>
      </c>
    </row>
    <row r="533" customFormat="false" ht="15" hidden="false" customHeight="false" outlineLevel="0" collapsed="false">
      <c r="A533" s="18" t="s">
        <v>1564</v>
      </c>
      <c r="B533" s="19" t="n">
        <v>46081</v>
      </c>
      <c r="C533" s="18" t="s">
        <v>285</v>
      </c>
      <c r="D533" s="18" t="s">
        <v>495</v>
      </c>
      <c r="E533" s="18"/>
      <c r="F533" s="18" t="s">
        <v>1030</v>
      </c>
      <c r="G533" s="18" t="s">
        <v>1026</v>
      </c>
      <c r="H533" s="30" t="n">
        <v>0</v>
      </c>
      <c r="I533" s="18" t="s">
        <v>527</v>
      </c>
      <c r="J533" s="28" t="n">
        <v>825.99</v>
      </c>
      <c r="K533" s="12" t="str">
        <f aca="false">TEXT(B533,"yyyy-mm")</f>
        <v>2026-02</v>
      </c>
      <c r="L533" s="21" t="str">
        <f aca="false">IFERROR(INDEX(Projects!$E$2:$E$500,MATCH(C533,Projects!$A$2:$A$500,0)),"")</f>
        <v>Operational Excellence</v>
      </c>
      <c r="M533" s="31" t="n">
        <f aca="false">IF(I533="Yes",H533*INDEX(Resources!$I$2:$I$500,MATCH(E533,Resources!$A$2:$A$500,0)),0)</f>
        <v>0</v>
      </c>
    </row>
    <row r="534" customFormat="false" ht="15" hidden="false" customHeight="false" outlineLevel="0" collapsed="false">
      <c r="A534" s="18" t="s">
        <v>1565</v>
      </c>
      <c r="B534" s="19" t="n">
        <v>46081</v>
      </c>
      <c r="C534" s="18" t="s">
        <v>285</v>
      </c>
      <c r="D534" s="18" t="s">
        <v>876</v>
      </c>
      <c r="E534" s="18"/>
      <c r="F534" s="18" t="s">
        <v>1071</v>
      </c>
      <c r="G534" s="18" t="s">
        <v>1033</v>
      </c>
      <c r="H534" s="30" t="n">
        <v>0</v>
      </c>
      <c r="I534" s="18" t="s">
        <v>527</v>
      </c>
      <c r="J534" s="28" t="n">
        <v>663.66</v>
      </c>
      <c r="K534" s="12" t="str">
        <f aca="false">TEXT(B534,"yyyy-mm")</f>
        <v>2026-02</v>
      </c>
      <c r="L534" s="21" t="str">
        <f aca="false">IFERROR(INDEX(Projects!$E$2:$E$500,MATCH(C534,Projects!$A$2:$A$500,0)),"")</f>
        <v>Operational Excellence</v>
      </c>
      <c r="M534" s="31" t="n">
        <f aca="false">IF(I534="Yes",H534*INDEX(Resources!$I$2:$I$500,MATCH(E534,Resources!$A$2:$A$500,0)),0)</f>
        <v>0</v>
      </c>
    </row>
    <row r="535" customFormat="false" ht="15" hidden="false" customHeight="false" outlineLevel="0" collapsed="false">
      <c r="A535" s="18" t="s">
        <v>1566</v>
      </c>
      <c r="B535" s="19" t="n">
        <v>46112</v>
      </c>
      <c r="C535" s="18" t="s">
        <v>197</v>
      </c>
      <c r="D535" s="18" t="s">
        <v>869</v>
      </c>
      <c r="E535" s="18" t="s">
        <v>201</v>
      </c>
      <c r="F535" s="18"/>
      <c r="G535" s="18" t="s">
        <v>1019</v>
      </c>
      <c r="H535" s="30" t="n">
        <v>88.4</v>
      </c>
      <c r="I535" s="18" t="s">
        <v>513</v>
      </c>
      <c r="J535" s="28" t="n">
        <v>9023.87</v>
      </c>
      <c r="K535" s="12" t="str">
        <f aca="false">TEXT(B535,"yyyy-mm")</f>
        <v>2026-03</v>
      </c>
      <c r="L535" s="21" t="str">
        <f aca="false">IFERROR(INDEX(Projects!$E$2:$E$500,MATCH(C535,Projects!$A$2:$A$500,0)),"")</f>
        <v>Customer Experience</v>
      </c>
      <c r="M535" s="31" t="n">
        <f aca="false">IF(I535="Yes",H535*INDEX(Resources!$I$2:$I$500,MATCH(E535,Resources!$A$2:$A$500,0)),0)</f>
        <v>18122</v>
      </c>
    </row>
    <row r="536" customFormat="false" ht="15" hidden="false" customHeight="false" outlineLevel="0" collapsed="false">
      <c r="A536" s="18" t="s">
        <v>1567</v>
      </c>
      <c r="B536" s="19" t="n">
        <v>46112</v>
      </c>
      <c r="C536" s="18" t="s">
        <v>197</v>
      </c>
      <c r="D536" s="18" t="s">
        <v>869</v>
      </c>
      <c r="E536" s="18" t="s">
        <v>363</v>
      </c>
      <c r="F536" s="18"/>
      <c r="G536" s="18" t="s">
        <v>1019</v>
      </c>
      <c r="H536" s="30" t="n">
        <v>80.8</v>
      </c>
      <c r="I536" s="18" t="s">
        <v>513</v>
      </c>
      <c r="J536" s="28" t="n">
        <v>6373.5</v>
      </c>
      <c r="K536" s="12" t="str">
        <f aca="false">TEXT(B536,"yyyy-mm")</f>
        <v>2026-03</v>
      </c>
      <c r="L536" s="21" t="str">
        <f aca="false">IFERROR(INDEX(Projects!$E$2:$E$500,MATCH(C536,Projects!$A$2:$A$500,0)),"")</f>
        <v>Customer Experience</v>
      </c>
      <c r="M536" s="31" t="n">
        <f aca="false">IF(I536="Yes",H536*INDEX(Resources!$I$2:$I$500,MATCH(E536,Resources!$A$2:$A$500,0)),0)</f>
        <v>12928</v>
      </c>
    </row>
    <row r="537" customFormat="false" ht="15" hidden="false" customHeight="false" outlineLevel="0" collapsed="false">
      <c r="A537" s="18" t="s">
        <v>1568</v>
      </c>
      <c r="B537" s="19" t="n">
        <v>46112</v>
      </c>
      <c r="C537" s="18" t="s">
        <v>197</v>
      </c>
      <c r="D537" s="18" t="s">
        <v>869</v>
      </c>
      <c r="E537" s="18" t="s">
        <v>379</v>
      </c>
      <c r="F537" s="18"/>
      <c r="G537" s="18" t="s">
        <v>1019</v>
      </c>
      <c r="H537" s="30" t="n">
        <v>129.8</v>
      </c>
      <c r="I537" s="18" t="s">
        <v>513</v>
      </c>
      <c r="J537" s="28" t="n">
        <v>11142.03</v>
      </c>
      <c r="K537" s="12" t="str">
        <f aca="false">TEXT(B537,"yyyy-mm")</f>
        <v>2026-03</v>
      </c>
      <c r="L537" s="21" t="str">
        <f aca="false">IFERROR(INDEX(Projects!$E$2:$E$500,MATCH(C537,Projects!$A$2:$A$500,0)),"")</f>
        <v>Customer Experience</v>
      </c>
      <c r="M537" s="31" t="n">
        <f aca="false">IF(I537="Yes",H537*INDEX(Resources!$I$2:$I$500,MATCH(E537,Resources!$A$2:$A$500,0)),0)</f>
        <v>22715</v>
      </c>
    </row>
    <row r="538" customFormat="false" ht="15" hidden="false" customHeight="false" outlineLevel="0" collapsed="false">
      <c r="A538" s="18" t="s">
        <v>1569</v>
      </c>
      <c r="B538" s="19" t="n">
        <v>46112</v>
      </c>
      <c r="C538" s="18" t="s">
        <v>197</v>
      </c>
      <c r="D538" s="18" t="s">
        <v>869</v>
      </c>
      <c r="E538" s="18" t="s">
        <v>389</v>
      </c>
      <c r="F538" s="18"/>
      <c r="G538" s="18" t="s">
        <v>1019</v>
      </c>
      <c r="H538" s="30" t="n">
        <v>127.6</v>
      </c>
      <c r="I538" s="18" t="s">
        <v>513</v>
      </c>
      <c r="J538" s="28" t="n">
        <v>13617.47</v>
      </c>
      <c r="K538" s="12" t="str">
        <f aca="false">TEXT(B538,"yyyy-mm")</f>
        <v>2026-03</v>
      </c>
      <c r="L538" s="21" t="str">
        <f aca="false">IFERROR(INDEX(Projects!$E$2:$E$500,MATCH(C538,Projects!$A$2:$A$500,0)),"")</f>
        <v>Customer Experience</v>
      </c>
      <c r="M538" s="31" t="n">
        <f aca="false">IF(I538="Yes",H538*INDEX(Resources!$I$2:$I$500,MATCH(E538,Resources!$A$2:$A$500,0)),0)</f>
        <v>27434</v>
      </c>
    </row>
    <row r="539" customFormat="false" ht="15" hidden="false" customHeight="false" outlineLevel="0" collapsed="false">
      <c r="A539" s="18" t="s">
        <v>1570</v>
      </c>
      <c r="B539" s="19" t="n">
        <v>46112</v>
      </c>
      <c r="C539" s="18" t="s">
        <v>197</v>
      </c>
      <c r="D539" s="18" t="s">
        <v>869</v>
      </c>
      <c r="E539" s="18" t="s">
        <v>409</v>
      </c>
      <c r="F539" s="18"/>
      <c r="G539" s="18" t="s">
        <v>1019</v>
      </c>
      <c r="H539" s="30" t="n">
        <v>163.6</v>
      </c>
      <c r="I539" s="18" t="s">
        <v>513</v>
      </c>
      <c r="J539" s="28" t="n">
        <v>12145.66</v>
      </c>
      <c r="K539" s="12" t="str">
        <f aca="false">TEXT(B539,"yyyy-mm")</f>
        <v>2026-03</v>
      </c>
      <c r="L539" s="21" t="str">
        <f aca="false">IFERROR(INDEX(Projects!$E$2:$E$500,MATCH(C539,Projects!$A$2:$A$500,0)),"")</f>
        <v>Customer Experience</v>
      </c>
      <c r="M539" s="31" t="n">
        <f aca="false">IF(I539="Yes",H539*INDEX(Resources!$I$2:$I$500,MATCH(E539,Resources!$A$2:$A$500,0)),0)</f>
        <v>24540</v>
      </c>
    </row>
    <row r="540" customFormat="false" ht="15" hidden="false" customHeight="false" outlineLevel="0" collapsed="false">
      <c r="A540" s="18" t="s">
        <v>1571</v>
      </c>
      <c r="B540" s="19" t="n">
        <v>46112</v>
      </c>
      <c r="C540" s="18" t="s">
        <v>197</v>
      </c>
      <c r="D540" s="18" t="s">
        <v>872</v>
      </c>
      <c r="E540" s="18"/>
      <c r="F540" s="18" t="s">
        <v>1059</v>
      </c>
      <c r="G540" s="18" t="s">
        <v>1026</v>
      </c>
      <c r="H540" s="30" t="n">
        <v>0</v>
      </c>
      <c r="I540" s="18" t="s">
        <v>527</v>
      </c>
      <c r="J540" s="28" t="n">
        <v>3246.02</v>
      </c>
      <c r="K540" s="12" t="str">
        <f aca="false">TEXT(B540,"yyyy-mm")</f>
        <v>2026-03</v>
      </c>
      <c r="L540" s="21" t="str">
        <f aca="false">IFERROR(INDEX(Projects!$E$2:$E$500,MATCH(C540,Projects!$A$2:$A$500,0)),"")</f>
        <v>Customer Experience</v>
      </c>
      <c r="M540" s="31" t="n">
        <f aca="false">IF(I540="Yes",H540*INDEX(Resources!$I$2:$I$500,MATCH(E540,Resources!$A$2:$A$500,0)),0)</f>
        <v>0</v>
      </c>
    </row>
    <row r="541" customFormat="false" ht="15" hidden="false" customHeight="false" outlineLevel="0" collapsed="false">
      <c r="A541" s="18" t="s">
        <v>1572</v>
      </c>
      <c r="B541" s="19" t="n">
        <v>46112</v>
      </c>
      <c r="C541" s="18" t="s">
        <v>197</v>
      </c>
      <c r="D541" s="18" t="s">
        <v>874</v>
      </c>
      <c r="E541" s="18"/>
      <c r="F541" s="18" t="s">
        <v>1224</v>
      </c>
      <c r="G541" s="18" t="s">
        <v>1026</v>
      </c>
      <c r="H541" s="30" t="n">
        <v>0</v>
      </c>
      <c r="I541" s="18" t="s">
        <v>527</v>
      </c>
      <c r="J541" s="28" t="n">
        <v>4073.35</v>
      </c>
      <c r="K541" s="12" t="str">
        <f aca="false">TEXT(B541,"yyyy-mm")</f>
        <v>2026-03</v>
      </c>
      <c r="L541" s="21" t="str">
        <f aca="false">IFERROR(INDEX(Projects!$E$2:$E$500,MATCH(C541,Projects!$A$2:$A$500,0)),"")</f>
        <v>Customer Experience</v>
      </c>
      <c r="M541" s="31" t="n">
        <f aca="false">IF(I541="Yes",H541*INDEX(Resources!$I$2:$I$500,MATCH(E541,Resources!$A$2:$A$500,0)),0)</f>
        <v>0</v>
      </c>
    </row>
    <row r="542" customFormat="false" ht="15" hidden="false" customHeight="false" outlineLevel="0" collapsed="false">
      <c r="A542" s="18" t="s">
        <v>1573</v>
      </c>
      <c r="B542" s="19" t="n">
        <v>46112</v>
      </c>
      <c r="C542" s="18" t="s">
        <v>197</v>
      </c>
      <c r="D542" s="18" t="s">
        <v>876</v>
      </c>
      <c r="E542" s="18"/>
      <c r="F542" s="18" t="s">
        <v>1071</v>
      </c>
      <c r="G542" s="18" t="s">
        <v>1033</v>
      </c>
      <c r="H542" s="30" t="n">
        <v>0</v>
      </c>
      <c r="I542" s="18" t="s">
        <v>527</v>
      </c>
      <c r="J542" s="28" t="n">
        <v>938.44</v>
      </c>
      <c r="K542" s="12" t="str">
        <f aca="false">TEXT(B542,"yyyy-mm")</f>
        <v>2026-03</v>
      </c>
      <c r="L542" s="21" t="str">
        <f aca="false">IFERROR(INDEX(Projects!$E$2:$E$500,MATCH(C542,Projects!$A$2:$A$500,0)),"")</f>
        <v>Customer Experience</v>
      </c>
      <c r="M542" s="31" t="n">
        <f aca="false">IF(I542="Yes",H542*INDEX(Resources!$I$2:$I$500,MATCH(E542,Resources!$A$2:$A$500,0)),0)</f>
        <v>0</v>
      </c>
    </row>
    <row r="543" customFormat="false" ht="15" hidden="false" customHeight="false" outlineLevel="0" collapsed="false">
      <c r="A543" s="18" t="s">
        <v>1574</v>
      </c>
      <c r="B543" s="19" t="n">
        <v>46112</v>
      </c>
      <c r="C543" s="18" t="s">
        <v>207</v>
      </c>
      <c r="D543" s="18" t="s">
        <v>869</v>
      </c>
      <c r="E543" s="18" t="s">
        <v>211</v>
      </c>
      <c r="F543" s="18"/>
      <c r="G543" s="18" t="s">
        <v>1019</v>
      </c>
      <c r="H543" s="30" t="n">
        <v>64.5</v>
      </c>
      <c r="I543" s="18" t="s">
        <v>513</v>
      </c>
      <c r="J543" s="28" t="n">
        <v>6584.16</v>
      </c>
      <c r="K543" s="12" t="str">
        <f aca="false">TEXT(B543,"yyyy-mm")</f>
        <v>2026-03</v>
      </c>
      <c r="L543" s="21" t="str">
        <f aca="false">IFERROR(INDEX(Projects!$E$2:$E$500,MATCH(C543,Projects!$A$2:$A$500,0)),"")</f>
        <v>Operational Excellence</v>
      </c>
      <c r="M543" s="31" t="n">
        <f aca="false">IF(I543="Yes",H543*INDEX(Resources!$I$2:$I$500,MATCH(E543,Resources!$A$2:$A$500,0)),0)</f>
        <v>13222.5</v>
      </c>
    </row>
    <row r="544" customFormat="false" ht="15" hidden="false" customHeight="false" outlineLevel="0" collapsed="false">
      <c r="A544" s="18" t="s">
        <v>1575</v>
      </c>
      <c r="B544" s="19" t="n">
        <v>46112</v>
      </c>
      <c r="C544" s="18" t="s">
        <v>207</v>
      </c>
      <c r="D544" s="18" t="s">
        <v>869</v>
      </c>
      <c r="E544" s="18" t="s">
        <v>368</v>
      </c>
      <c r="F544" s="18"/>
      <c r="G544" s="18" t="s">
        <v>1019</v>
      </c>
      <c r="H544" s="30" t="n">
        <v>134.5</v>
      </c>
      <c r="I544" s="18" t="s">
        <v>513</v>
      </c>
      <c r="J544" s="28" t="n">
        <v>9877.68</v>
      </c>
      <c r="K544" s="12" t="str">
        <f aca="false">TEXT(B544,"yyyy-mm")</f>
        <v>2026-03</v>
      </c>
      <c r="L544" s="21" t="str">
        <f aca="false">IFERROR(INDEX(Projects!$E$2:$E$500,MATCH(C544,Projects!$A$2:$A$500,0)),"")</f>
        <v>Operational Excellence</v>
      </c>
      <c r="M544" s="31" t="n">
        <f aca="false">IF(I544="Yes",H544*INDEX(Resources!$I$2:$I$500,MATCH(E544,Resources!$A$2:$A$500,0)),0)</f>
        <v>20175</v>
      </c>
    </row>
    <row r="545" customFormat="false" ht="15" hidden="false" customHeight="false" outlineLevel="0" collapsed="false">
      <c r="A545" s="18" t="s">
        <v>1576</v>
      </c>
      <c r="B545" s="19" t="n">
        <v>46112</v>
      </c>
      <c r="C545" s="18" t="s">
        <v>207</v>
      </c>
      <c r="D545" s="18" t="s">
        <v>869</v>
      </c>
      <c r="E545" s="18" t="s">
        <v>393</v>
      </c>
      <c r="F545" s="18"/>
      <c r="G545" s="18" t="s">
        <v>1019</v>
      </c>
      <c r="H545" s="30" t="n">
        <v>135.5</v>
      </c>
      <c r="I545" s="18" t="s">
        <v>513</v>
      </c>
      <c r="J545" s="28" t="n">
        <v>13463.28</v>
      </c>
      <c r="K545" s="12" t="str">
        <f aca="false">TEXT(B545,"yyyy-mm")</f>
        <v>2026-03</v>
      </c>
      <c r="L545" s="21" t="str">
        <f aca="false">IFERROR(INDEX(Projects!$E$2:$E$500,MATCH(C545,Projects!$A$2:$A$500,0)),"")</f>
        <v>Operational Excellence</v>
      </c>
      <c r="M545" s="31" t="n">
        <f aca="false">IF(I545="Yes",H545*INDEX(Resources!$I$2:$I$500,MATCH(E545,Resources!$A$2:$A$500,0)),0)</f>
        <v>27100</v>
      </c>
    </row>
    <row r="546" customFormat="false" ht="15" hidden="false" customHeight="false" outlineLevel="0" collapsed="false">
      <c r="A546" s="18" t="s">
        <v>1577</v>
      </c>
      <c r="B546" s="19" t="n">
        <v>46112</v>
      </c>
      <c r="C546" s="18" t="s">
        <v>207</v>
      </c>
      <c r="D546" s="18" t="s">
        <v>869</v>
      </c>
      <c r="E546" s="18" t="s">
        <v>412</v>
      </c>
      <c r="F546" s="18"/>
      <c r="G546" s="18" t="s">
        <v>1019</v>
      </c>
      <c r="H546" s="30" t="n">
        <v>182.4</v>
      </c>
      <c r="I546" s="18" t="s">
        <v>513</v>
      </c>
      <c r="J546" s="28" t="n">
        <v>10856.45</v>
      </c>
      <c r="K546" s="12" t="str">
        <f aca="false">TEXT(B546,"yyyy-mm")</f>
        <v>2026-03</v>
      </c>
      <c r="L546" s="21" t="str">
        <f aca="false">IFERROR(INDEX(Projects!$E$2:$E$500,MATCH(C546,Projects!$A$2:$A$500,0)),"")</f>
        <v>Operational Excellence</v>
      </c>
      <c r="M546" s="31" t="n">
        <f aca="false">IF(I546="Yes",H546*INDEX(Resources!$I$2:$I$500,MATCH(E546,Resources!$A$2:$A$500,0)),0)</f>
        <v>21888</v>
      </c>
    </row>
    <row r="547" customFormat="false" ht="15" hidden="false" customHeight="false" outlineLevel="0" collapsed="false">
      <c r="A547" s="18" t="s">
        <v>1578</v>
      </c>
      <c r="B547" s="19" t="n">
        <v>46112</v>
      </c>
      <c r="C547" s="18" t="s">
        <v>207</v>
      </c>
      <c r="D547" s="18" t="s">
        <v>872</v>
      </c>
      <c r="E547" s="18"/>
      <c r="F547" s="18" t="s">
        <v>353</v>
      </c>
      <c r="G547" s="18" t="s">
        <v>1026</v>
      </c>
      <c r="H547" s="30" t="n">
        <v>0</v>
      </c>
      <c r="I547" s="18" t="s">
        <v>527</v>
      </c>
      <c r="J547" s="28" t="n">
        <v>1771.54</v>
      </c>
      <c r="K547" s="12" t="str">
        <f aca="false">TEXT(B547,"yyyy-mm")</f>
        <v>2026-03</v>
      </c>
      <c r="L547" s="21" t="str">
        <f aca="false">IFERROR(INDEX(Projects!$E$2:$E$500,MATCH(C547,Projects!$A$2:$A$500,0)),"")</f>
        <v>Operational Excellence</v>
      </c>
      <c r="M547" s="31" t="n">
        <f aca="false">IF(I547="Yes",H547*INDEX(Resources!$I$2:$I$500,MATCH(E547,Resources!$A$2:$A$500,0)),0)</f>
        <v>0</v>
      </c>
    </row>
    <row r="548" customFormat="false" ht="15" hidden="false" customHeight="false" outlineLevel="0" collapsed="false">
      <c r="A548" s="18" t="s">
        <v>1579</v>
      </c>
      <c r="B548" s="19" t="n">
        <v>46112</v>
      </c>
      <c r="C548" s="18" t="s">
        <v>207</v>
      </c>
      <c r="D548" s="18" t="s">
        <v>495</v>
      </c>
      <c r="E548" s="18"/>
      <c r="F548" s="18" t="s">
        <v>1373</v>
      </c>
      <c r="G548" s="18" t="s">
        <v>1026</v>
      </c>
      <c r="H548" s="30" t="n">
        <v>0</v>
      </c>
      <c r="I548" s="18" t="s">
        <v>527</v>
      </c>
      <c r="J548" s="28" t="n">
        <v>881.55</v>
      </c>
      <c r="K548" s="12" t="str">
        <f aca="false">TEXT(B548,"yyyy-mm")</f>
        <v>2026-03</v>
      </c>
      <c r="L548" s="21" t="str">
        <f aca="false">IFERROR(INDEX(Projects!$E$2:$E$500,MATCH(C548,Projects!$A$2:$A$500,0)),"")</f>
        <v>Operational Excellence</v>
      </c>
      <c r="M548" s="31" t="n">
        <f aca="false">IF(I548="Yes",H548*INDEX(Resources!$I$2:$I$500,MATCH(E548,Resources!$A$2:$A$500,0)),0)</f>
        <v>0</v>
      </c>
    </row>
    <row r="549" customFormat="false" ht="15" hidden="false" customHeight="false" outlineLevel="0" collapsed="false">
      <c r="A549" s="18" t="s">
        <v>1580</v>
      </c>
      <c r="B549" s="19" t="n">
        <v>46112</v>
      </c>
      <c r="C549" s="18" t="s">
        <v>207</v>
      </c>
      <c r="D549" s="18" t="s">
        <v>876</v>
      </c>
      <c r="E549" s="18"/>
      <c r="F549" s="18" t="s">
        <v>1071</v>
      </c>
      <c r="G549" s="18" t="s">
        <v>1033</v>
      </c>
      <c r="H549" s="30" t="n">
        <v>0</v>
      </c>
      <c r="I549" s="18" t="s">
        <v>527</v>
      </c>
      <c r="J549" s="28" t="n">
        <v>568.9</v>
      </c>
      <c r="K549" s="12" t="str">
        <f aca="false">TEXT(B549,"yyyy-mm")</f>
        <v>2026-03</v>
      </c>
      <c r="L549" s="21" t="str">
        <f aca="false">IFERROR(INDEX(Projects!$E$2:$E$500,MATCH(C549,Projects!$A$2:$A$500,0)),"")</f>
        <v>Operational Excellence</v>
      </c>
      <c r="M549" s="31" t="n">
        <f aca="false">IF(I549="Yes",H549*INDEX(Resources!$I$2:$I$500,MATCH(E549,Resources!$A$2:$A$500,0)),0)</f>
        <v>0</v>
      </c>
    </row>
    <row r="550" customFormat="false" ht="15" hidden="false" customHeight="false" outlineLevel="0" collapsed="false">
      <c r="A550" s="18" t="s">
        <v>1581</v>
      </c>
      <c r="B550" s="19" t="n">
        <v>46112</v>
      </c>
      <c r="C550" s="18" t="s">
        <v>215</v>
      </c>
      <c r="D550" s="18" t="s">
        <v>889</v>
      </c>
      <c r="E550" s="18"/>
      <c r="F550" s="18" t="s">
        <v>1035</v>
      </c>
      <c r="G550" s="18" t="s">
        <v>1026</v>
      </c>
      <c r="H550" s="30" t="n">
        <v>0</v>
      </c>
      <c r="I550" s="18" t="s">
        <v>527</v>
      </c>
      <c r="J550" s="28" t="n">
        <v>4442.18</v>
      </c>
      <c r="K550" s="12" t="str">
        <f aca="false">TEXT(B550,"yyyy-mm")</f>
        <v>2026-03</v>
      </c>
      <c r="L550" s="21" t="str">
        <f aca="false">IFERROR(INDEX(Projects!$E$2:$E$500,MATCH(C550,Projects!$A$2:$A$500,0)),"")</f>
        <v>Data &amp; AI</v>
      </c>
      <c r="M550" s="31" t="n">
        <f aca="false">IF(I550="Yes",H550*INDEX(Resources!$I$2:$I$500,MATCH(E550,Resources!$A$2:$A$500,0)),0)</f>
        <v>0</v>
      </c>
    </row>
    <row r="551" customFormat="false" ht="15" hidden="false" customHeight="false" outlineLevel="0" collapsed="false">
      <c r="A551" s="18" t="s">
        <v>1582</v>
      </c>
      <c r="B551" s="19" t="n">
        <v>46112</v>
      </c>
      <c r="C551" s="18" t="s">
        <v>215</v>
      </c>
      <c r="D551" s="18" t="s">
        <v>869</v>
      </c>
      <c r="E551" s="18" t="s">
        <v>218</v>
      </c>
      <c r="F551" s="18"/>
      <c r="G551" s="18" t="s">
        <v>1019</v>
      </c>
      <c r="H551" s="30" t="n">
        <v>52.8</v>
      </c>
      <c r="I551" s="18" t="s">
        <v>527</v>
      </c>
      <c r="J551" s="28" t="n">
        <v>3949.44</v>
      </c>
      <c r="K551" s="12" t="str">
        <f aca="false">TEXT(B551,"yyyy-mm")</f>
        <v>2026-03</v>
      </c>
      <c r="L551" s="21" t="str">
        <f aca="false">IFERROR(INDEX(Projects!$E$2:$E$500,MATCH(C551,Projects!$A$2:$A$500,0)),"")</f>
        <v>Data &amp; AI</v>
      </c>
      <c r="M551" s="31" t="n">
        <f aca="false">IF(I551="Yes",H551*INDEX(Resources!$I$2:$I$500,MATCH(E551,Resources!$A$2:$A$500,0)),0)</f>
        <v>0</v>
      </c>
    </row>
    <row r="552" customFormat="false" ht="15" hidden="false" customHeight="false" outlineLevel="0" collapsed="false">
      <c r="A552" s="18" t="s">
        <v>1583</v>
      </c>
      <c r="B552" s="19" t="n">
        <v>46112</v>
      </c>
      <c r="C552" s="18" t="s">
        <v>215</v>
      </c>
      <c r="D552" s="18" t="s">
        <v>869</v>
      </c>
      <c r="E552" s="18" t="s">
        <v>357</v>
      </c>
      <c r="F552" s="18"/>
      <c r="G552" s="18" t="s">
        <v>1019</v>
      </c>
      <c r="H552" s="30" t="n">
        <v>50.6</v>
      </c>
      <c r="I552" s="18" t="s">
        <v>513</v>
      </c>
      <c r="J552" s="28" t="n">
        <v>6120.58</v>
      </c>
      <c r="K552" s="12" t="str">
        <f aca="false">TEXT(B552,"yyyy-mm")</f>
        <v>2026-03</v>
      </c>
      <c r="L552" s="21" t="str">
        <f aca="false">IFERROR(INDEX(Projects!$E$2:$E$500,MATCH(C552,Projects!$A$2:$A$500,0)),"")</f>
        <v>Data &amp; AI</v>
      </c>
      <c r="M552" s="31" t="n">
        <f aca="false">IF(I552="Yes",H552*INDEX(Resources!$I$2:$I$500,MATCH(E552,Resources!$A$2:$A$500,0)),0)</f>
        <v>12397</v>
      </c>
    </row>
    <row r="553" customFormat="false" ht="15" hidden="false" customHeight="false" outlineLevel="0" collapsed="false">
      <c r="A553" s="18" t="s">
        <v>1584</v>
      </c>
      <c r="B553" s="19" t="n">
        <v>46112</v>
      </c>
      <c r="C553" s="18" t="s">
        <v>215</v>
      </c>
      <c r="D553" s="18" t="s">
        <v>869</v>
      </c>
      <c r="E553" s="18" t="s">
        <v>414</v>
      </c>
      <c r="F553" s="18"/>
      <c r="G553" s="18" t="s">
        <v>1019</v>
      </c>
      <c r="H553" s="30" t="n">
        <v>106.2</v>
      </c>
      <c r="I553" s="18" t="s">
        <v>513</v>
      </c>
      <c r="J553" s="28" t="n">
        <v>6321.02</v>
      </c>
      <c r="K553" s="12" t="str">
        <f aca="false">TEXT(B553,"yyyy-mm")</f>
        <v>2026-03</v>
      </c>
      <c r="L553" s="21" t="str">
        <f aca="false">IFERROR(INDEX(Projects!$E$2:$E$500,MATCH(C553,Projects!$A$2:$A$500,0)),"")</f>
        <v>Data &amp; AI</v>
      </c>
      <c r="M553" s="31" t="n">
        <f aca="false">IF(I553="Yes",H553*INDEX(Resources!$I$2:$I$500,MATCH(E553,Resources!$A$2:$A$500,0)),0)</f>
        <v>12744</v>
      </c>
    </row>
    <row r="554" customFormat="false" ht="15" hidden="false" customHeight="false" outlineLevel="0" collapsed="false">
      <c r="A554" s="18" t="s">
        <v>1585</v>
      </c>
      <c r="B554" s="19" t="n">
        <v>46112</v>
      </c>
      <c r="C554" s="18" t="s">
        <v>215</v>
      </c>
      <c r="D554" s="18" t="s">
        <v>869</v>
      </c>
      <c r="E554" s="18" t="s">
        <v>442</v>
      </c>
      <c r="F554" s="18"/>
      <c r="G554" s="18" t="s">
        <v>1019</v>
      </c>
      <c r="H554" s="30" t="n">
        <v>14.1</v>
      </c>
      <c r="I554" s="18" t="s">
        <v>513</v>
      </c>
      <c r="J554" s="28" t="n">
        <v>987</v>
      </c>
      <c r="K554" s="12" t="str">
        <f aca="false">TEXT(B554,"yyyy-mm")</f>
        <v>2026-03</v>
      </c>
      <c r="L554" s="21" t="str">
        <f aca="false">IFERROR(INDEX(Projects!$E$2:$E$500,MATCH(C554,Projects!$A$2:$A$500,0)),"")</f>
        <v>Data &amp; AI</v>
      </c>
      <c r="M554" s="31" t="n">
        <f aca="false">IF(I554="Yes",H554*INDEX(Resources!$I$2:$I$500,MATCH(E554,Resources!$A$2:$A$500,0)),0)</f>
        <v>1621.5</v>
      </c>
    </row>
    <row r="555" customFormat="false" ht="15" hidden="false" customHeight="false" outlineLevel="0" collapsed="false">
      <c r="A555" s="18" t="s">
        <v>1586</v>
      </c>
      <c r="B555" s="19" t="n">
        <v>46112</v>
      </c>
      <c r="C555" s="18" t="s">
        <v>215</v>
      </c>
      <c r="D555" s="18" t="s">
        <v>869</v>
      </c>
      <c r="E555" s="18" t="s">
        <v>450</v>
      </c>
      <c r="F555" s="18"/>
      <c r="G555" s="18" t="s">
        <v>1019</v>
      </c>
      <c r="H555" s="30" t="n">
        <v>180.4</v>
      </c>
      <c r="I555" s="18" t="s">
        <v>513</v>
      </c>
      <c r="J555" s="28" t="n">
        <v>18833.76</v>
      </c>
      <c r="K555" s="12" t="str">
        <f aca="false">TEXT(B555,"yyyy-mm")</f>
        <v>2026-03</v>
      </c>
      <c r="L555" s="21" t="str">
        <f aca="false">IFERROR(INDEX(Projects!$E$2:$E$500,MATCH(C555,Projects!$A$2:$A$500,0)),"")</f>
        <v>Data &amp; AI</v>
      </c>
      <c r="M555" s="31" t="n">
        <f aca="false">IF(I555="Yes",H555*INDEX(Resources!$I$2:$I$500,MATCH(E555,Resources!$A$2:$A$500,0)),0)</f>
        <v>37884</v>
      </c>
    </row>
    <row r="556" customFormat="false" ht="15" hidden="false" customHeight="false" outlineLevel="0" collapsed="false">
      <c r="A556" s="18" t="s">
        <v>1587</v>
      </c>
      <c r="B556" s="19" t="n">
        <v>46112</v>
      </c>
      <c r="C556" s="18" t="s">
        <v>215</v>
      </c>
      <c r="D556" s="18" t="s">
        <v>869</v>
      </c>
      <c r="E556" s="18" t="s">
        <v>462</v>
      </c>
      <c r="F556" s="18"/>
      <c r="G556" s="18" t="s">
        <v>1019</v>
      </c>
      <c r="H556" s="30" t="n">
        <v>88.2</v>
      </c>
      <c r="I556" s="18" t="s">
        <v>513</v>
      </c>
      <c r="J556" s="28" t="n">
        <v>10026.58</v>
      </c>
      <c r="K556" s="12" t="str">
        <f aca="false">TEXT(B556,"yyyy-mm")</f>
        <v>2026-03</v>
      </c>
      <c r="L556" s="21" t="str">
        <f aca="false">IFERROR(INDEX(Projects!$E$2:$E$500,MATCH(C556,Projects!$A$2:$A$500,0)),"")</f>
        <v>Data &amp; AI</v>
      </c>
      <c r="M556" s="31" t="n">
        <f aca="false">IF(I556="Yes",H556*INDEX(Resources!$I$2:$I$500,MATCH(E556,Resources!$A$2:$A$500,0)),0)</f>
        <v>20286</v>
      </c>
    </row>
    <row r="557" customFormat="false" ht="15" hidden="false" customHeight="false" outlineLevel="0" collapsed="false">
      <c r="A557" s="18" t="s">
        <v>1588</v>
      </c>
      <c r="B557" s="19" t="n">
        <v>46112</v>
      </c>
      <c r="C557" s="18" t="s">
        <v>215</v>
      </c>
      <c r="D557" s="18" t="s">
        <v>872</v>
      </c>
      <c r="E557" s="18"/>
      <c r="F557" s="18" t="s">
        <v>1059</v>
      </c>
      <c r="G557" s="18" t="s">
        <v>1026</v>
      </c>
      <c r="H557" s="30" t="n">
        <v>0</v>
      </c>
      <c r="I557" s="18" t="s">
        <v>527</v>
      </c>
      <c r="J557" s="28" t="n">
        <v>2852</v>
      </c>
      <c r="K557" s="12" t="str">
        <f aca="false">TEXT(B557,"yyyy-mm")</f>
        <v>2026-03</v>
      </c>
      <c r="L557" s="21" t="str">
        <f aca="false">IFERROR(INDEX(Projects!$E$2:$E$500,MATCH(C557,Projects!$A$2:$A$500,0)),"")</f>
        <v>Data &amp; AI</v>
      </c>
      <c r="M557" s="31" t="n">
        <f aca="false">IF(I557="Yes",H557*INDEX(Resources!$I$2:$I$500,MATCH(E557,Resources!$A$2:$A$500,0)),0)</f>
        <v>0</v>
      </c>
    </row>
    <row r="558" customFormat="false" ht="15" hidden="false" customHeight="false" outlineLevel="0" collapsed="false">
      <c r="A558" s="18" t="s">
        <v>1589</v>
      </c>
      <c r="B558" s="19" t="n">
        <v>46112</v>
      </c>
      <c r="C558" s="18" t="s">
        <v>215</v>
      </c>
      <c r="D558" s="18" t="s">
        <v>876</v>
      </c>
      <c r="E558" s="18"/>
      <c r="F558" s="18" t="s">
        <v>1071</v>
      </c>
      <c r="G558" s="18" t="s">
        <v>1033</v>
      </c>
      <c r="H558" s="30" t="n">
        <v>0</v>
      </c>
      <c r="I558" s="18" t="s">
        <v>527</v>
      </c>
      <c r="J558" s="28" t="n">
        <v>577.67</v>
      </c>
      <c r="K558" s="12" t="str">
        <f aca="false">TEXT(B558,"yyyy-mm")</f>
        <v>2026-03</v>
      </c>
      <c r="L558" s="21" t="str">
        <f aca="false">IFERROR(INDEX(Projects!$E$2:$E$500,MATCH(C558,Projects!$A$2:$A$500,0)),"")</f>
        <v>Data &amp; AI</v>
      </c>
      <c r="M558" s="31" t="n">
        <f aca="false">IF(I558="Yes",H558*INDEX(Resources!$I$2:$I$500,MATCH(E558,Resources!$A$2:$A$500,0)),0)</f>
        <v>0</v>
      </c>
    </row>
    <row r="559" customFormat="false" ht="15" hidden="false" customHeight="false" outlineLevel="0" collapsed="false">
      <c r="A559" s="18" t="s">
        <v>1590</v>
      </c>
      <c r="B559" s="19" t="n">
        <v>46112</v>
      </c>
      <c r="C559" s="18" t="s">
        <v>222</v>
      </c>
      <c r="D559" s="18" t="s">
        <v>889</v>
      </c>
      <c r="E559" s="18"/>
      <c r="F559" s="18" t="s">
        <v>1035</v>
      </c>
      <c r="G559" s="18" t="s">
        <v>1026</v>
      </c>
      <c r="H559" s="30" t="n">
        <v>0</v>
      </c>
      <c r="I559" s="18" t="s">
        <v>527</v>
      </c>
      <c r="J559" s="28" t="n">
        <v>6237.35</v>
      </c>
      <c r="K559" s="12" t="str">
        <f aca="false">TEXT(B559,"yyyy-mm")</f>
        <v>2026-03</v>
      </c>
      <c r="L559" s="21" t="str">
        <f aca="false">IFERROR(INDEX(Projects!$E$2:$E$500,MATCH(C559,Projects!$A$2:$A$500,0)),"")</f>
        <v>Cloud &amp; Infrastructure</v>
      </c>
      <c r="M559" s="31" t="n">
        <f aca="false">IF(I559="Yes",H559*INDEX(Resources!$I$2:$I$500,MATCH(E559,Resources!$A$2:$A$500,0)),0)</f>
        <v>0</v>
      </c>
    </row>
    <row r="560" customFormat="false" ht="15" hidden="false" customHeight="false" outlineLevel="0" collapsed="false">
      <c r="A560" s="18" t="s">
        <v>1591</v>
      </c>
      <c r="B560" s="19" t="n">
        <v>46112</v>
      </c>
      <c r="C560" s="18" t="s">
        <v>222</v>
      </c>
      <c r="D560" s="18" t="s">
        <v>869</v>
      </c>
      <c r="E560" s="18" t="s">
        <v>226</v>
      </c>
      <c r="F560" s="18"/>
      <c r="G560" s="18" t="s">
        <v>1019</v>
      </c>
      <c r="H560" s="30" t="n">
        <v>39.6</v>
      </c>
      <c r="I560" s="18" t="s">
        <v>513</v>
      </c>
      <c r="J560" s="28" t="n">
        <v>3484.8</v>
      </c>
      <c r="K560" s="12" t="str">
        <f aca="false">TEXT(B560,"yyyy-mm")</f>
        <v>2026-03</v>
      </c>
      <c r="L560" s="21" t="str">
        <f aca="false">IFERROR(INDEX(Projects!$E$2:$E$500,MATCH(C560,Projects!$A$2:$A$500,0)),"")</f>
        <v>Cloud &amp; Infrastructure</v>
      </c>
      <c r="M560" s="31" t="n">
        <f aca="false">IF(I560="Yes",H560*INDEX(Resources!$I$2:$I$500,MATCH(E560,Resources!$A$2:$A$500,0)),0)</f>
        <v>6930</v>
      </c>
    </row>
    <row r="561" customFormat="false" ht="15" hidden="false" customHeight="false" outlineLevel="0" collapsed="false">
      <c r="A561" s="18" t="s">
        <v>1592</v>
      </c>
      <c r="B561" s="19" t="n">
        <v>46112</v>
      </c>
      <c r="C561" s="18" t="s">
        <v>222</v>
      </c>
      <c r="D561" s="18" t="s">
        <v>869</v>
      </c>
      <c r="E561" s="18" t="s">
        <v>348</v>
      </c>
      <c r="F561" s="18"/>
      <c r="G561" s="18" t="s">
        <v>1019</v>
      </c>
      <c r="H561" s="30" t="n">
        <v>47.9</v>
      </c>
      <c r="I561" s="18" t="s">
        <v>513</v>
      </c>
      <c r="J561" s="28" t="n">
        <v>6223.17</v>
      </c>
      <c r="K561" s="12" t="str">
        <f aca="false">TEXT(B561,"yyyy-mm")</f>
        <v>2026-03</v>
      </c>
      <c r="L561" s="21" t="str">
        <f aca="false">IFERROR(INDEX(Projects!$E$2:$E$500,MATCH(C561,Projects!$A$2:$A$500,0)),"")</f>
        <v>Cloud &amp; Infrastructure</v>
      </c>
      <c r="M561" s="31" t="n">
        <f aca="false">IF(I561="Yes",H561*INDEX(Resources!$I$2:$I$500,MATCH(E561,Resources!$A$2:$A$500,0)),0)</f>
        <v>12454</v>
      </c>
    </row>
    <row r="562" customFormat="false" ht="15" hidden="false" customHeight="false" outlineLevel="0" collapsed="false">
      <c r="A562" s="18" t="s">
        <v>1593</v>
      </c>
      <c r="B562" s="19" t="n">
        <v>46112</v>
      </c>
      <c r="C562" s="18" t="s">
        <v>222</v>
      </c>
      <c r="D562" s="18" t="s">
        <v>869</v>
      </c>
      <c r="E562" s="18" t="s">
        <v>395</v>
      </c>
      <c r="F562" s="18"/>
      <c r="G562" s="18" t="s">
        <v>1019</v>
      </c>
      <c r="H562" s="30" t="n">
        <v>79.5</v>
      </c>
      <c r="I562" s="18" t="s">
        <v>513</v>
      </c>
      <c r="J562" s="28" t="n">
        <v>8502.52</v>
      </c>
      <c r="K562" s="12" t="str">
        <f aca="false">TEXT(B562,"yyyy-mm")</f>
        <v>2026-03</v>
      </c>
      <c r="L562" s="21" t="str">
        <f aca="false">IFERROR(INDEX(Projects!$E$2:$E$500,MATCH(C562,Projects!$A$2:$A$500,0)),"")</f>
        <v>Cloud &amp; Infrastructure</v>
      </c>
      <c r="M562" s="31" t="n">
        <f aca="false">IF(I562="Yes",H562*INDEX(Resources!$I$2:$I$500,MATCH(E562,Resources!$A$2:$A$500,0)),0)</f>
        <v>13515</v>
      </c>
    </row>
    <row r="563" customFormat="false" ht="15" hidden="false" customHeight="false" outlineLevel="0" collapsed="false">
      <c r="A563" s="18" t="s">
        <v>1594</v>
      </c>
      <c r="B563" s="19" t="n">
        <v>46112</v>
      </c>
      <c r="C563" s="18" t="s">
        <v>222</v>
      </c>
      <c r="D563" s="18" t="s">
        <v>869</v>
      </c>
      <c r="E563" s="18" t="s">
        <v>470</v>
      </c>
      <c r="F563" s="18"/>
      <c r="G563" s="18" t="s">
        <v>1019</v>
      </c>
      <c r="H563" s="30" t="n">
        <v>179.5</v>
      </c>
      <c r="I563" s="18" t="s">
        <v>513</v>
      </c>
      <c r="J563" s="28" t="n">
        <v>19572.68</v>
      </c>
      <c r="K563" s="12" t="str">
        <f aca="false">TEXT(B563,"yyyy-mm")</f>
        <v>2026-03</v>
      </c>
      <c r="L563" s="21" t="str">
        <f aca="false">IFERROR(INDEX(Projects!$E$2:$E$500,MATCH(C563,Projects!$A$2:$A$500,0)),"")</f>
        <v>Cloud &amp; Infrastructure</v>
      </c>
      <c r="M563" s="31" t="n">
        <f aca="false">IF(I563="Yes",H563*INDEX(Resources!$I$2:$I$500,MATCH(E563,Resources!$A$2:$A$500,0)),0)</f>
        <v>39490</v>
      </c>
    </row>
    <row r="564" customFormat="false" ht="15" hidden="false" customHeight="false" outlineLevel="0" collapsed="false">
      <c r="A564" s="18" t="s">
        <v>1595</v>
      </c>
      <c r="B564" s="19" t="n">
        <v>46112</v>
      </c>
      <c r="C564" s="18" t="s">
        <v>222</v>
      </c>
      <c r="D564" s="18" t="s">
        <v>869</v>
      </c>
      <c r="E564" s="18" t="s">
        <v>483</v>
      </c>
      <c r="F564" s="18"/>
      <c r="G564" s="18" t="s">
        <v>1019</v>
      </c>
      <c r="H564" s="30" t="n">
        <v>94.6</v>
      </c>
      <c r="I564" s="18" t="s">
        <v>513</v>
      </c>
      <c r="J564" s="28" t="n">
        <v>9437.3</v>
      </c>
      <c r="K564" s="12" t="str">
        <f aca="false">TEXT(B564,"yyyy-mm")</f>
        <v>2026-03</v>
      </c>
      <c r="L564" s="21" t="str">
        <f aca="false">IFERROR(INDEX(Projects!$E$2:$E$500,MATCH(C564,Projects!$A$2:$A$500,0)),"")</f>
        <v>Cloud &amp; Infrastructure</v>
      </c>
      <c r="M564" s="31" t="n">
        <f aca="false">IF(I564="Yes",H564*INDEX(Resources!$I$2:$I$500,MATCH(E564,Resources!$A$2:$A$500,0)),0)</f>
        <v>19393</v>
      </c>
    </row>
    <row r="565" customFormat="false" ht="15" hidden="false" customHeight="false" outlineLevel="0" collapsed="false">
      <c r="A565" s="18" t="s">
        <v>1596</v>
      </c>
      <c r="B565" s="19" t="n">
        <v>46112</v>
      </c>
      <c r="C565" s="18" t="s">
        <v>222</v>
      </c>
      <c r="D565" s="18" t="s">
        <v>872</v>
      </c>
      <c r="E565" s="18"/>
      <c r="F565" s="18" t="s">
        <v>353</v>
      </c>
      <c r="G565" s="18" t="s">
        <v>1026</v>
      </c>
      <c r="H565" s="30" t="n">
        <v>0</v>
      </c>
      <c r="I565" s="18" t="s">
        <v>527</v>
      </c>
      <c r="J565" s="28" t="n">
        <v>2465.87</v>
      </c>
      <c r="K565" s="12" t="str">
        <f aca="false">TEXT(B565,"yyyy-mm")</f>
        <v>2026-03</v>
      </c>
      <c r="L565" s="21" t="str">
        <f aca="false">IFERROR(INDEX(Projects!$E$2:$E$500,MATCH(C565,Projects!$A$2:$A$500,0)),"")</f>
        <v>Cloud &amp; Infrastructure</v>
      </c>
      <c r="M565" s="31" t="n">
        <f aca="false">IF(I565="Yes",H565*INDEX(Resources!$I$2:$I$500,MATCH(E565,Resources!$A$2:$A$500,0)),0)</f>
        <v>0</v>
      </c>
    </row>
    <row r="566" customFormat="false" ht="15" hidden="false" customHeight="false" outlineLevel="0" collapsed="false">
      <c r="A566" s="18" t="s">
        <v>1597</v>
      </c>
      <c r="B566" s="19" t="n">
        <v>46112</v>
      </c>
      <c r="C566" s="18" t="s">
        <v>222</v>
      </c>
      <c r="D566" s="18" t="s">
        <v>876</v>
      </c>
      <c r="E566" s="18"/>
      <c r="F566" s="18" t="s">
        <v>1071</v>
      </c>
      <c r="G566" s="18" t="s">
        <v>1033</v>
      </c>
      <c r="H566" s="30" t="n">
        <v>0</v>
      </c>
      <c r="I566" s="18" t="s">
        <v>527</v>
      </c>
      <c r="J566" s="28" t="n">
        <v>921.41</v>
      </c>
      <c r="K566" s="12" t="str">
        <f aca="false">TEXT(B566,"yyyy-mm")</f>
        <v>2026-03</v>
      </c>
      <c r="L566" s="21" t="str">
        <f aca="false">IFERROR(INDEX(Projects!$E$2:$E$500,MATCH(C566,Projects!$A$2:$A$500,0)),"")</f>
        <v>Cloud &amp; Infrastructure</v>
      </c>
      <c r="M566" s="31" t="n">
        <f aca="false">IF(I566="Yes",H566*INDEX(Resources!$I$2:$I$500,MATCH(E566,Resources!$A$2:$A$500,0)),0)</f>
        <v>0</v>
      </c>
    </row>
    <row r="567" customFormat="false" ht="15" hidden="false" customHeight="false" outlineLevel="0" collapsed="false">
      <c r="A567" s="18" t="s">
        <v>1598</v>
      </c>
      <c r="B567" s="19" t="n">
        <v>46112</v>
      </c>
      <c r="C567" s="18" t="s">
        <v>228</v>
      </c>
      <c r="D567" s="18" t="s">
        <v>889</v>
      </c>
      <c r="E567" s="18"/>
      <c r="F567" s="18" t="s">
        <v>1035</v>
      </c>
      <c r="G567" s="18" t="s">
        <v>1026</v>
      </c>
      <c r="H567" s="30" t="n">
        <v>0</v>
      </c>
      <c r="I567" s="18" t="s">
        <v>527</v>
      </c>
      <c r="J567" s="28" t="n">
        <v>3186.24</v>
      </c>
      <c r="K567" s="12" t="str">
        <f aca="false">TEXT(B567,"yyyy-mm")</f>
        <v>2026-03</v>
      </c>
      <c r="L567" s="21" t="str">
        <f aca="false">IFERROR(INDEX(Projects!$E$2:$E$500,MATCH(C567,Projects!$A$2:$A$500,0)),"")</f>
        <v>Data &amp; AI</v>
      </c>
      <c r="M567" s="31" t="n">
        <f aca="false">IF(I567="Yes",H567*INDEX(Resources!$I$2:$I$500,MATCH(E567,Resources!$A$2:$A$500,0)),0)</f>
        <v>0</v>
      </c>
    </row>
    <row r="568" customFormat="false" ht="15" hidden="false" customHeight="false" outlineLevel="0" collapsed="false">
      <c r="A568" s="18" t="s">
        <v>1599</v>
      </c>
      <c r="B568" s="19" t="n">
        <v>46112</v>
      </c>
      <c r="C568" s="18" t="s">
        <v>228</v>
      </c>
      <c r="D568" s="18" t="s">
        <v>869</v>
      </c>
      <c r="E568" s="18" t="s">
        <v>231</v>
      </c>
      <c r="F568" s="18"/>
      <c r="G568" s="18" t="s">
        <v>1019</v>
      </c>
      <c r="H568" s="30" t="n">
        <v>59.1</v>
      </c>
      <c r="I568" s="18" t="s">
        <v>513</v>
      </c>
      <c r="J568" s="28" t="n">
        <v>6032.93</v>
      </c>
      <c r="K568" s="12" t="str">
        <f aca="false">TEXT(B568,"yyyy-mm")</f>
        <v>2026-03</v>
      </c>
      <c r="L568" s="21" t="str">
        <f aca="false">IFERROR(INDEX(Projects!$E$2:$E$500,MATCH(C568,Projects!$A$2:$A$500,0)),"")</f>
        <v>Data &amp; AI</v>
      </c>
      <c r="M568" s="31" t="n">
        <f aca="false">IF(I568="Yes",H568*INDEX(Resources!$I$2:$I$500,MATCH(E568,Resources!$A$2:$A$500,0)),0)</f>
        <v>12115.5</v>
      </c>
    </row>
    <row r="569" customFormat="false" ht="15" hidden="false" customHeight="false" outlineLevel="0" collapsed="false">
      <c r="A569" s="18" t="s">
        <v>1600</v>
      </c>
      <c r="B569" s="19" t="n">
        <v>46112</v>
      </c>
      <c r="C569" s="18" t="s">
        <v>228</v>
      </c>
      <c r="D569" s="18" t="s">
        <v>869</v>
      </c>
      <c r="E569" s="18" t="s">
        <v>354</v>
      </c>
      <c r="F569" s="18"/>
      <c r="G569" s="18" t="s">
        <v>1019</v>
      </c>
      <c r="H569" s="30" t="n">
        <v>58.1</v>
      </c>
      <c r="I569" s="18" t="s">
        <v>513</v>
      </c>
      <c r="J569" s="28" t="n">
        <v>7548.35</v>
      </c>
      <c r="K569" s="12" t="str">
        <f aca="false">TEXT(B569,"yyyy-mm")</f>
        <v>2026-03</v>
      </c>
      <c r="L569" s="21" t="str">
        <f aca="false">IFERROR(INDEX(Projects!$E$2:$E$500,MATCH(C569,Projects!$A$2:$A$500,0)),"")</f>
        <v>Data &amp; AI</v>
      </c>
      <c r="M569" s="31" t="n">
        <f aca="false">IF(I569="Yes",H569*INDEX(Resources!$I$2:$I$500,MATCH(E569,Resources!$A$2:$A$500,0)),0)</f>
        <v>15106</v>
      </c>
    </row>
    <row r="570" customFormat="false" ht="15" hidden="false" customHeight="false" outlineLevel="0" collapsed="false">
      <c r="A570" s="18" t="s">
        <v>1601</v>
      </c>
      <c r="B570" s="19" t="n">
        <v>46112</v>
      </c>
      <c r="C570" s="18" t="s">
        <v>228</v>
      </c>
      <c r="D570" s="18" t="s">
        <v>869</v>
      </c>
      <c r="E570" s="18" t="s">
        <v>417</v>
      </c>
      <c r="F570" s="18"/>
      <c r="G570" s="18" t="s">
        <v>1019</v>
      </c>
      <c r="H570" s="30" t="n">
        <v>106.2</v>
      </c>
      <c r="I570" s="18" t="s">
        <v>513</v>
      </c>
      <c r="J570" s="28" t="n">
        <v>5777.28</v>
      </c>
      <c r="K570" s="12" t="str">
        <f aca="false">TEXT(B570,"yyyy-mm")</f>
        <v>2026-03</v>
      </c>
      <c r="L570" s="21" t="str">
        <f aca="false">IFERROR(INDEX(Projects!$E$2:$E$500,MATCH(C570,Projects!$A$2:$A$500,0)),"")</f>
        <v>Data &amp; AI</v>
      </c>
      <c r="M570" s="31" t="n">
        <f aca="false">IF(I570="Yes",H570*INDEX(Resources!$I$2:$I$500,MATCH(E570,Resources!$A$2:$A$500,0)),0)</f>
        <v>11682</v>
      </c>
    </row>
    <row r="571" customFormat="false" ht="15" hidden="false" customHeight="false" outlineLevel="0" collapsed="false">
      <c r="A571" s="18" t="s">
        <v>1602</v>
      </c>
      <c r="B571" s="19" t="n">
        <v>46112</v>
      </c>
      <c r="C571" s="18" t="s">
        <v>228</v>
      </c>
      <c r="D571" s="18" t="s">
        <v>869</v>
      </c>
      <c r="E571" s="18" t="s">
        <v>454</v>
      </c>
      <c r="F571" s="18"/>
      <c r="G571" s="18" t="s">
        <v>1019</v>
      </c>
      <c r="H571" s="30" t="n">
        <v>179.6</v>
      </c>
      <c r="I571" s="18" t="s">
        <v>513</v>
      </c>
      <c r="J571" s="28" t="n">
        <v>13739.4</v>
      </c>
      <c r="K571" s="12" t="str">
        <f aca="false">TEXT(B571,"yyyy-mm")</f>
        <v>2026-03</v>
      </c>
      <c r="L571" s="21" t="str">
        <f aca="false">IFERROR(INDEX(Projects!$E$2:$E$500,MATCH(C571,Projects!$A$2:$A$500,0)),"")</f>
        <v>Data &amp; AI</v>
      </c>
      <c r="M571" s="31" t="n">
        <f aca="false">IF(I571="Yes",H571*INDEX(Resources!$I$2:$I$500,MATCH(E571,Resources!$A$2:$A$500,0)),0)</f>
        <v>27838</v>
      </c>
    </row>
    <row r="572" customFormat="false" ht="15" hidden="false" customHeight="false" outlineLevel="0" collapsed="false">
      <c r="A572" s="18" t="s">
        <v>1603</v>
      </c>
      <c r="B572" s="19" t="n">
        <v>46112</v>
      </c>
      <c r="C572" s="18" t="s">
        <v>228</v>
      </c>
      <c r="D572" s="18" t="s">
        <v>872</v>
      </c>
      <c r="E572" s="18"/>
      <c r="F572" s="18" t="s">
        <v>1059</v>
      </c>
      <c r="G572" s="18" t="s">
        <v>1026</v>
      </c>
      <c r="H572" s="30" t="n">
        <v>0</v>
      </c>
      <c r="I572" s="18" t="s">
        <v>527</v>
      </c>
      <c r="J572" s="28" t="n">
        <v>1868.72</v>
      </c>
      <c r="K572" s="12" t="str">
        <f aca="false">TEXT(B572,"yyyy-mm")</f>
        <v>2026-03</v>
      </c>
      <c r="L572" s="21" t="str">
        <f aca="false">IFERROR(INDEX(Projects!$E$2:$E$500,MATCH(C572,Projects!$A$2:$A$500,0)),"")</f>
        <v>Data &amp; AI</v>
      </c>
      <c r="M572" s="31" t="n">
        <f aca="false">IF(I572="Yes",H572*INDEX(Resources!$I$2:$I$500,MATCH(E572,Resources!$A$2:$A$500,0)),0)</f>
        <v>0</v>
      </c>
    </row>
    <row r="573" customFormat="false" ht="15" hidden="false" customHeight="false" outlineLevel="0" collapsed="false">
      <c r="A573" s="18" t="s">
        <v>1604</v>
      </c>
      <c r="B573" s="19" t="n">
        <v>46112</v>
      </c>
      <c r="C573" s="18" t="s">
        <v>228</v>
      </c>
      <c r="D573" s="18" t="s">
        <v>876</v>
      </c>
      <c r="E573" s="18"/>
      <c r="F573" s="18" t="s">
        <v>1071</v>
      </c>
      <c r="G573" s="18" t="s">
        <v>1033</v>
      </c>
      <c r="H573" s="30" t="n">
        <v>0</v>
      </c>
      <c r="I573" s="18" t="s">
        <v>527</v>
      </c>
      <c r="J573" s="28" t="n">
        <v>442.39</v>
      </c>
      <c r="K573" s="12" t="str">
        <f aca="false">TEXT(B573,"yyyy-mm")</f>
        <v>2026-03</v>
      </c>
      <c r="L573" s="21" t="str">
        <f aca="false">IFERROR(INDEX(Projects!$E$2:$E$500,MATCH(C573,Projects!$A$2:$A$500,0)),"")</f>
        <v>Data &amp; AI</v>
      </c>
      <c r="M573" s="31" t="n">
        <f aca="false">IF(I573="Yes",H573*INDEX(Resources!$I$2:$I$500,MATCH(E573,Resources!$A$2:$A$500,0)),0)</f>
        <v>0</v>
      </c>
    </row>
    <row r="574" customFormat="false" ht="15" hidden="false" customHeight="false" outlineLevel="0" collapsed="false">
      <c r="A574" s="18" t="s">
        <v>1605</v>
      </c>
      <c r="B574" s="19" t="n">
        <v>46112</v>
      </c>
      <c r="C574" s="18" t="s">
        <v>233</v>
      </c>
      <c r="D574" s="18" t="s">
        <v>869</v>
      </c>
      <c r="E574" s="18" t="s">
        <v>237</v>
      </c>
      <c r="F574" s="18"/>
      <c r="G574" s="18" t="s">
        <v>1019</v>
      </c>
      <c r="H574" s="30" t="n">
        <v>106.1</v>
      </c>
      <c r="I574" s="18" t="s">
        <v>513</v>
      </c>
      <c r="J574" s="28" t="n">
        <v>7936.28</v>
      </c>
      <c r="K574" s="12" t="str">
        <f aca="false">TEXT(B574,"yyyy-mm")</f>
        <v>2026-03</v>
      </c>
      <c r="L574" s="21" t="str">
        <f aca="false">IFERROR(INDEX(Projects!$E$2:$E$500,MATCH(C574,Projects!$A$2:$A$500,0)),"")</f>
        <v>Customer Experience</v>
      </c>
      <c r="M574" s="31" t="n">
        <f aca="false">IF(I574="Yes",H574*INDEX(Resources!$I$2:$I$500,MATCH(E574,Resources!$A$2:$A$500,0)),0)</f>
        <v>15915</v>
      </c>
    </row>
    <row r="575" customFormat="false" ht="15" hidden="false" customHeight="false" outlineLevel="0" collapsed="false">
      <c r="A575" s="18" t="s">
        <v>1606</v>
      </c>
      <c r="B575" s="19" t="n">
        <v>46112</v>
      </c>
      <c r="C575" s="18" t="s">
        <v>233</v>
      </c>
      <c r="D575" s="18" t="s">
        <v>869</v>
      </c>
      <c r="E575" s="18" t="s">
        <v>375</v>
      </c>
      <c r="F575" s="18"/>
      <c r="G575" s="18" t="s">
        <v>1019</v>
      </c>
      <c r="H575" s="30" t="n">
        <v>101</v>
      </c>
      <c r="I575" s="18" t="s">
        <v>513</v>
      </c>
      <c r="J575" s="28" t="n">
        <v>7297.25</v>
      </c>
      <c r="K575" s="12" t="str">
        <f aca="false">TEXT(B575,"yyyy-mm")</f>
        <v>2026-03</v>
      </c>
      <c r="L575" s="21" t="str">
        <f aca="false">IFERROR(INDEX(Projects!$E$2:$E$500,MATCH(C575,Projects!$A$2:$A$500,0)),"")</f>
        <v>Customer Experience</v>
      </c>
      <c r="M575" s="31" t="n">
        <f aca="false">IF(I575="Yes",H575*INDEX(Resources!$I$2:$I$500,MATCH(E575,Resources!$A$2:$A$500,0)),0)</f>
        <v>12120</v>
      </c>
    </row>
    <row r="576" customFormat="false" ht="15" hidden="false" customHeight="false" outlineLevel="0" collapsed="false">
      <c r="A576" s="18" t="s">
        <v>1607</v>
      </c>
      <c r="B576" s="19" t="n">
        <v>46112</v>
      </c>
      <c r="C576" s="18" t="s">
        <v>233</v>
      </c>
      <c r="D576" s="18" t="s">
        <v>869</v>
      </c>
      <c r="E576" s="18" t="s">
        <v>384</v>
      </c>
      <c r="F576" s="18"/>
      <c r="G576" s="18" t="s">
        <v>1019</v>
      </c>
      <c r="H576" s="30" t="n">
        <v>170.6</v>
      </c>
      <c r="I576" s="18" t="s">
        <v>513</v>
      </c>
      <c r="J576" s="28" t="n">
        <v>11740.69</v>
      </c>
      <c r="K576" s="12" t="str">
        <f aca="false">TEXT(B576,"yyyy-mm")</f>
        <v>2026-03</v>
      </c>
      <c r="L576" s="21" t="str">
        <f aca="false">IFERROR(INDEX(Projects!$E$2:$E$500,MATCH(C576,Projects!$A$2:$A$500,0)),"")</f>
        <v>Customer Experience</v>
      </c>
      <c r="M576" s="31" t="n">
        <f aca="false">IF(I576="Yes",H576*INDEX(Resources!$I$2:$I$500,MATCH(E576,Resources!$A$2:$A$500,0)),0)</f>
        <v>23884</v>
      </c>
    </row>
    <row r="577" customFormat="false" ht="15" hidden="false" customHeight="false" outlineLevel="0" collapsed="false">
      <c r="A577" s="18" t="s">
        <v>1608</v>
      </c>
      <c r="B577" s="19" t="n">
        <v>46112</v>
      </c>
      <c r="C577" s="18" t="s">
        <v>233</v>
      </c>
      <c r="D577" s="18" t="s">
        <v>869</v>
      </c>
      <c r="E577" s="18" t="s">
        <v>398</v>
      </c>
      <c r="F577" s="18"/>
      <c r="G577" s="18" t="s">
        <v>1019</v>
      </c>
      <c r="H577" s="30" t="n">
        <v>159.9</v>
      </c>
      <c r="I577" s="18" t="s">
        <v>513</v>
      </c>
      <c r="J577" s="28" t="n">
        <v>13681.04</v>
      </c>
      <c r="K577" s="12" t="str">
        <f aca="false">TEXT(B577,"yyyy-mm")</f>
        <v>2026-03</v>
      </c>
      <c r="L577" s="21" t="str">
        <f aca="false">IFERROR(INDEX(Projects!$E$2:$E$500,MATCH(C577,Projects!$A$2:$A$500,0)),"")</f>
        <v>Customer Experience</v>
      </c>
      <c r="M577" s="31" t="n">
        <f aca="false">IF(I577="Yes",H577*INDEX(Resources!$I$2:$I$500,MATCH(E577,Resources!$A$2:$A$500,0)),0)</f>
        <v>27183</v>
      </c>
    </row>
    <row r="578" customFormat="false" ht="15" hidden="false" customHeight="false" outlineLevel="0" collapsed="false">
      <c r="A578" s="18" t="s">
        <v>1609</v>
      </c>
      <c r="B578" s="19" t="n">
        <v>46112</v>
      </c>
      <c r="C578" s="18" t="s">
        <v>233</v>
      </c>
      <c r="D578" s="18" t="s">
        <v>869</v>
      </c>
      <c r="E578" s="18" t="s">
        <v>420</v>
      </c>
      <c r="F578" s="18"/>
      <c r="G578" s="18" t="s">
        <v>1019</v>
      </c>
      <c r="H578" s="30" t="n">
        <v>242.8</v>
      </c>
      <c r="I578" s="18" t="s">
        <v>513</v>
      </c>
      <c r="J578" s="28" t="n">
        <v>14451.46</v>
      </c>
      <c r="K578" s="12" t="str">
        <f aca="false">TEXT(B578,"yyyy-mm")</f>
        <v>2026-03</v>
      </c>
      <c r="L578" s="21" t="str">
        <f aca="false">IFERROR(INDEX(Projects!$E$2:$E$500,MATCH(C578,Projects!$A$2:$A$500,0)),"")</f>
        <v>Customer Experience</v>
      </c>
      <c r="M578" s="31" t="n">
        <f aca="false">IF(I578="Yes",H578*INDEX(Resources!$I$2:$I$500,MATCH(E578,Resources!$A$2:$A$500,0)),0)</f>
        <v>29136</v>
      </c>
    </row>
    <row r="579" customFormat="false" ht="15" hidden="false" customHeight="false" outlineLevel="0" collapsed="false">
      <c r="A579" s="18" t="s">
        <v>1610</v>
      </c>
      <c r="B579" s="19" t="n">
        <v>46112</v>
      </c>
      <c r="C579" s="18" t="s">
        <v>233</v>
      </c>
      <c r="D579" s="18" t="s">
        <v>869</v>
      </c>
      <c r="E579" s="18" t="s">
        <v>444</v>
      </c>
      <c r="F579" s="18"/>
      <c r="G579" s="18" t="s">
        <v>1019</v>
      </c>
      <c r="H579" s="30" t="n">
        <v>63.7</v>
      </c>
      <c r="I579" s="18" t="s">
        <v>513</v>
      </c>
      <c r="J579" s="28" t="n">
        <v>3317.5</v>
      </c>
      <c r="K579" s="12" t="str">
        <f aca="false">TEXT(B579,"yyyy-mm")</f>
        <v>2026-03</v>
      </c>
      <c r="L579" s="21" t="str">
        <f aca="false">IFERROR(INDEX(Projects!$E$2:$E$500,MATCH(C579,Projects!$A$2:$A$500,0)),"")</f>
        <v>Customer Experience</v>
      </c>
      <c r="M579" s="31" t="n">
        <f aca="false">IF(I579="Yes",H579*INDEX(Resources!$I$2:$I$500,MATCH(E579,Resources!$A$2:$A$500,0)),0)</f>
        <v>6688.5</v>
      </c>
    </row>
    <row r="580" customFormat="false" ht="15" hidden="false" customHeight="false" outlineLevel="0" collapsed="false">
      <c r="A580" s="18" t="s">
        <v>1611</v>
      </c>
      <c r="B580" s="19" t="n">
        <v>46112</v>
      </c>
      <c r="C580" s="18" t="s">
        <v>233</v>
      </c>
      <c r="D580" s="18" t="s">
        <v>872</v>
      </c>
      <c r="E580" s="18"/>
      <c r="F580" s="18" t="s">
        <v>353</v>
      </c>
      <c r="G580" s="18" t="s">
        <v>1026</v>
      </c>
      <c r="H580" s="30" t="n">
        <v>0</v>
      </c>
      <c r="I580" s="18" t="s">
        <v>527</v>
      </c>
      <c r="J580" s="28" t="n">
        <v>2659.01</v>
      </c>
      <c r="K580" s="12" t="str">
        <f aca="false">TEXT(B580,"yyyy-mm")</f>
        <v>2026-03</v>
      </c>
      <c r="L580" s="21" t="str">
        <f aca="false">IFERROR(INDEX(Projects!$E$2:$E$500,MATCH(C580,Projects!$A$2:$A$500,0)),"")</f>
        <v>Customer Experience</v>
      </c>
      <c r="M580" s="31" t="n">
        <f aca="false">IF(I580="Yes",H580*INDEX(Resources!$I$2:$I$500,MATCH(E580,Resources!$A$2:$A$500,0)),0)</f>
        <v>0</v>
      </c>
    </row>
    <row r="581" customFormat="false" ht="15" hidden="false" customHeight="false" outlineLevel="0" collapsed="false">
      <c r="A581" s="18" t="s">
        <v>1612</v>
      </c>
      <c r="B581" s="19" t="n">
        <v>46112</v>
      </c>
      <c r="C581" s="18" t="s">
        <v>233</v>
      </c>
      <c r="D581" s="18" t="s">
        <v>874</v>
      </c>
      <c r="E581" s="18"/>
      <c r="F581" s="18" t="s">
        <v>1028</v>
      </c>
      <c r="G581" s="18" t="s">
        <v>1026</v>
      </c>
      <c r="H581" s="30" t="n">
        <v>0</v>
      </c>
      <c r="I581" s="18" t="s">
        <v>527</v>
      </c>
      <c r="J581" s="28" t="n">
        <v>3951</v>
      </c>
      <c r="K581" s="12" t="str">
        <f aca="false">TEXT(B581,"yyyy-mm")</f>
        <v>2026-03</v>
      </c>
      <c r="L581" s="21" t="str">
        <f aca="false">IFERROR(INDEX(Projects!$E$2:$E$500,MATCH(C581,Projects!$A$2:$A$500,0)),"")</f>
        <v>Customer Experience</v>
      </c>
      <c r="M581" s="31" t="n">
        <f aca="false">IF(I581="Yes",H581*INDEX(Resources!$I$2:$I$500,MATCH(E581,Resources!$A$2:$A$500,0)),0)</f>
        <v>0</v>
      </c>
    </row>
    <row r="582" customFormat="false" ht="15" hidden="false" customHeight="false" outlineLevel="0" collapsed="false">
      <c r="A582" s="18" t="s">
        <v>1613</v>
      </c>
      <c r="B582" s="19" t="n">
        <v>46112</v>
      </c>
      <c r="C582" s="18" t="s">
        <v>233</v>
      </c>
      <c r="D582" s="18" t="s">
        <v>876</v>
      </c>
      <c r="E582" s="18"/>
      <c r="F582" s="18" t="s">
        <v>1032</v>
      </c>
      <c r="G582" s="18" t="s">
        <v>1033</v>
      </c>
      <c r="H582" s="30" t="n">
        <v>0</v>
      </c>
      <c r="I582" s="18" t="s">
        <v>527</v>
      </c>
      <c r="J582" s="28" t="n">
        <v>727.62</v>
      </c>
      <c r="K582" s="12" t="str">
        <f aca="false">TEXT(B582,"yyyy-mm")</f>
        <v>2026-03</v>
      </c>
      <c r="L582" s="21" t="str">
        <f aca="false">IFERROR(INDEX(Projects!$E$2:$E$500,MATCH(C582,Projects!$A$2:$A$500,0)),"")</f>
        <v>Customer Experience</v>
      </c>
      <c r="M582" s="31" t="n">
        <f aca="false">IF(I582="Yes",H582*INDEX(Resources!$I$2:$I$500,MATCH(E582,Resources!$A$2:$A$500,0)),0)</f>
        <v>0</v>
      </c>
    </row>
    <row r="583" customFormat="false" ht="15" hidden="false" customHeight="false" outlineLevel="0" collapsed="false">
      <c r="A583" s="18" t="s">
        <v>1614</v>
      </c>
      <c r="B583" s="19" t="n">
        <v>46112</v>
      </c>
      <c r="C583" s="18" t="s">
        <v>244</v>
      </c>
      <c r="D583" s="18" t="s">
        <v>889</v>
      </c>
      <c r="E583" s="18"/>
      <c r="F583" s="18" t="s">
        <v>474</v>
      </c>
      <c r="G583" s="18" t="s">
        <v>1026</v>
      </c>
      <c r="H583" s="30" t="n">
        <v>0</v>
      </c>
      <c r="I583" s="18" t="s">
        <v>527</v>
      </c>
      <c r="J583" s="28" t="n">
        <v>4475.92</v>
      </c>
      <c r="K583" s="12" t="str">
        <f aca="false">TEXT(B583,"yyyy-mm")</f>
        <v>2026-03</v>
      </c>
      <c r="L583" s="21" t="str">
        <f aca="false">IFERROR(INDEX(Projects!$E$2:$E$500,MATCH(C583,Projects!$A$2:$A$500,0)),"")</f>
        <v>Cloud &amp; Infrastructure</v>
      </c>
      <c r="M583" s="31" t="n">
        <f aca="false">IF(I583="Yes",H583*INDEX(Resources!$I$2:$I$500,MATCH(E583,Resources!$A$2:$A$500,0)),0)</f>
        <v>0</v>
      </c>
    </row>
    <row r="584" customFormat="false" ht="15" hidden="false" customHeight="false" outlineLevel="0" collapsed="false">
      <c r="A584" s="18" t="s">
        <v>1615</v>
      </c>
      <c r="B584" s="19" t="n">
        <v>46112</v>
      </c>
      <c r="C584" s="18" t="s">
        <v>244</v>
      </c>
      <c r="D584" s="18" t="s">
        <v>882</v>
      </c>
      <c r="E584" s="18"/>
      <c r="F584" s="18" t="s">
        <v>1616</v>
      </c>
      <c r="G584" s="18" t="s">
        <v>1026</v>
      </c>
      <c r="H584" s="30" t="n">
        <v>0</v>
      </c>
      <c r="I584" s="18" t="s">
        <v>527</v>
      </c>
      <c r="J584" s="28" t="n">
        <v>21117.45</v>
      </c>
      <c r="K584" s="12" t="str">
        <f aca="false">TEXT(B584,"yyyy-mm")</f>
        <v>2026-03</v>
      </c>
      <c r="L584" s="21" t="str">
        <f aca="false">IFERROR(INDEX(Projects!$E$2:$E$500,MATCH(C584,Projects!$A$2:$A$500,0)),"")</f>
        <v>Cloud &amp; Infrastructure</v>
      </c>
      <c r="M584" s="31" t="n">
        <f aca="false">IF(I584="Yes",H584*INDEX(Resources!$I$2:$I$500,MATCH(E584,Resources!$A$2:$A$500,0)),0)</f>
        <v>0</v>
      </c>
    </row>
    <row r="585" customFormat="false" ht="15" hidden="false" customHeight="false" outlineLevel="0" collapsed="false">
      <c r="A585" s="18" t="s">
        <v>1617</v>
      </c>
      <c r="B585" s="19" t="n">
        <v>46112</v>
      </c>
      <c r="C585" s="18" t="s">
        <v>244</v>
      </c>
      <c r="D585" s="18" t="s">
        <v>869</v>
      </c>
      <c r="E585" s="18" t="s">
        <v>247</v>
      </c>
      <c r="F585" s="18"/>
      <c r="G585" s="18" t="s">
        <v>1019</v>
      </c>
      <c r="H585" s="30" t="n">
        <v>57.7</v>
      </c>
      <c r="I585" s="18" t="s">
        <v>527</v>
      </c>
      <c r="J585" s="28" t="n">
        <v>5077.6</v>
      </c>
      <c r="K585" s="12" t="str">
        <f aca="false">TEXT(B585,"yyyy-mm")</f>
        <v>2026-03</v>
      </c>
      <c r="L585" s="21" t="str">
        <f aca="false">IFERROR(INDEX(Projects!$E$2:$E$500,MATCH(C585,Projects!$A$2:$A$500,0)),"")</f>
        <v>Cloud &amp; Infrastructure</v>
      </c>
      <c r="M585" s="31" t="n">
        <f aca="false">IF(I585="Yes",H585*INDEX(Resources!$I$2:$I$500,MATCH(E585,Resources!$A$2:$A$500,0)),0)</f>
        <v>0</v>
      </c>
    </row>
    <row r="586" customFormat="false" ht="15" hidden="false" customHeight="false" outlineLevel="0" collapsed="false">
      <c r="A586" s="18" t="s">
        <v>1618</v>
      </c>
      <c r="B586" s="19" t="n">
        <v>46112</v>
      </c>
      <c r="C586" s="18" t="s">
        <v>244</v>
      </c>
      <c r="D586" s="18" t="s">
        <v>869</v>
      </c>
      <c r="E586" s="18" t="s">
        <v>354</v>
      </c>
      <c r="F586" s="18"/>
      <c r="G586" s="18" t="s">
        <v>1019</v>
      </c>
      <c r="H586" s="30" t="n">
        <v>53.7</v>
      </c>
      <c r="I586" s="18" t="s">
        <v>513</v>
      </c>
      <c r="J586" s="28" t="n">
        <v>6976.7</v>
      </c>
      <c r="K586" s="12" t="str">
        <f aca="false">TEXT(B586,"yyyy-mm")</f>
        <v>2026-03</v>
      </c>
      <c r="L586" s="21" t="str">
        <f aca="false">IFERROR(INDEX(Projects!$E$2:$E$500,MATCH(C586,Projects!$A$2:$A$500,0)),"")</f>
        <v>Cloud &amp; Infrastructure</v>
      </c>
      <c r="M586" s="31" t="n">
        <f aca="false">IF(I586="Yes",H586*INDEX(Resources!$I$2:$I$500,MATCH(E586,Resources!$A$2:$A$500,0)),0)</f>
        <v>13962</v>
      </c>
    </row>
    <row r="587" customFormat="false" ht="15" hidden="false" customHeight="false" outlineLevel="0" collapsed="false">
      <c r="A587" s="18" t="s">
        <v>1619</v>
      </c>
      <c r="B587" s="19" t="n">
        <v>46112</v>
      </c>
      <c r="C587" s="18" t="s">
        <v>244</v>
      </c>
      <c r="D587" s="18" t="s">
        <v>869</v>
      </c>
      <c r="E587" s="18" t="s">
        <v>405</v>
      </c>
      <c r="F587" s="18"/>
      <c r="G587" s="18" t="s">
        <v>1019</v>
      </c>
      <c r="H587" s="30" t="n">
        <v>117.4</v>
      </c>
      <c r="I587" s="18" t="s">
        <v>513</v>
      </c>
      <c r="J587" s="28" t="n">
        <v>11664.86</v>
      </c>
      <c r="K587" s="12" t="str">
        <f aca="false">TEXT(B587,"yyyy-mm")</f>
        <v>2026-03</v>
      </c>
      <c r="L587" s="21" t="str">
        <f aca="false">IFERROR(INDEX(Projects!$E$2:$E$500,MATCH(C587,Projects!$A$2:$A$500,0)),"")</f>
        <v>Cloud &amp; Infrastructure</v>
      </c>
      <c r="M587" s="31" t="n">
        <f aca="false">IF(I587="Yes",H587*INDEX(Resources!$I$2:$I$500,MATCH(E587,Resources!$A$2:$A$500,0)),0)</f>
        <v>23480</v>
      </c>
    </row>
    <row r="588" customFormat="false" ht="15" hidden="false" customHeight="false" outlineLevel="0" collapsed="false">
      <c r="A588" s="18" t="s">
        <v>1620</v>
      </c>
      <c r="B588" s="19" t="n">
        <v>46112</v>
      </c>
      <c r="C588" s="18" t="s">
        <v>244</v>
      </c>
      <c r="D588" s="18" t="s">
        <v>869</v>
      </c>
      <c r="E588" s="18" t="s">
        <v>475</v>
      </c>
      <c r="F588" s="18"/>
      <c r="G588" s="18" t="s">
        <v>1019</v>
      </c>
      <c r="H588" s="30" t="n">
        <v>147.6</v>
      </c>
      <c r="I588" s="18" t="s">
        <v>513</v>
      </c>
      <c r="J588" s="28" t="n">
        <v>17343</v>
      </c>
      <c r="K588" s="12" t="str">
        <f aca="false">TEXT(B588,"yyyy-mm")</f>
        <v>2026-03</v>
      </c>
      <c r="L588" s="21" t="str">
        <f aca="false">IFERROR(INDEX(Projects!$E$2:$E$500,MATCH(C588,Projects!$A$2:$A$500,0)),"")</f>
        <v>Cloud &amp; Infrastructure</v>
      </c>
      <c r="M588" s="31" t="n">
        <f aca="false">IF(I588="Yes",H588*INDEX(Resources!$I$2:$I$500,MATCH(E588,Resources!$A$2:$A$500,0)),0)</f>
        <v>28044</v>
      </c>
    </row>
    <row r="589" customFormat="false" ht="15" hidden="false" customHeight="false" outlineLevel="0" collapsed="false">
      <c r="A589" s="18" t="s">
        <v>1621</v>
      </c>
      <c r="B589" s="19" t="n">
        <v>46112</v>
      </c>
      <c r="C589" s="18" t="s">
        <v>244</v>
      </c>
      <c r="D589" s="18" t="s">
        <v>869</v>
      </c>
      <c r="E589" s="18" t="s">
        <v>487</v>
      </c>
      <c r="F589" s="18"/>
      <c r="G589" s="18" t="s">
        <v>1019</v>
      </c>
      <c r="H589" s="30" t="n">
        <v>112.7</v>
      </c>
      <c r="I589" s="18" t="s">
        <v>513</v>
      </c>
      <c r="J589" s="28" t="n">
        <v>9013.75</v>
      </c>
      <c r="K589" s="12" t="str">
        <f aca="false">TEXT(B589,"yyyy-mm")</f>
        <v>2026-03</v>
      </c>
      <c r="L589" s="21" t="str">
        <f aca="false">IFERROR(INDEX(Projects!$E$2:$E$500,MATCH(C589,Projects!$A$2:$A$500,0)),"")</f>
        <v>Cloud &amp; Infrastructure</v>
      </c>
      <c r="M589" s="31" t="n">
        <f aca="false">IF(I589="Yes",H589*INDEX(Resources!$I$2:$I$500,MATCH(E589,Resources!$A$2:$A$500,0)),0)</f>
        <v>18595.5</v>
      </c>
    </row>
    <row r="590" customFormat="false" ht="15" hidden="false" customHeight="false" outlineLevel="0" collapsed="false">
      <c r="A590" s="18" t="s">
        <v>1622</v>
      </c>
      <c r="B590" s="19" t="n">
        <v>46112</v>
      </c>
      <c r="C590" s="18" t="s">
        <v>244</v>
      </c>
      <c r="D590" s="18" t="s">
        <v>872</v>
      </c>
      <c r="E590" s="18"/>
      <c r="F590" s="18" t="s">
        <v>1025</v>
      </c>
      <c r="G590" s="18" t="s">
        <v>1026</v>
      </c>
      <c r="H590" s="30" t="n">
        <v>0</v>
      </c>
      <c r="I590" s="18" t="s">
        <v>527</v>
      </c>
      <c r="J590" s="28" t="n">
        <v>2150.28</v>
      </c>
      <c r="K590" s="12" t="str">
        <f aca="false">TEXT(B590,"yyyy-mm")</f>
        <v>2026-03</v>
      </c>
      <c r="L590" s="21" t="str">
        <f aca="false">IFERROR(INDEX(Projects!$E$2:$E$500,MATCH(C590,Projects!$A$2:$A$500,0)),"")</f>
        <v>Cloud &amp; Infrastructure</v>
      </c>
      <c r="M590" s="31" t="n">
        <f aca="false">IF(I590="Yes",H590*INDEX(Resources!$I$2:$I$500,MATCH(E590,Resources!$A$2:$A$500,0)),0)</f>
        <v>0</v>
      </c>
    </row>
    <row r="591" customFormat="false" ht="15" hidden="false" customHeight="false" outlineLevel="0" collapsed="false">
      <c r="A591" s="18" t="s">
        <v>1623</v>
      </c>
      <c r="B591" s="19" t="n">
        <v>46112</v>
      </c>
      <c r="C591" s="18" t="s">
        <v>244</v>
      </c>
      <c r="D591" s="18" t="s">
        <v>876</v>
      </c>
      <c r="E591" s="18"/>
      <c r="F591" s="18" t="s">
        <v>1032</v>
      </c>
      <c r="G591" s="18" t="s">
        <v>1033</v>
      </c>
      <c r="H591" s="30" t="n">
        <v>0</v>
      </c>
      <c r="I591" s="18" t="s">
        <v>527</v>
      </c>
      <c r="J591" s="28" t="n">
        <v>887.7</v>
      </c>
      <c r="K591" s="12" t="str">
        <f aca="false">TEXT(B591,"yyyy-mm")</f>
        <v>2026-03</v>
      </c>
      <c r="L591" s="21" t="str">
        <f aca="false">IFERROR(INDEX(Projects!$E$2:$E$500,MATCH(C591,Projects!$A$2:$A$500,0)),"")</f>
        <v>Cloud &amp; Infrastructure</v>
      </c>
      <c r="M591" s="31" t="n">
        <f aca="false">IF(I591="Yes",H591*INDEX(Resources!$I$2:$I$500,MATCH(E591,Resources!$A$2:$A$500,0)),0)</f>
        <v>0</v>
      </c>
    </row>
    <row r="592" customFormat="false" ht="15" hidden="false" customHeight="false" outlineLevel="0" collapsed="false">
      <c r="A592" s="18" t="s">
        <v>1624</v>
      </c>
      <c r="B592" s="19" t="n">
        <v>46112</v>
      </c>
      <c r="C592" s="18" t="s">
        <v>253</v>
      </c>
      <c r="D592" s="18" t="s">
        <v>869</v>
      </c>
      <c r="E592" s="18" t="s">
        <v>231</v>
      </c>
      <c r="F592" s="18"/>
      <c r="G592" s="18" t="s">
        <v>1019</v>
      </c>
      <c r="H592" s="30" t="n">
        <v>106.7</v>
      </c>
      <c r="I592" s="18" t="s">
        <v>513</v>
      </c>
      <c r="J592" s="28" t="n">
        <v>10891.94</v>
      </c>
      <c r="K592" s="12" t="str">
        <f aca="false">TEXT(B592,"yyyy-mm")</f>
        <v>2026-03</v>
      </c>
      <c r="L592" s="21" t="str">
        <f aca="false">IFERROR(INDEX(Projects!$E$2:$E$500,MATCH(C592,Projects!$A$2:$A$500,0)),"")</f>
        <v>Customer Experience</v>
      </c>
      <c r="M592" s="31" t="n">
        <f aca="false">IF(I592="Yes",H592*INDEX(Resources!$I$2:$I$500,MATCH(E592,Resources!$A$2:$A$500,0)),0)</f>
        <v>21873.5</v>
      </c>
    </row>
    <row r="593" customFormat="false" ht="15" hidden="false" customHeight="false" outlineLevel="0" collapsed="false">
      <c r="A593" s="18" t="s">
        <v>1625</v>
      </c>
      <c r="B593" s="19" t="n">
        <v>46112</v>
      </c>
      <c r="C593" s="18" t="s">
        <v>253</v>
      </c>
      <c r="D593" s="18" t="s">
        <v>869</v>
      </c>
      <c r="E593" s="18" t="s">
        <v>373</v>
      </c>
      <c r="F593" s="18"/>
      <c r="G593" s="18" t="s">
        <v>1019</v>
      </c>
      <c r="H593" s="30" t="n">
        <v>108.1</v>
      </c>
      <c r="I593" s="18" t="s">
        <v>513</v>
      </c>
      <c r="J593" s="28" t="n">
        <v>7938.86</v>
      </c>
      <c r="K593" s="12" t="str">
        <f aca="false">TEXT(B593,"yyyy-mm")</f>
        <v>2026-03</v>
      </c>
      <c r="L593" s="21" t="str">
        <f aca="false">IFERROR(INDEX(Projects!$E$2:$E$500,MATCH(C593,Projects!$A$2:$A$500,0)),"")</f>
        <v>Customer Experience</v>
      </c>
      <c r="M593" s="31" t="n">
        <f aca="false">IF(I593="Yes",H593*INDEX(Resources!$I$2:$I$500,MATCH(E593,Resources!$A$2:$A$500,0)),0)</f>
        <v>16215</v>
      </c>
    </row>
    <row r="594" customFormat="false" ht="15" hidden="false" customHeight="false" outlineLevel="0" collapsed="false">
      <c r="A594" s="18" t="s">
        <v>1626</v>
      </c>
      <c r="B594" s="19" t="n">
        <v>46112</v>
      </c>
      <c r="C594" s="18" t="s">
        <v>253</v>
      </c>
      <c r="D594" s="18" t="s">
        <v>869</v>
      </c>
      <c r="E594" s="18" t="s">
        <v>387</v>
      </c>
      <c r="F594" s="18"/>
      <c r="G594" s="18" t="s">
        <v>1019</v>
      </c>
      <c r="H594" s="30" t="n">
        <v>104.5</v>
      </c>
      <c r="I594" s="18" t="s">
        <v>513</v>
      </c>
      <c r="J594" s="28" t="n">
        <v>6573.05</v>
      </c>
      <c r="K594" s="12" t="str">
        <f aca="false">TEXT(B594,"yyyy-mm")</f>
        <v>2026-03</v>
      </c>
      <c r="L594" s="21" t="str">
        <f aca="false">IFERROR(INDEX(Projects!$E$2:$E$500,MATCH(C594,Projects!$A$2:$A$500,0)),"")</f>
        <v>Customer Experience</v>
      </c>
      <c r="M594" s="31" t="n">
        <f aca="false">IF(I594="Yes",H594*INDEX(Resources!$I$2:$I$500,MATCH(E594,Resources!$A$2:$A$500,0)),0)</f>
        <v>13585</v>
      </c>
    </row>
    <row r="595" customFormat="false" ht="15" hidden="false" customHeight="false" outlineLevel="0" collapsed="false">
      <c r="A595" s="18" t="s">
        <v>1627</v>
      </c>
      <c r="B595" s="19" t="n">
        <v>46112</v>
      </c>
      <c r="C595" s="18" t="s">
        <v>253</v>
      </c>
      <c r="D595" s="18" t="s">
        <v>869</v>
      </c>
      <c r="E595" s="18" t="s">
        <v>407</v>
      </c>
      <c r="F595" s="18"/>
      <c r="G595" s="18" t="s">
        <v>1019</v>
      </c>
      <c r="H595" s="30" t="n">
        <v>212.3</v>
      </c>
      <c r="I595" s="18" t="s">
        <v>513</v>
      </c>
      <c r="J595" s="28" t="n">
        <v>18164.39</v>
      </c>
      <c r="K595" s="12" t="str">
        <f aca="false">TEXT(B595,"yyyy-mm")</f>
        <v>2026-03</v>
      </c>
      <c r="L595" s="21" t="str">
        <f aca="false">IFERROR(INDEX(Projects!$E$2:$E$500,MATCH(C595,Projects!$A$2:$A$500,0)),"")</f>
        <v>Customer Experience</v>
      </c>
      <c r="M595" s="31" t="n">
        <f aca="false">IF(I595="Yes",H595*INDEX(Resources!$I$2:$I$500,MATCH(E595,Resources!$A$2:$A$500,0)),0)</f>
        <v>36091</v>
      </c>
    </row>
    <row r="596" customFormat="false" ht="15" hidden="false" customHeight="false" outlineLevel="0" collapsed="false">
      <c r="A596" s="18" t="s">
        <v>1628</v>
      </c>
      <c r="B596" s="19" t="n">
        <v>46112</v>
      </c>
      <c r="C596" s="18" t="s">
        <v>253</v>
      </c>
      <c r="D596" s="18" t="s">
        <v>869</v>
      </c>
      <c r="E596" s="18" t="s">
        <v>426</v>
      </c>
      <c r="F596" s="18"/>
      <c r="G596" s="18" t="s">
        <v>1019</v>
      </c>
      <c r="H596" s="30" t="n">
        <v>116.2</v>
      </c>
      <c r="I596" s="18" t="s">
        <v>513</v>
      </c>
      <c r="J596" s="28" t="n">
        <v>8626.69</v>
      </c>
      <c r="K596" s="12" t="str">
        <f aca="false">TEXT(B596,"yyyy-mm")</f>
        <v>2026-03</v>
      </c>
      <c r="L596" s="21" t="str">
        <f aca="false">IFERROR(INDEX(Projects!$E$2:$E$500,MATCH(C596,Projects!$A$2:$A$500,0)),"")</f>
        <v>Customer Experience</v>
      </c>
      <c r="M596" s="31" t="n">
        <f aca="false">IF(I596="Yes",H596*INDEX(Resources!$I$2:$I$500,MATCH(E596,Resources!$A$2:$A$500,0)),0)</f>
        <v>17430</v>
      </c>
    </row>
    <row r="597" customFormat="false" ht="15" hidden="false" customHeight="false" outlineLevel="0" collapsed="false">
      <c r="A597" s="18" t="s">
        <v>1629</v>
      </c>
      <c r="B597" s="19" t="n">
        <v>46112</v>
      </c>
      <c r="C597" s="18" t="s">
        <v>253</v>
      </c>
      <c r="D597" s="18" t="s">
        <v>872</v>
      </c>
      <c r="E597" s="18"/>
      <c r="F597" s="18" t="s">
        <v>1025</v>
      </c>
      <c r="G597" s="18" t="s">
        <v>1026</v>
      </c>
      <c r="H597" s="30" t="n">
        <v>0</v>
      </c>
      <c r="I597" s="18" t="s">
        <v>527</v>
      </c>
      <c r="J597" s="28" t="n">
        <v>3305.66</v>
      </c>
      <c r="K597" s="12" t="str">
        <f aca="false">TEXT(B597,"yyyy-mm")</f>
        <v>2026-03</v>
      </c>
      <c r="L597" s="21" t="str">
        <f aca="false">IFERROR(INDEX(Projects!$E$2:$E$500,MATCH(C597,Projects!$A$2:$A$500,0)),"")</f>
        <v>Customer Experience</v>
      </c>
      <c r="M597" s="31" t="n">
        <f aca="false">IF(I597="Yes",H597*INDEX(Resources!$I$2:$I$500,MATCH(E597,Resources!$A$2:$A$500,0)),0)</f>
        <v>0</v>
      </c>
    </row>
    <row r="598" customFormat="false" ht="15" hidden="false" customHeight="false" outlineLevel="0" collapsed="false">
      <c r="A598" s="18" t="s">
        <v>1630</v>
      </c>
      <c r="B598" s="19" t="n">
        <v>46112</v>
      </c>
      <c r="C598" s="18" t="s">
        <v>253</v>
      </c>
      <c r="D598" s="18" t="s">
        <v>874</v>
      </c>
      <c r="E598" s="18"/>
      <c r="F598" s="18" t="s">
        <v>1224</v>
      </c>
      <c r="G598" s="18" t="s">
        <v>1026</v>
      </c>
      <c r="H598" s="30" t="n">
        <v>0</v>
      </c>
      <c r="I598" s="18" t="s">
        <v>527</v>
      </c>
      <c r="J598" s="28" t="n">
        <v>4002.36</v>
      </c>
      <c r="K598" s="12" t="str">
        <f aca="false">TEXT(B598,"yyyy-mm")</f>
        <v>2026-03</v>
      </c>
      <c r="L598" s="21" t="str">
        <f aca="false">IFERROR(INDEX(Projects!$E$2:$E$500,MATCH(C598,Projects!$A$2:$A$500,0)),"")</f>
        <v>Customer Experience</v>
      </c>
      <c r="M598" s="31" t="n">
        <f aca="false">IF(I598="Yes",H598*INDEX(Resources!$I$2:$I$500,MATCH(E598,Resources!$A$2:$A$500,0)),0)</f>
        <v>0</v>
      </c>
    </row>
    <row r="599" customFormat="false" ht="15" hidden="false" customHeight="false" outlineLevel="0" collapsed="false">
      <c r="A599" s="18" t="s">
        <v>1631</v>
      </c>
      <c r="B599" s="19" t="n">
        <v>46112</v>
      </c>
      <c r="C599" s="18" t="s">
        <v>253</v>
      </c>
      <c r="D599" s="18" t="s">
        <v>876</v>
      </c>
      <c r="E599" s="18"/>
      <c r="F599" s="18" t="s">
        <v>1032</v>
      </c>
      <c r="G599" s="18" t="s">
        <v>1033</v>
      </c>
      <c r="H599" s="30" t="n">
        <v>0</v>
      </c>
      <c r="I599" s="18" t="s">
        <v>527</v>
      </c>
      <c r="J599" s="28" t="n">
        <v>784.58</v>
      </c>
      <c r="K599" s="12" t="str">
        <f aca="false">TEXT(B599,"yyyy-mm")</f>
        <v>2026-03</v>
      </c>
      <c r="L599" s="21" t="str">
        <f aca="false">IFERROR(INDEX(Projects!$E$2:$E$500,MATCH(C599,Projects!$A$2:$A$500,0)),"")</f>
        <v>Customer Experience</v>
      </c>
      <c r="M599" s="31" t="n">
        <f aca="false">IF(I599="Yes",H599*INDEX(Resources!$I$2:$I$500,MATCH(E599,Resources!$A$2:$A$500,0)),0)</f>
        <v>0</v>
      </c>
    </row>
    <row r="600" customFormat="false" ht="15" hidden="false" customHeight="false" outlineLevel="0" collapsed="false">
      <c r="A600" s="18" t="s">
        <v>1632</v>
      </c>
      <c r="B600" s="19" t="n">
        <v>46112</v>
      </c>
      <c r="C600" s="18" t="s">
        <v>257</v>
      </c>
      <c r="D600" s="18" t="s">
        <v>889</v>
      </c>
      <c r="E600" s="18"/>
      <c r="F600" s="18" t="s">
        <v>474</v>
      </c>
      <c r="G600" s="18" t="s">
        <v>1026</v>
      </c>
      <c r="H600" s="30" t="n">
        <v>0</v>
      </c>
      <c r="I600" s="18" t="s">
        <v>527</v>
      </c>
      <c r="J600" s="28" t="n">
        <v>2819.35</v>
      </c>
      <c r="K600" s="12" t="str">
        <f aca="false">TEXT(B600,"yyyy-mm")</f>
        <v>2026-03</v>
      </c>
      <c r="L600" s="21" t="str">
        <f aca="false">IFERROR(INDEX(Projects!$E$2:$E$500,MATCH(C600,Projects!$A$2:$A$500,0)),"")</f>
        <v>Data &amp; AI</v>
      </c>
      <c r="M600" s="31" t="n">
        <f aca="false">IF(I600="Yes",H600*INDEX(Resources!$I$2:$I$500,MATCH(E600,Resources!$A$2:$A$500,0)),0)</f>
        <v>0</v>
      </c>
    </row>
    <row r="601" customFormat="false" ht="15" hidden="false" customHeight="false" outlineLevel="0" collapsed="false">
      <c r="A601" s="18" t="s">
        <v>1633</v>
      </c>
      <c r="B601" s="19" t="n">
        <v>46112</v>
      </c>
      <c r="C601" s="18" t="s">
        <v>257</v>
      </c>
      <c r="D601" s="18" t="s">
        <v>869</v>
      </c>
      <c r="E601" s="18" t="s">
        <v>226</v>
      </c>
      <c r="F601" s="18"/>
      <c r="G601" s="18" t="s">
        <v>1019</v>
      </c>
      <c r="H601" s="30" t="n">
        <v>43.4</v>
      </c>
      <c r="I601" s="18" t="s">
        <v>527</v>
      </c>
      <c r="J601" s="28" t="n">
        <v>3819.2</v>
      </c>
      <c r="K601" s="12" t="str">
        <f aca="false">TEXT(B601,"yyyy-mm")</f>
        <v>2026-03</v>
      </c>
      <c r="L601" s="21" t="str">
        <f aca="false">IFERROR(INDEX(Projects!$E$2:$E$500,MATCH(C601,Projects!$A$2:$A$500,0)),"")</f>
        <v>Data &amp; AI</v>
      </c>
      <c r="M601" s="31" t="n">
        <f aca="false">IF(I601="Yes",H601*INDEX(Resources!$I$2:$I$500,MATCH(E601,Resources!$A$2:$A$500,0)),0)</f>
        <v>0</v>
      </c>
    </row>
    <row r="602" customFormat="false" ht="15" hidden="false" customHeight="false" outlineLevel="0" collapsed="false">
      <c r="A602" s="18" t="s">
        <v>1634</v>
      </c>
      <c r="B602" s="19" t="n">
        <v>46112</v>
      </c>
      <c r="C602" s="18" t="s">
        <v>257</v>
      </c>
      <c r="D602" s="18" t="s">
        <v>869</v>
      </c>
      <c r="E602" s="18" t="s">
        <v>357</v>
      </c>
      <c r="F602" s="18"/>
      <c r="G602" s="18" t="s">
        <v>1019</v>
      </c>
      <c r="H602" s="30" t="n">
        <v>42.6</v>
      </c>
      <c r="I602" s="18" t="s">
        <v>513</v>
      </c>
      <c r="J602" s="28" t="n">
        <v>5152.9</v>
      </c>
      <c r="K602" s="12" t="str">
        <f aca="false">TEXT(B602,"yyyy-mm")</f>
        <v>2026-03</v>
      </c>
      <c r="L602" s="21" t="str">
        <f aca="false">IFERROR(INDEX(Projects!$E$2:$E$500,MATCH(C602,Projects!$A$2:$A$500,0)),"")</f>
        <v>Data &amp; AI</v>
      </c>
      <c r="M602" s="31" t="n">
        <f aca="false">IF(I602="Yes",H602*INDEX(Resources!$I$2:$I$500,MATCH(E602,Resources!$A$2:$A$500,0)),0)</f>
        <v>10437</v>
      </c>
    </row>
    <row r="603" customFormat="false" ht="15" hidden="false" customHeight="false" outlineLevel="0" collapsed="false">
      <c r="A603" s="18" t="s">
        <v>1635</v>
      </c>
      <c r="B603" s="19" t="n">
        <v>46112</v>
      </c>
      <c r="C603" s="18" t="s">
        <v>257</v>
      </c>
      <c r="D603" s="18" t="s">
        <v>869</v>
      </c>
      <c r="E603" s="18" t="s">
        <v>428</v>
      </c>
      <c r="F603" s="18"/>
      <c r="G603" s="18" t="s">
        <v>1019</v>
      </c>
      <c r="H603" s="30" t="n">
        <v>83.9</v>
      </c>
      <c r="I603" s="18" t="s">
        <v>513</v>
      </c>
      <c r="J603" s="28" t="n">
        <v>4564.16</v>
      </c>
      <c r="K603" s="12" t="str">
        <f aca="false">TEXT(B603,"yyyy-mm")</f>
        <v>2026-03</v>
      </c>
      <c r="L603" s="21" t="str">
        <f aca="false">IFERROR(INDEX(Projects!$E$2:$E$500,MATCH(C603,Projects!$A$2:$A$500,0)),"")</f>
        <v>Data &amp; AI</v>
      </c>
      <c r="M603" s="31" t="n">
        <f aca="false">IF(I603="Yes",H603*INDEX(Resources!$I$2:$I$500,MATCH(E603,Resources!$A$2:$A$500,0)),0)</f>
        <v>9229</v>
      </c>
    </row>
    <row r="604" customFormat="false" ht="15" hidden="false" customHeight="false" outlineLevel="0" collapsed="false">
      <c r="A604" s="18" t="s">
        <v>1636</v>
      </c>
      <c r="B604" s="19" t="n">
        <v>46112</v>
      </c>
      <c r="C604" s="18" t="s">
        <v>257</v>
      </c>
      <c r="D604" s="18" t="s">
        <v>869</v>
      </c>
      <c r="E604" s="18" t="s">
        <v>457</v>
      </c>
      <c r="F604" s="18"/>
      <c r="G604" s="18" t="s">
        <v>1019</v>
      </c>
      <c r="H604" s="30" t="n">
        <v>96.3</v>
      </c>
      <c r="I604" s="18" t="s">
        <v>513</v>
      </c>
      <c r="J604" s="28" t="n">
        <v>10053.72</v>
      </c>
      <c r="K604" s="12" t="str">
        <f aca="false">TEXT(B604,"yyyy-mm")</f>
        <v>2026-03</v>
      </c>
      <c r="L604" s="21" t="str">
        <f aca="false">IFERROR(INDEX(Projects!$E$2:$E$500,MATCH(C604,Projects!$A$2:$A$500,0)),"")</f>
        <v>Data &amp; AI</v>
      </c>
      <c r="M604" s="31" t="n">
        <f aca="false">IF(I604="Yes",H604*INDEX(Resources!$I$2:$I$500,MATCH(E604,Resources!$A$2:$A$500,0)),0)</f>
        <v>20223</v>
      </c>
    </row>
    <row r="605" customFormat="false" ht="15" hidden="false" customHeight="false" outlineLevel="0" collapsed="false">
      <c r="A605" s="18" t="s">
        <v>1637</v>
      </c>
      <c r="B605" s="19" t="n">
        <v>46112</v>
      </c>
      <c r="C605" s="18" t="s">
        <v>257</v>
      </c>
      <c r="D605" s="18" t="s">
        <v>872</v>
      </c>
      <c r="E605" s="18"/>
      <c r="F605" s="18" t="s">
        <v>1059</v>
      </c>
      <c r="G605" s="18" t="s">
        <v>1026</v>
      </c>
      <c r="H605" s="30" t="n">
        <v>0</v>
      </c>
      <c r="I605" s="18" t="s">
        <v>527</v>
      </c>
      <c r="J605" s="28" t="n">
        <v>2467.4</v>
      </c>
      <c r="K605" s="12" t="str">
        <f aca="false">TEXT(B605,"yyyy-mm")</f>
        <v>2026-03</v>
      </c>
      <c r="L605" s="21" t="str">
        <f aca="false">IFERROR(INDEX(Projects!$E$2:$E$500,MATCH(C605,Projects!$A$2:$A$500,0)),"")</f>
        <v>Data &amp; AI</v>
      </c>
      <c r="M605" s="31" t="n">
        <f aca="false">IF(I605="Yes",H605*INDEX(Resources!$I$2:$I$500,MATCH(E605,Resources!$A$2:$A$500,0)),0)</f>
        <v>0</v>
      </c>
    </row>
    <row r="606" customFormat="false" ht="15" hidden="false" customHeight="false" outlineLevel="0" collapsed="false">
      <c r="A606" s="18" t="s">
        <v>1638</v>
      </c>
      <c r="B606" s="19" t="n">
        <v>46112</v>
      </c>
      <c r="C606" s="18" t="s">
        <v>257</v>
      </c>
      <c r="D606" s="18" t="s">
        <v>876</v>
      </c>
      <c r="E606" s="18"/>
      <c r="F606" s="18" t="s">
        <v>1071</v>
      </c>
      <c r="G606" s="18" t="s">
        <v>1033</v>
      </c>
      <c r="H606" s="30" t="n">
        <v>0</v>
      </c>
      <c r="I606" s="18" t="s">
        <v>527</v>
      </c>
      <c r="J606" s="28" t="n">
        <v>513.5</v>
      </c>
      <c r="K606" s="12" t="str">
        <f aca="false">TEXT(B606,"yyyy-mm")</f>
        <v>2026-03</v>
      </c>
      <c r="L606" s="21" t="str">
        <f aca="false">IFERROR(INDEX(Projects!$E$2:$E$500,MATCH(C606,Projects!$A$2:$A$500,0)),"")</f>
        <v>Data &amp; AI</v>
      </c>
      <c r="M606" s="31" t="n">
        <f aca="false">IF(I606="Yes",H606*INDEX(Resources!$I$2:$I$500,MATCH(E606,Resources!$A$2:$A$500,0)),0)</f>
        <v>0</v>
      </c>
    </row>
    <row r="607" customFormat="false" ht="15" hidden="false" customHeight="false" outlineLevel="0" collapsed="false">
      <c r="A607" s="18" t="s">
        <v>1639</v>
      </c>
      <c r="B607" s="19" t="n">
        <v>46112</v>
      </c>
      <c r="C607" s="18" t="s">
        <v>265</v>
      </c>
      <c r="D607" s="18" t="s">
        <v>869</v>
      </c>
      <c r="E607" s="18" t="s">
        <v>211</v>
      </c>
      <c r="F607" s="18"/>
      <c r="G607" s="18" t="s">
        <v>1019</v>
      </c>
      <c r="H607" s="30" t="n">
        <v>112.6</v>
      </c>
      <c r="I607" s="18" t="s">
        <v>513</v>
      </c>
      <c r="J607" s="28" t="n">
        <v>11494.21</v>
      </c>
      <c r="K607" s="12" t="str">
        <f aca="false">TEXT(B607,"yyyy-mm")</f>
        <v>2026-03</v>
      </c>
      <c r="L607" s="21" t="str">
        <f aca="false">IFERROR(INDEX(Projects!$E$2:$E$500,MATCH(C607,Projects!$A$2:$A$500,0)),"")</f>
        <v>Digital Transformation</v>
      </c>
      <c r="M607" s="31" t="n">
        <f aca="false">IF(I607="Yes",H607*INDEX(Resources!$I$2:$I$500,MATCH(E607,Resources!$A$2:$A$500,0)),0)</f>
        <v>23083</v>
      </c>
    </row>
    <row r="608" customFormat="false" ht="15" hidden="false" customHeight="false" outlineLevel="0" collapsed="false">
      <c r="A608" s="18" t="s">
        <v>1640</v>
      </c>
      <c r="B608" s="19" t="n">
        <v>46112</v>
      </c>
      <c r="C608" s="18" t="s">
        <v>265</v>
      </c>
      <c r="D608" s="18" t="s">
        <v>869</v>
      </c>
      <c r="E608" s="18" t="s">
        <v>360</v>
      </c>
      <c r="F608" s="18"/>
      <c r="G608" s="18" t="s">
        <v>1019</v>
      </c>
      <c r="H608" s="30" t="n">
        <v>105.2</v>
      </c>
      <c r="I608" s="18" t="s">
        <v>513</v>
      </c>
      <c r="J608" s="28" t="n">
        <v>10957.63</v>
      </c>
      <c r="K608" s="12" t="str">
        <f aca="false">TEXT(B608,"yyyy-mm")</f>
        <v>2026-03</v>
      </c>
      <c r="L608" s="21" t="str">
        <f aca="false">IFERROR(INDEX(Projects!$E$2:$E$500,MATCH(C608,Projects!$A$2:$A$500,0)),"")</f>
        <v>Digital Transformation</v>
      </c>
      <c r="M608" s="31" t="n">
        <f aca="false">IF(I608="Yes",H608*INDEX(Resources!$I$2:$I$500,MATCH(E608,Resources!$A$2:$A$500,0)),0)</f>
        <v>22092</v>
      </c>
    </row>
    <row r="609" customFormat="false" ht="15" hidden="false" customHeight="false" outlineLevel="0" collapsed="false">
      <c r="A609" s="18" t="s">
        <v>1641</v>
      </c>
      <c r="B609" s="19" t="n">
        <v>46112</v>
      </c>
      <c r="C609" s="18" t="s">
        <v>265</v>
      </c>
      <c r="D609" s="18" t="s">
        <v>869</v>
      </c>
      <c r="E609" s="18" t="s">
        <v>375</v>
      </c>
      <c r="F609" s="18"/>
      <c r="G609" s="18" t="s">
        <v>1019</v>
      </c>
      <c r="H609" s="30" t="n">
        <v>166.8</v>
      </c>
      <c r="I609" s="18" t="s">
        <v>513</v>
      </c>
      <c r="J609" s="28" t="n">
        <v>12051.3</v>
      </c>
      <c r="K609" s="12" t="str">
        <f aca="false">TEXT(B609,"yyyy-mm")</f>
        <v>2026-03</v>
      </c>
      <c r="L609" s="21" t="str">
        <f aca="false">IFERROR(INDEX(Projects!$E$2:$E$500,MATCH(C609,Projects!$A$2:$A$500,0)),"")</f>
        <v>Digital Transformation</v>
      </c>
      <c r="M609" s="31" t="n">
        <f aca="false">IF(I609="Yes",H609*INDEX(Resources!$I$2:$I$500,MATCH(E609,Resources!$A$2:$A$500,0)),0)</f>
        <v>20016</v>
      </c>
    </row>
    <row r="610" customFormat="false" ht="15" hidden="false" customHeight="false" outlineLevel="0" collapsed="false">
      <c r="A610" s="18" t="s">
        <v>1642</v>
      </c>
      <c r="B610" s="19" t="n">
        <v>46112</v>
      </c>
      <c r="C610" s="18" t="s">
        <v>265</v>
      </c>
      <c r="D610" s="18" t="s">
        <v>869</v>
      </c>
      <c r="E610" s="18" t="s">
        <v>403</v>
      </c>
      <c r="F610" s="18"/>
      <c r="G610" s="18" t="s">
        <v>1019</v>
      </c>
      <c r="H610" s="30" t="n">
        <v>181.8</v>
      </c>
      <c r="I610" s="18" t="s">
        <v>513</v>
      </c>
      <c r="J610" s="28" t="n">
        <v>15554.81</v>
      </c>
      <c r="K610" s="12" t="str">
        <f aca="false">TEXT(B610,"yyyy-mm")</f>
        <v>2026-03</v>
      </c>
      <c r="L610" s="21" t="str">
        <f aca="false">IFERROR(INDEX(Projects!$E$2:$E$500,MATCH(C610,Projects!$A$2:$A$500,0)),"")</f>
        <v>Digital Transformation</v>
      </c>
      <c r="M610" s="31" t="n">
        <f aca="false">IF(I610="Yes",H610*INDEX(Resources!$I$2:$I$500,MATCH(E610,Resources!$A$2:$A$500,0)),0)</f>
        <v>30906</v>
      </c>
    </row>
    <row r="611" customFormat="false" ht="15" hidden="false" customHeight="false" outlineLevel="0" collapsed="false">
      <c r="A611" s="18" t="s">
        <v>1643</v>
      </c>
      <c r="B611" s="19" t="n">
        <v>46112</v>
      </c>
      <c r="C611" s="18" t="s">
        <v>265</v>
      </c>
      <c r="D611" s="18" t="s">
        <v>869</v>
      </c>
      <c r="E611" s="18" t="s">
        <v>432</v>
      </c>
      <c r="F611" s="18"/>
      <c r="G611" s="18" t="s">
        <v>1019</v>
      </c>
      <c r="H611" s="30" t="n">
        <v>102.5</v>
      </c>
      <c r="I611" s="18" t="s">
        <v>513</v>
      </c>
      <c r="J611" s="28" t="n">
        <v>6560</v>
      </c>
      <c r="K611" s="12" t="str">
        <f aca="false">TEXT(B611,"yyyy-mm")</f>
        <v>2026-03</v>
      </c>
      <c r="L611" s="21" t="str">
        <f aca="false">IFERROR(INDEX(Projects!$E$2:$E$500,MATCH(C611,Projects!$A$2:$A$500,0)),"")</f>
        <v>Digital Transformation</v>
      </c>
      <c r="M611" s="31" t="n">
        <f aca="false">IF(I611="Yes",H611*INDEX(Resources!$I$2:$I$500,MATCH(E611,Resources!$A$2:$A$500,0)),0)</f>
        <v>13325</v>
      </c>
    </row>
    <row r="612" customFormat="false" ht="15" hidden="false" customHeight="false" outlineLevel="0" collapsed="false">
      <c r="A612" s="18" t="s">
        <v>1644</v>
      </c>
      <c r="B612" s="19" t="n">
        <v>46112</v>
      </c>
      <c r="C612" s="18" t="s">
        <v>265</v>
      </c>
      <c r="D612" s="18" t="s">
        <v>869</v>
      </c>
      <c r="E612" s="18" t="s">
        <v>448</v>
      </c>
      <c r="F612" s="18"/>
      <c r="G612" s="18" t="s">
        <v>1019</v>
      </c>
      <c r="H612" s="30" t="n">
        <v>119.6</v>
      </c>
      <c r="I612" s="18" t="s">
        <v>513</v>
      </c>
      <c r="J612" s="28" t="n">
        <v>7769.22</v>
      </c>
      <c r="K612" s="12" t="str">
        <f aca="false">TEXT(B612,"yyyy-mm")</f>
        <v>2026-03</v>
      </c>
      <c r="L612" s="21" t="str">
        <f aca="false">IFERROR(INDEX(Projects!$E$2:$E$500,MATCH(C612,Projects!$A$2:$A$500,0)),"")</f>
        <v>Digital Transformation</v>
      </c>
      <c r="M612" s="31" t="n">
        <f aca="false">IF(I612="Yes",H612*INDEX(Resources!$I$2:$I$500,MATCH(E612,Resources!$A$2:$A$500,0)),0)</f>
        <v>16146</v>
      </c>
    </row>
    <row r="613" customFormat="false" ht="15" hidden="false" customHeight="false" outlineLevel="0" collapsed="false">
      <c r="A613" s="18" t="s">
        <v>1645</v>
      </c>
      <c r="B613" s="19" t="n">
        <v>46112</v>
      </c>
      <c r="C613" s="18" t="s">
        <v>265</v>
      </c>
      <c r="D613" s="18" t="s">
        <v>869</v>
      </c>
      <c r="E613" s="18" t="s">
        <v>496</v>
      </c>
      <c r="F613" s="18"/>
      <c r="G613" s="18" t="s">
        <v>1019</v>
      </c>
      <c r="H613" s="30" t="n">
        <v>48</v>
      </c>
      <c r="I613" s="18" t="s">
        <v>513</v>
      </c>
      <c r="J613" s="28" t="n">
        <v>3732.48</v>
      </c>
      <c r="K613" s="12" t="str">
        <f aca="false">TEXT(B613,"yyyy-mm")</f>
        <v>2026-03</v>
      </c>
      <c r="L613" s="21" t="str">
        <f aca="false">IFERROR(INDEX(Projects!$E$2:$E$500,MATCH(C613,Projects!$A$2:$A$500,0)),"")</f>
        <v>Digital Transformation</v>
      </c>
      <c r="M613" s="31" t="n">
        <f aca="false">IF(I613="Yes",H613*INDEX(Resources!$I$2:$I$500,MATCH(E613,Resources!$A$2:$A$500,0)),0)</f>
        <v>7680</v>
      </c>
    </row>
    <row r="614" customFormat="false" ht="15" hidden="false" customHeight="false" outlineLevel="0" collapsed="false">
      <c r="A614" s="18" t="s">
        <v>1646</v>
      </c>
      <c r="B614" s="19" t="n">
        <v>46112</v>
      </c>
      <c r="C614" s="18" t="s">
        <v>265</v>
      </c>
      <c r="D614" s="18" t="s">
        <v>872</v>
      </c>
      <c r="E614" s="18"/>
      <c r="F614" s="18" t="s">
        <v>353</v>
      </c>
      <c r="G614" s="18" t="s">
        <v>1026</v>
      </c>
      <c r="H614" s="30" t="n">
        <v>0</v>
      </c>
      <c r="I614" s="18" t="s">
        <v>527</v>
      </c>
      <c r="J614" s="28" t="n">
        <v>4501.83</v>
      </c>
      <c r="K614" s="12" t="str">
        <f aca="false">TEXT(B614,"yyyy-mm")</f>
        <v>2026-03</v>
      </c>
      <c r="L614" s="21" t="str">
        <f aca="false">IFERROR(INDEX(Projects!$E$2:$E$500,MATCH(C614,Projects!$A$2:$A$500,0)),"")</f>
        <v>Digital Transformation</v>
      </c>
      <c r="M614" s="31" t="n">
        <f aca="false">IF(I614="Yes",H614*INDEX(Resources!$I$2:$I$500,MATCH(E614,Resources!$A$2:$A$500,0)),0)</f>
        <v>0</v>
      </c>
    </row>
    <row r="615" customFormat="false" ht="15" hidden="false" customHeight="false" outlineLevel="0" collapsed="false">
      <c r="A615" s="18" t="s">
        <v>1647</v>
      </c>
      <c r="B615" s="19" t="n">
        <v>46112</v>
      </c>
      <c r="C615" s="18" t="s">
        <v>265</v>
      </c>
      <c r="D615" s="18" t="s">
        <v>874</v>
      </c>
      <c r="E615" s="18"/>
      <c r="F615" s="18" t="s">
        <v>1028</v>
      </c>
      <c r="G615" s="18" t="s">
        <v>1026</v>
      </c>
      <c r="H615" s="30" t="n">
        <v>0</v>
      </c>
      <c r="I615" s="18" t="s">
        <v>527</v>
      </c>
      <c r="J615" s="28" t="n">
        <v>5896.36</v>
      </c>
      <c r="K615" s="12" t="str">
        <f aca="false">TEXT(B615,"yyyy-mm")</f>
        <v>2026-03</v>
      </c>
      <c r="L615" s="21" t="str">
        <f aca="false">IFERROR(INDEX(Projects!$E$2:$E$500,MATCH(C615,Projects!$A$2:$A$500,0)),"")</f>
        <v>Digital Transformation</v>
      </c>
      <c r="M615" s="31" t="n">
        <f aca="false">IF(I615="Yes",H615*INDEX(Resources!$I$2:$I$500,MATCH(E615,Resources!$A$2:$A$500,0)),0)</f>
        <v>0</v>
      </c>
    </row>
    <row r="616" customFormat="false" ht="15" hidden="false" customHeight="false" outlineLevel="0" collapsed="false">
      <c r="A616" s="18" t="s">
        <v>1648</v>
      </c>
      <c r="B616" s="19" t="n">
        <v>46112</v>
      </c>
      <c r="C616" s="18" t="s">
        <v>265</v>
      </c>
      <c r="D616" s="18" t="s">
        <v>495</v>
      </c>
      <c r="E616" s="18"/>
      <c r="F616" s="18" t="s">
        <v>1030</v>
      </c>
      <c r="G616" s="18" t="s">
        <v>1026</v>
      </c>
      <c r="H616" s="30" t="n">
        <v>0</v>
      </c>
      <c r="I616" s="18" t="s">
        <v>527</v>
      </c>
      <c r="J616" s="28" t="n">
        <v>1348.47</v>
      </c>
      <c r="K616" s="12" t="str">
        <f aca="false">TEXT(B616,"yyyy-mm")</f>
        <v>2026-03</v>
      </c>
      <c r="L616" s="21" t="str">
        <f aca="false">IFERROR(INDEX(Projects!$E$2:$E$500,MATCH(C616,Projects!$A$2:$A$500,0)),"")</f>
        <v>Digital Transformation</v>
      </c>
      <c r="M616" s="31" t="n">
        <f aca="false">IF(I616="Yes",H616*INDEX(Resources!$I$2:$I$500,MATCH(E616,Resources!$A$2:$A$500,0)),0)</f>
        <v>0</v>
      </c>
    </row>
    <row r="617" customFormat="false" ht="15" hidden="false" customHeight="false" outlineLevel="0" collapsed="false">
      <c r="A617" s="18" t="s">
        <v>1649</v>
      </c>
      <c r="B617" s="19" t="n">
        <v>46112</v>
      </c>
      <c r="C617" s="18" t="s">
        <v>265</v>
      </c>
      <c r="D617" s="18" t="s">
        <v>876</v>
      </c>
      <c r="E617" s="18"/>
      <c r="F617" s="18" t="s">
        <v>1071</v>
      </c>
      <c r="G617" s="18" t="s">
        <v>1033</v>
      </c>
      <c r="H617" s="30" t="n">
        <v>0</v>
      </c>
      <c r="I617" s="18" t="s">
        <v>527</v>
      </c>
      <c r="J617" s="28" t="n">
        <v>961.62</v>
      </c>
      <c r="K617" s="12" t="str">
        <f aca="false">TEXT(B617,"yyyy-mm")</f>
        <v>2026-03</v>
      </c>
      <c r="L617" s="21" t="str">
        <f aca="false">IFERROR(INDEX(Projects!$E$2:$E$500,MATCH(C617,Projects!$A$2:$A$500,0)),"")</f>
        <v>Digital Transformation</v>
      </c>
      <c r="M617" s="31" t="n">
        <f aca="false">IF(I617="Yes",H617*INDEX(Resources!$I$2:$I$500,MATCH(E617,Resources!$A$2:$A$500,0)),0)</f>
        <v>0</v>
      </c>
    </row>
    <row r="618" customFormat="false" ht="15" hidden="false" customHeight="false" outlineLevel="0" collapsed="false">
      <c r="A618" s="18" t="s">
        <v>1650</v>
      </c>
      <c r="B618" s="19" t="n">
        <v>46112</v>
      </c>
      <c r="C618" s="18" t="s">
        <v>267</v>
      </c>
      <c r="D618" s="18" t="s">
        <v>889</v>
      </c>
      <c r="E618" s="18"/>
      <c r="F618" s="18" t="s">
        <v>1035</v>
      </c>
      <c r="G618" s="18" t="s">
        <v>1026</v>
      </c>
      <c r="H618" s="30" t="n">
        <v>0</v>
      </c>
      <c r="I618" s="18" t="s">
        <v>527</v>
      </c>
      <c r="J618" s="28" t="n">
        <v>4391.12</v>
      </c>
      <c r="K618" s="12" t="str">
        <f aca="false">TEXT(B618,"yyyy-mm")</f>
        <v>2026-03</v>
      </c>
      <c r="L618" s="21" t="str">
        <f aca="false">IFERROR(INDEX(Projects!$E$2:$E$500,MATCH(C618,Projects!$A$2:$A$500,0)),"")</f>
        <v>Cloud &amp; Infrastructure</v>
      </c>
      <c r="M618" s="31" t="n">
        <f aca="false">IF(I618="Yes",H618*INDEX(Resources!$I$2:$I$500,MATCH(E618,Resources!$A$2:$A$500,0)),0)</f>
        <v>0</v>
      </c>
    </row>
    <row r="619" customFormat="false" ht="15" hidden="false" customHeight="false" outlineLevel="0" collapsed="false">
      <c r="A619" s="18" t="s">
        <v>1651</v>
      </c>
      <c r="B619" s="19" t="n">
        <v>46112</v>
      </c>
      <c r="C619" s="18" t="s">
        <v>267</v>
      </c>
      <c r="D619" s="18" t="s">
        <v>869</v>
      </c>
      <c r="E619" s="18" t="s">
        <v>242</v>
      </c>
      <c r="F619" s="18"/>
      <c r="G619" s="18" t="s">
        <v>1019</v>
      </c>
      <c r="H619" s="30" t="n">
        <v>42.8</v>
      </c>
      <c r="I619" s="18" t="s">
        <v>513</v>
      </c>
      <c r="J619" s="28" t="n">
        <v>4067.71</v>
      </c>
      <c r="K619" s="12" t="str">
        <f aca="false">TEXT(B619,"yyyy-mm")</f>
        <v>2026-03</v>
      </c>
      <c r="L619" s="21" t="str">
        <f aca="false">IFERROR(INDEX(Projects!$E$2:$E$500,MATCH(C619,Projects!$A$2:$A$500,0)),"")</f>
        <v>Cloud &amp; Infrastructure</v>
      </c>
      <c r="M619" s="31" t="n">
        <f aca="false">IF(I619="Yes",H619*INDEX(Resources!$I$2:$I$500,MATCH(E619,Resources!$A$2:$A$500,0)),0)</f>
        <v>8132</v>
      </c>
    </row>
    <row r="620" customFormat="false" ht="15" hidden="false" customHeight="false" outlineLevel="0" collapsed="false">
      <c r="A620" s="18" t="s">
        <v>1652</v>
      </c>
      <c r="B620" s="19" t="n">
        <v>46112</v>
      </c>
      <c r="C620" s="18" t="s">
        <v>267</v>
      </c>
      <c r="D620" s="18" t="s">
        <v>869</v>
      </c>
      <c r="E620" s="18" t="s">
        <v>348</v>
      </c>
      <c r="F620" s="18"/>
      <c r="G620" s="18" t="s">
        <v>1019</v>
      </c>
      <c r="H620" s="30" t="n">
        <v>43</v>
      </c>
      <c r="I620" s="18" t="s">
        <v>513</v>
      </c>
      <c r="J620" s="28" t="n">
        <v>5586.56</v>
      </c>
      <c r="K620" s="12" t="str">
        <f aca="false">TEXT(B620,"yyyy-mm")</f>
        <v>2026-03</v>
      </c>
      <c r="L620" s="21" t="str">
        <f aca="false">IFERROR(INDEX(Projects!$E$2:$E$500,MATCH(C620,Projects!$A$2:$A$500,0)),"")</f>
        <v>Cloud &amp; Infrastructure</v>
      </c>
      <c r="M620" s="31" t="n">
        <f aca="false">IF(I620="Yes",H620*INDEX(Resources!$I$2:$I$500,MATCH(E620,Resources!$A$2:$A$500,0)),0)</f>
        <v>11180</v>
      </c>
    </row>
    <row r="621" customFormat="false" ht="15" hidden="false" customHeight="false" outlineLevel="0" collapsed="false">
      <c r="A621" s="18" t="s">
        <v>1653</v>
      </c>
      <c r="B621" s="19" t="n">
        <v>46112</v>
      </c>
      <c r="C621" s="18" t="s">
        <v>267</v>
      </c>
      <c r="D621" s="18" t="s">
        <v>869</v>
      </c>
      <c r="E621" s="18" t="s">
        <v>405</v>
      </c>
      <c r="F621" s="18"/>
      <c r="G621" s="18" t="s">
        <v>1019</v>
      </c>
      <c r="H621" s="30" t="n">
        <v>89.5</v>
      </c>
      <c r="I621" s="18" t="s">
        <v>513</v>
      </c>
      <c r="J621" s="28" t="n">
        <v>8892.72</v>
      </c>
      <c r="K621" s="12" t="str">
        <f aca="false">TEXT(B621,"yyyy-mm")</f>
        <v>2026-03</v>
      </c>
      <c r="L621" s="21" t="str">
        <f aca="false">IFERROR(INDEX(Projects!$E$2:$E$500,MATCH(C621,Projects!$A$2:$A$500,0)),"")</f>
        <v>Cloud &amp; Infrastructure</v>
      </c>
      <c r="M621" s="31" t="n">
        <f aca="false">IF(I621="Yes",H621*INDEX(Resources!$I$2:$I$500,MATCH(E621,Resources!$A$2:$A$500,0)),0)</f>
        <v>17900</v>
      </c>
    </row>
    <row r="622" customFormat="false" ht="15" hidden="false" customHeight="false" outlineLevel="0" collapsed="false">
      <c r="A622" s="18" t="s">
        <v>1654</v>
      </c>
      <c r="B622" s="19" t="n">
        <v>46112</v>
      </c>
      <c r="C622" s="18" t="s">
        <v>267</v>
      </c>
      <c r="D622" s="18" t="s">
        <v>869</v>
      </c>
      <c r="E622" s="18" t="s">
        <v>477</v>
      </c>
      <c r="F622" s="18"/>
      <c r="G622" s="18" t="s">
        <v>1019</v>
      </c>
      <c r="H622" s="30" t="n">
        <v>129</v>
      </c>
      <c r="I622" s="18" t="s">
        <v>513</v>
      </c>
      <c r="J622" s="28" t="n">
        <v>14066.16</v>
      </c>
      <c r="K622" s="12" t="str">
        <f aca="false">TEXT(B622,"yyyy-mm")</f>
        <v>2026-03</v>
      </c>
      <c r="L622" s="21" t="str">
        <f aca="false">IFERROR(INDEX(Projects!$E$2:$E$500,MATCH(C622,Projects!$A$2:$A$500,0)),"")</f>
        <v>Cloud &amp; Infrastructure</v>
      </c>
      <c r="M622" s="31" t="n">
        <f aca="false">IF(I622="Yes",H622*INDEX(Resources!$I$2:$I$500,MATCH(E622,Resources!$A$2:$A$500,0)),0)</f>
        <v>28380</v>
      </c>
    </row>
    <row r="623" customFormat="false" ht="15" hidden="false" customHeight="false" outlineLevel="0" collapsed="false">
      <c r="A623" s="18" t="s">
        <v>1655</v>
      </c>
      <c r="B623" s="19" t="n">
        <v>46112</v>
      </c>
      <c r="C623" s="18" t="s">
        <v>267</v>
      </c>
      <c r="D623" s="18" t="s">
        <v>869</v>
      </c>
      <c r="E623" s="18" t="s">
        <v>489</v>
      </c>
      <c r="F623" s="18"/>
      <c r="G623" s="18" t="s">
        <v>1019</v>
      </c>
      <c r="H623" s="30" t="n">
        <v>87.6</v>
      </c>
      <c r="I623" s="18" t="s">
        <v>513</v>
      </c>
      <c r="J623" s="28" t="n">
        <v>7533.6</v>
      </c>
      <c r="K623" s="12" t="str">
        <f aca="false">TEXT(B623,"yyyy-mm")</f>
        <v>2026-03</v>
      </c>
      <c r="L623" s="21" t="str">
        <f aca="false">IFERROR(INDEX(Projects!$E$2:$E$500,MATCH(C623,Projects!$A$2:$A$500,0)),"")</f>
        <v>Cloud &amp; Infrastructure</v>
      </c>
      <c r="M623" s="31" t="n">
        <f aca="false">IF(I623="Yes",H623*INDEX(Resources!$I$2:$I$500,MATCH(E623,Resources!$A$2:$A$500,0)),0)</f>
        <v>15330</v>
      </c>
    </row>
    <row r="624" customFormat="false" ht="15" hidden="false" customHeight="false" outlineLevel="0" collapsed="false">
      <c r="A624" s="18" t="s">
        <v>1656</v>
      </c>
      <c r="B624" s="19" t="n">
        <v>46112</v>
      </c>
      <c r="C624" s="18" t="s">
        <v>267</v>
      </c>
      <c r="D624" s="18" t="s">
        <v>872</v>
      </c>
      <c r="E624" s="18"/>
      <c r="F624" s="18" t="s">
        <v>1059</v>
      </c>
      <c r="G624" s="18" t="s">
        <v>1026</v>
      </c>
      <c r="H624" s="30" t="n">
        <v>0</v>
      </c>
      <c r="I624" s="18" t="s">
        <v>527</v>
      </c>
      <c r="J624" s="28" t="n">
        <v>1893.39</v>
      </c>
      <c r="K624" s="12" t="str">
        <f aca="false">TEXT(B624,"yyyy-mm")</f>
        <v>2026-03</v>
      </c>
      <c r="L624" s="21" t="str">
        <f aca="false">IFERROR(INDEX(Projects!$E$2:$E$500,MATCH(C624,Projects!$A$2:$A$500,0)),"")</f>
        <v>Cloud &amp; Infrastructure</v>
      </c>
      <c r="M624" s="31" t="n">
        <f aca="false">IF(I624="Yes",H624*INDEX(Resources!$I$2:$I$500,MATCH(E624,Resources!$A$2:$A$500,0)),0)</f>
        <v>0</v>
      </c>
    </row>
    <row r="625" customFormat="false" ht="15" hidden="false" customHeight="false" outlineLevel="0" collapsed="false">
      <c r="A625" s="18" t="s">
        <v>1657</v>
      </c>
      <c r="B625" s="19" t="n">
        <v>46112</v>
      </c>
      <c r="C625" s="18" t="s">
        <v>267</v>
      </c>
      <c r="D625" s="18" t="s">
        <v>876</v>
      </c>
      <c r="E625" s="18"/>
      <c r="F625" s="18" t="s">
        <v>1071</v>
      </c>
      <c r="G625" s="18" t="s">
        <v>1033</v>
      </c>
      <c r="H625" s="30" t="n">
        <v>0</v>
      </c>
      <c r="I625" s="18" t="s">
        <v>527</v>
      </c>
      <c r="J625" s="28" t="n">
        <v>791.42</v>
      </c>
      <c r="K625" s="12" t="str">
        <f aca="false">TEXT(B625,"yyyy-mm")</f>
        <v>2026-03</v>
      </c>
      <c r="L625" s="21" t="str">
        <f aca="false">IFERROR(INDEX(Projects!$E$2:$E$500,MATCH(C625,Projects!$A$2:$A$500,0)),"")</f>
        <v>Cloud &amp; Infrastructure</v>
      </c>
      <c r="M625" s="31" t="n">
        <f aca="false">IF(I625="Yes",H625*INDEX(Resources!$I$2:$I$500,MATCH(E625,Resources!$A$2:$A$500,0)),0)</f>
        <v>0</v>
      </c>
    </row>
    <row r="626" customFormat="false" ht="15" hidden="false" customHeight="false" outlineLevel="0" collapsed="false">
      <c r="A626" s="18" t="s">
        <v>1658</v>
      </c>
      <c r="B626" s="19" t="n">
        <v>46112</v>
      </c>
      <c r="C626" s="18" t="s">
        <v>270</v>
      </c>
      <c r="D626" s="18" t="s">
        <v>869</v>
      </c>
      <c r="E626" s="18" t="s">
        <v>237</v>
      </c>
      <c r="F626" s="18"/>
      <c r="G626" s="18" t="s">
        <v>1019</v>
      </c>
      <c r="H626" s="30" t="n">
        <v>55</v>
      </c>
      <c r="I626" s="18" t="s">
        <v>513</v>
      </c>
      <c r="J626" s="28" t="n">
        <v>4114</v>
      </c>
      <c r="K626" s="12" t="str">
        <f aca="false">TEXT(B626,"yyyy-mm")</f>
        <v>2026-03</v>
      </c>
      <c r="L626" s="21" t="str">
        <f aca="false">IFERROR(INDEX(Projects!$E$2:$E$500,MATCH(C626,Projects!$A$2:$A$500,0)),"")</f>
        <v>Digital Transformation</v>
      </c>
      <c r="M626" s="31" t="n">
        <f aca="false">IF(I626="Yes",H626*INDEX(Resources!$I$2:$I$500,MATCH(E626,Resources!$A$2:$A$500,0)),0)</f>
        <v>8250</v>
      </c>
    </row>
    <row r="627" customFormat="false" ht="15" hidden="false" customHeight="false" outlineLevel="0" collapsed="false">
      <c r="A627" s="18" t="s">
        <v>1659</v>
      </c>
      <c r="B627" s="19" t="n">
        <v>46112</v>
      </c>
      <c r="C627" s="18" t="s">
        <v>270</v>
      </c>
      <c r="D627" s="18" t="s">
        <v>869</v>
      </c>
      <c r="E627" s="18" t="s">
        <v>357</v>
      </c>
      <c r="F627" s="18"/>
      <c r="G627" s="18" t="s">
        <v>1019</v>
      </c>
      <c r="H627" s="30" t="n">
        <v>28.1</v>
      </c>
      <c r="I627" s="18" t="s">
        <v>513</v>
      </c>
      <c r="J627" s="28" t="n">
        <v>3398.98</v>
      </c>
      <c r="K627" s="12" t="str">
        <f aca="false">TEXT(B627,"yyyy-mm")</f>
        <v>2026-03</v>
      </c>
      <c r="L627" s="21" t="str">
        <f aca="false">IFERROR(INDEX(Projects!$E$2:$E$500,MATCH(C627,Projects!$A$2:$A$500,0)),"")</f>
        <v>Digital Transformation</v>
      </c>
      <c r="M627" s="31" t="n">
        <f aca="false">IF(I627="Yes",H627*INDEX(Resources!$I$2:$I$500,MATCH(E627,Resources!$A$2:$A$500,0)),0)</f>
        <v>6884.5</v>
      </c>
    </row>
    <row r="628" customFormat="false" ht="15" hidden="false" customHeight="false" outlineLevel="0" collapsed="false">
      <c r="A628" s="18" t="s">
        <v>1660</v>
      </c>
      <c r="B628" s="19" t="n">
        <v>46112</v>
      </c>
      <c r="C628" s="18" t="s">
        <v>270</v>
      </c>
      <c r="D628" s="18" t="s">
        <v>869</v>
      </c>
      <c r="E628" s="18" t="s">
        <v>363</v>
      </c>
      <c r="F628" s="18"/>
      <c r="G628" s="18" t="s">
        <v>1019</v>
      </c>
      <c r="H628" s="30" t="n">
        <v>62.6</v>
      </c>
      <c r="I628" s="18" t="s">
        <v>513</v>
      </c>
      <c r="J628" s="28" t="n">
        <v>4937.89</v>
      </c>
      <c r="K628" s="12" t="str">
        <f aca="false">TEXT(B628,"yyyy-mm")</f>
        <v>2026-03</v>
      </c>
      <c r="L628" s="21" t="str">
        <f aca="false">IFERROR(INDEX(Projects!$E$2:$E$500,MATCH(C628,Projects!$A$2:$A$500,0)),"")</f>
        <v>Digital Transformation</v>
      </c>
      <c r="M628" s="31" t="n">
        <f aca="false">IF(I628="Yes",H628*INDEX(Resources!$I$2:$I$500,MATCH(E628,Resources!$A$2:$A$500,0)),0)</f>
        <v>10016</v>
      </c>
    </row>
    <row r="629" customFormat="false" ht="15" hidden="false" customHeight="false" outlineLevel="0" collapsed="false">
      <c r="A629" s="18" t="s">
        <v>1661</v>
      </c>
      <c r="B629" s="19" t="n">
        <v>46112</v>
      </c>
      <c r="C629" s="18" t="s">
        <v>270</v>
      </c>
      <c r="D629" s="18" t="s">
        <v>869</v>
      </c>
      <c r="E629" s="18" t="s">
        <v>393</v>
      </c>
      <c r="F629" s="18"/>
      <c r="G629" s="18" t="s">
        <v>1019</v>
      </c>
      <c r="H629" s="30" t="n">
        <v>85.2</v>
      </c>
      <c r="I629" s="18" t="s">
        <v>513</v>
      </c>
      <c r="J629" s="28" t="n">
        <v>8465.47</v>
      </c>
      <c r="K629" s="12" t="str">
        <f aca="false">TEXT(B629,"yyyy-mm")</f>
        <v>2026-03</v>
      </c>
      <c r="L629" s="21" t="str">
        <f aca="false">IFERROR(INDEX(Projects!$E$2:$E$500,MATCH(C629,Projects!$A$2:$A$500,0)),"")</f>
        <v>Digital Transformation</v>
      </c>
      <c r="M629" s="31" t="n">
        <f aca="false">IF(I629="Yes",H629*INDEX(Resources!$I$2:$I$500,MATCH(E629,Resources!$A$2:$A$500,0)),0)</f>
        <v>17040</v>
      </c>
    </row>
    <row r="630" customFormat="false" ht="15" hidden="false" customHeight="false" outlineLevel="0" collapsed="false">
      <c r="A630" s="18" t="s">
        <v>1662</v>
      </c>
      <c r="B630" s="19" t="n">
        <v>46112</v>
      </c>
      <c r="C630" s="18" t="s">
        <v>270</v>
      </c>
      <c r="D630" s="18" t="s">
        <v>869</v>
      </c>
      <c r="E630" s="18" t="s">
        <v>430</v>
      </c>
      <c r="F630" s="18"/>
      <c r="G630" s="18" t="s">
        <v>1019</v>
      </c>
      <c r="H630" s="30" t="n">
        <v>88</v>
      </c>
      <c r="I630" s="18" t="s">
        <v>513</v>
      </c>
      <c r="J630" s="28" t="n">
        <v>5632</v>
      </c>
      <c r="K630" s="12" t="str">
        <f aca="false">TEXT(B630,"yyyy-mm")</f>
        <v>2026-03</v>
      </c>
      <c r="L630" s="21" t="str">
        <f aca="false">IFERROR(INDEX(Projects!$E$2:$E$500,MATCH(C630,Projects!$A$2:$A$500,0)),"")</f>
        <v>Digital Transformation</v>
      </c>
      <c r="M630" s="31" t="n">
        <f aca="false">IF(I630="Yes",H630*INDEX(Resources!$I$2:$I$500,MATCH(E630,Resources!$A$2:$A$500,0)),0)</f>
        <v>11440</v>
      </c>
    </row>
    <row r="631" customFormat="false" ht="15" hidden="false" customHeight="false" outlineLevel="0" collapsed="false">
      <c r="A631" s="18" t="s">
        <v>1663</v>
      </c>
      <c r="B631" s="19" t="n">
        <v>46112</v>
      </c>
      <c r="C631" s="18" t="s">
        <v>270</v>
      </c>
      <c r="D631" s="18" t="s">
        <v>872</v>
      </c>
      <c r="E631" s="18"/>
      <c r="F631" s="18" t="s">
        <v>1025</v>
      </c>
      <c r="G631" s="18" t="s">
        <v>1026</v>
      </c>
      <c r="H631" s="30" t="n">
        <v>0</v>
      </c>
      <c r="I631" s="18" t="s">
        <v>527</v>
      </c>
      <c r="J631" s="28" t="n">
        <v>3932.39</v>
      </c>
      <c r="K631" s="12" t="str">
        <f aca="false">TEXT(B631,"yyyy-mm")</f>
        <v>2026-03</v>
      </c>
      <c r="L631" s="21" t="str">
        <f aca="false">IFERROR(INDEX(Projects!$E$2:$E$500,MATCH(C631,Projects!$A$2:$A$500,0)),"")</f>
        <v>Digital Transformation</v>
      </c>
      <c r="M631" s="31" t="n">
        <f aca="false">IF(I631="Yes",H631*INDEX(Resources!$I$2:$I$500,MATCH(E631,Resources!$A$2:$A$500,0)),0)</f>
        <v>0</v>
      </c>
    </row>
    <row r="632" customFormat="false" ht="15" hidden="false" customHeight="false" outlineLevel="0" collapsed="false">
      <c r="A632" s="18" t="s">
        <v>1664</v>
      </c>
      <c r="B632" s="19" t="n">
        <v>46112</v>
      </c>
      <c r="C632" s="18" t="s">
        <v>270</v>
      </c>
      <c r="D632" s="18" t="s">
        <v>874</v>
      </c>
      <c r="E632" s="18"/>
      <c r="F632" s="18" t="s">
        <v>1028</v>
      </c>
      <c r="G632" s="18" t="s">
        <v>1026</v>
      </c>
      <c r="H632" s="30" t="n">
        <v>0</v>
      </c>
      <c r="I632" s="18" t="s">
        <v>527</v>
      </c>
      <c r="J632" s="28" t="n">
        <v>5041.17</v>
      </c>
      <c r="K632" s="12" t="str">
        <f aca="false">TEXT(B632,"yyyy-mm")</f>
        <v>2026-03</v>
      </c>
      <c r="L632" s="21" t="str">
        <f aca="false">IFERROR(INDEX(Projects!$E$2:$E$500,MATCH(C632,Projects!$A$2:$A$500,0)),"")</f>
        <v>Digital Transformation</v>
      </c>
      <c r="M632" s="31" t="n">
        <f aca="false">IF(I632="Yes",H632*INDEX(Resources!$I$2:$I$500,MATCH(E632,Resources!$A$2:$A$500,0)),0)</f>
        <v>0</v>
      </c>
    </row>
    <row r="633" customFormat="false" ht="15" hidden="false" customHeight="false" outlineLevel="0" collapsed="false">
      <c r="A633" s="18" t="s">
        <v>1665</v>
      </c>
      <c r="B633" s="19" t="n">
        <v>46112</v>
      </c>
      <c r="C633" s="18" t="s">
        <v>270</v>
      </c>
      <c r="D633" s="18" t="s">
        <v>495</v>
      </c>
      <c r="E633" s="18"/>
      <c r="F633" s="18" t="s">
        <v>1373</v>
      </c>
      <c r="G633" s="18" t="s">
        <v>1026</v>
      </c>
      <c r="H633" s="30" t="n">
        <v>0</v>
      </c>
      <c r="I633" s="18" t="s">
        <v>527</v>
      </c>
      <c r="J633" s="28" t="n">
        <v>1348.85</v>
      </c>
      <c r="K633" s="12" t="str">
        <f aca="false">TEXT(B633,"yyyy-mm")</f>
        <v>2026-03</v>
      </c>
      <c r="L633" s="21" t="str">
        <f aca="false">IFERROR(INDEX(Projects!$E$2:$E$500,MATCH(C633,Projects!$A$2:$A$500,0)),"")</f>
        <v>Digital Transformation</v>
      </c>
      <c r="M633" s="31" t="n">
        <f aca="false">IF(I633="Yes",H633*INDEX(Resources!$I$2:$I$500,MATCH(E633,Resources!$A$2:$A$500,0)),0)</f>
        <v>0</v>
      </c>
    </row>
    <row r="634" customFormat="false" ht="15" hidden="false" customHeight="false" outlineLevel="0" collapsed="false">
      <c r="A634" s="18" t="s">
        <v>1666</v>
      </c>
      <c r="B634" s="19" t="n">
        <v>46112</v>
      </c>
      <c r="C634" s="18" t="s">
        <v>270</v>
      </c>
      <c r="D634" s="18" t="s">
        <v>876</v>
      </c>
      <c r="E634" s="18"/>
      <c r="F634" s="18" t="s">
        <v>1032</v>
      </c>
      <c r="G634" s="18" t="s">
        <v>1033</v>
      </c>
      <c r="H634" s="30" t="n">
        <v>0</v>
      </c>
      <c r="I634" s="18" t="s">
        <v>527</v>
      </c>
      <c r="J634" s="28" t="n">
        <v>964</v>
      </c>
      <c r="K634" s="12" t="str">
        <f aca="false">TEXT(B634,"yyyy-mm")</f>
        <v>2026-03</v>
      </c>
      <c r="L634" s="21" t="str">
        <f aca="false">IFERROR(INDEX(Projects!$E$2:$E$500,MATCH(C634,Projects!$A$2:$A$500,0)),"")</f>
        <v>Digital Transformation</v>
      </c>
      <c r="M634" s="31" t="n">
        <f aca="false">IF(I634="Yes",H634*INDEX(Resources!$I$2:$I$500,MATCH(E634,Resources!$A$2:$A$500,0)),0)</f>
        <v>0</v>
      </c>
    </row>
    <row r="635" customFormat="false" ht="15" hidden="false" customHeight="false" outlineLevel="0" collapsed="false">
      <c r="A635" s="18" t="s">
        <v>1667</v>
      </c>
      <c r="B635" s="19" t="n">
        <v>46112</v>
      </c>
      <c r="C635" s="18" t="s">
        <v>275</v>
      </c>
      <c r="D635" s="18" t="s">
        <v>869</v>
      </c>
      <c r="E635" s="18" t="s">
        <v>218</v>
      </c>
      <c r="F635" s="18"/>
      <c r="G635" s="18" t="s">
        <v>1019</v>
      </c>
      <c r="H635" s="30" t="n">
        <v>120.6</v>
      </c>
      <c r="I635" s="18" t="s">
        <v>513</v>
      </c>
      <c r="J635" s="28" t="n">
        <v>9020.88</v>
      </c>
      <c r="K635" s="12" t="str">
        <f aca="false">TEXT(B635,"yyyy-mm")</f>
        <v>2026-03</v>
      </c>
      <c r="L635" s="21" t="str">
        <f aca="false">IFERROR(INDEX(Projects!$E$2:$E$500,MATCH(C635,Projects!$A$2:$A$500,0)),"")</f>
        <v>Customer Experience</v>
      </c>
      <c r="M635" s="31" t="n">
        <f aca="false">IF(I635="Yes",H635*INDEX(Resources!$I$2:$I$500,MATCH(E635,Resources!$A$2:$A$500,0)),0)</f>
        <v>18090</v>
      </c>
    </row>
    <row r="636" customFormat="false" ht="15" hidden="false" customHeight="false" outlineLevel="0" collapsed="false">
      <c r="A636" s="18" t="s">
        <v>1668</v>
      </c>
      <c r="B636" s="19" t="n">
        <v>46112</v>
      </c>
      <c r="C636" s="18" t="s">
        <v>275</v>
      </c>
      <c r="D636" s="18" t="s">
        <v>869</v>
      </c>
      <c r="E636" s="18" t="s">
        <v>371</v>
      </c>
      <c r="F636" s="18"/>
      <c r="G636" s="18" t="s">
        <v>1019</v>
      </c>
      <c r="H636" s="30" t="n">
        <v>133.7</v>
      </c>
      <c r="I636" s="18" t="s">
        <v>513</v>
      </c>
      <c r="J636" s="28" t="n">
        <v>8455.19</v>
      </c>
      <c r="K636" s="12" t="str">
        <f aca="false">TEXT(B636,"yyyy-mm")</f>
        <v>2026-03</v>
      </c>
      <c r="L636" s="21" t="str">
        <f aca="false">IFERROR(INDEX(Projects!$E$2:$E$500,MATCH(C636,Projects!$A$2:$A$500,0)),"")</f>
        <v>Customer Experience</v>
      </c>
      <c r="M636" s="31" t="n">
        <f aca="false">IF(I636="Yes",H636*INDEX(Resources!$I$2:$I$500,MATCH(E636,Resources!$A$2:$A$500,0)),0)</f>
        <v>17381</v>
      </c>
    </row>
    <row r="637" customFormat="false" ht="15" hidden="false" customHeight="false" outlineLevel="0" collapsed="false">
      <c r="A637" s="18" t="s">
        <v>1669</v>
      </c>
      <c r="B637" s="19" t="n">
        <v>46112</v>
      </c>
      <c r="C637" s="18" t="s">
        <v>275</v>
      </c>
      <c r="D637" s="18" t="s">
        <v>869</v>
      </c>
      <c r="E637" s="18" t="s">
        <v>387</v>
      </c>
      <c r="F637" s="18"/>
      <c r="G637" s="18" t="s">
        <v>1019</v>
      </c>
      <c r="H637" s="30" t="n">
        <v>127.3</v>
      </c>
      <c r="I637" s="18" t="s">
        <v>513</v>
      </c>
      <c r="J637" s="28" t="n">
        <v>8007.17</v>
      </c>
      <c r="K637" s="12" t="str">
        <f aca="false">TEXT(B637,"yyyy-mm")</f>
        <v>2026-03</v>
      </c>
      <c r="L637" s="21" t="str">
        <f aca="false">IFERROR(INDEX(Projects!$E$2:$E$500,MATCH(C637,Projects!$A$2:$A$500,0)),"")</f>
        <v>Customer Experience</v>
      </c>
      <c r="M637" s="31" t="n">
        <f aca="false">IF(I637="Yes",H637*INDEX(Resources!$I$2:$I$500,MATCH(E637,Resources!$A$2:$A$500,0)),0)</f>
        <v>16549</v>
      </c>
    </row>
    <row r="638" customFormat="false" ht="15" hidden="false" customHeight="false" outlineLevel="0" collapsed="false">
      <c r="A638" s="18" t="s">
        <v>1670</v>
      </c>
      <c r="B638" s="19" t="n">
        <v>46112</v>
      </c>
      <c r="C638" s="18" t="s">
        <v>275</v>
      </c>
      <c r="D638" s="18" t="s">
        <v>869</v>
      </c>
      <c r="E638" s="18" t="s">
        <v>400</v>
      </c>
      <c r="F638" s="18"/>
      <c r="G638" s="18" t="s">
        <v>1019</v>
      </c>
      <c r="H638" s="30" t="n">
        <v>137</v>
      </c>
      <c r="I638" s="18" t="s">
        <v>513</v>
      </c>
      <c r="J638" s="28" t="n">
        <v>13612.32</v>
      </c>
      <c r="K638" s="12" t="str">
        <f aca="false">TEXT(B638,"yyyy-mm")</f>
        <v>2026-03</v>
      </c>
      <c r="L638" s="21" t="str">
        <f aca="false">IFERROR(INDEX(Projects!$E$2:$E$500,MATCH(C638,Projects!$A$2:$A$500,0)),"")</f>
        <v>Customer Experience</v>
      </c>
      <c r="M638" s="31" t="n">
        <f aca="false">IF(I638="Yes",H638*INDEX(Resources!$I$2:$I$500,MATCH(E638,Resources!$A$2:$A$500,0)),0)</f>
        <v>27400</v>
      </c>
    </row>
    <row r="639" customFormat="false" ht="15" hidden="false" customHeight="false" outlineLevel="0" collapsed="false">
      <c r="A639" s="18" t="s">
        <v>1671</v>
      </c>
      <c r="B639" s="19" t="n">
        <v>46112</v>
      </c>
      <c r="C639" s="18" t="s">
        <v>275</v>
      </c>
      <c r="D639" s="18" t="s">
        <v>869</v>
      </c>
      <c r="E639" s="18" t="s">
        <v>422</v>
      </c>
      <c r="F639" s="18"/>
      <c r="G639" s="18" t="s">
        <v>1019</v>
      </c>
      <c r="H639" s="30" t="n">
        <v>127.5</v>
      </c>
      <c r="I639" s="18" t="s">
        <v>513</v>
      </c>
      <c r="J639" s="28" t="n">
        <v>7588.8</v>
      </c>
      <c r="K639" s="12" t="str">
        <f aca="false">TEXT(B639,"yyyy-mm")</f>
        <v>2026-03</v>
      </c>
      <c r="L639" s="21" t="str">
        <f aca="false">IFERROR(INDEX(Projects!$E$2:$E$500,MATCH(C639,Projects!$A$2:$A$500,0)),"")</f>
        <v>Customer Experience</v>
      </c>
      <c r="M639" s="31" t="n">
        <f aca="false">IF(I639="Yes",H639*INDEX(Resources!$I$2:$I$500,MATCH(E639,Resources!$A$2:$A$500,0)),0)</f>
        <v>15300</v>
      </c>
    </row>
    <row r="640" customFormat="false" ht="15" hidden="false" customHeight="false" outlineLevel="0" collapsed="false">
      <c r="A640" s="18" t="s">
        <v>1672</v>
      </c>
      <c r="B640" s="19" t="n">
        <v>46112</v>
      </c>
      <c r="C640" s="18" t="s">
        <v>275</v>
      </c>
      <c r="D640" s="18" t="s">
        <v>872</v>
      </c>
      <c r="E640" s="18"/>
      <c r="F640" s="18" t="s">
        <v>353</v>
      </c>
      <c r="G640" s="18" t="s">
        <v>1026</v>
      </c>
      <c r="H640" s="30" t="n">
        <v>0</v>
      </c>
      <c r="I640" s="18" t="s">
        <v>527</v>
      </c>
      <c r="J640" s="28" t="n">
        <v>2222.97</v>
      </c>
      <c r="K640" s="12" t="str">
        <f aca="false">TEXT(B640,"yyyy-mm")</f>
        <v>2026-03</v>
      </c>
      <c r="L640" s="21" t="str">
        <f aca="false">IFERROR(INDEX(Projects!$E$2:$E$500,MATCH(C640,Projects!$A$2:$A$500,0)),"")</f>
        <v>Customer Experience</v>
      </c>
      <c r="M640" s="31" t="n">
        <f aca="false">IF(I640="Yes",H640*INDEX(Resources!$I$2:$I$500,MATCH(E640,Resources!$A$2:$A$500,0)),0)</f>
        <v>0</v>
      </c>
    </row>
    <row r="641" customFormat="false" ht="15" hidden="false" customHeight="false" outlineLevel="0" collapsed="false">
      <c r="A641" s="18" t="s">
        <v>1673</v>
      </c>
      <c r="B641" s="19" t="n">
        <v>46112</v>
      </c>
      <c r="C641" s="18" t="s">
        <v>275</v>
      </c>
      <c r="D641" s="18" t="s">
        <v>874</v>
      </c>
      <c r="E641" s="18"/>
      <c r="F641" s="18" t="s">
        <v>1028</v>
      </c>
      <c r="G641" s="18" t="s">
        <v>1026</v>
      </c>
      <c r="H641" s="30" t="n">
        <v>0</v>
      </c>
      <c r="I641" s="18" t="s">
        <v>527</v>
      </c>
      <c r="J641" s="28" t="n">
        <v>2926.97</v>
      </c>
      <c r="K641" s="12" t="str">
        <f aca="false">TEXT(B641,"yyyy-mm")</f>
        <v>2026-03</v>
      </c>
      <c r="L641" s="21" t="str">
        <f aca="false">IFERROR(INDEX(Projects!$E$2:$E$500,MATCH(C641,Projects!$A$2:$A$500,0)),"")</f>
        <v>Customer Experience</v>
      </c>
      <c r="M641" s="31" t="n">
        <f aca="false">IF(I641="Yes",H641*INDEX(Resources!$I$2:$I$500,MATCH(E641,Resources!$A$2:$A$500,0)),0)</f>
        <v>0</v>
      </c>
    </row>
    <row r="642" customFormat="false" ht="15" hidden="false" customHeight="false" outlineLevel="0" collapsed="false">
      <c r="A642" s="18" t="s">
        <v>1674</v>
      </c>
      <c r="B642" s="19" t="n">
        <v>46112</v>
      </c>
      <c r="C642" s="18" t="s">
        <v>275</v>
      </c>
      <c r="D642" s="18" t="s">
        <v>876</v>
      </c>
      <c r="E642" s="18"/>
      <c r="F642" s="18" t="s">
        <v>1032</v>
      </c>
      <c r="G642" s="18" t="s">
        <v>1033</v>
      </c>
      <c r="H642" s="30" t="n">
        <v>0</v>
      </c>
      <c r="I642" s="18" t="s">
        <v>527</v>
      </c>
      <c r="J642" s="28" t="n">
        <v>647.25</v>
      </c>
      <c r="K642" s="12" t="str">
        <f aca="false">TEXT(B642,"yyyy-mm")</f>
        <v>2026-03</v>
      </c>
      <c r="L642" s="21" t="str">
        <f aca="false">IFERROR(INDEX(Projects!$E$2:$E$500,MATCH(C642,Projects!$A$2:$A$500,0)),"")</f>
        <v>Customer Experience</v>
      </c>
      <c r="M642" s="31" t="n">
        <f aca="false">IF(I642="Yes",H642*INDEX(Resources!$I$2:$I$500,MATCH(E642,Resources!$A$2:$A$500,0)),0)</f>
        <v>0</v>
      </c>
    </row>
    <row r="643" customFormat="false" ht="15" hidden="false" customHeight="false" outlineLevel="0" collapsed="false">
      <c r="A643" s="18" t="s">
        <v>1675</v>
      </c>
      <c r="B643" s="19" t="n">
        <v>46112</v>
      </c>
      <c r="C643" s="18" t="s">
        <v>281</v>
      </c>
      <c r="D643" s="18" t="s">
        <v>869</v>
      </c>
      <c r="E643" s="18" t="s">
        <v>247</v>
      </c>
      <c r="F643" s="18"/>
      <c r="G643" s="18" t="s">
        <v>1019</v>
      </c>
      <c r="H643" s="30" t="n">
        <v>104.8</v>
      </c>
      <c r="I643" s="18" t="s">
        <v>513</v>
      </c>
      <c r="J643" s="28" t="n">
        <v>9222.4</v>
      </c>
      <c r="K643" s="12" t="str">
        <f aca="false">TEXT(B643,"yyyy-mm")</f>
        <v>2026-03</v>
      </c>
      <c r="L643" s="21" t="str">
        <f aca="false">IFERROR(INDEX(Projects!$E$2:$E$500,MATCH(C643,Projects!$A$2:$A$500,0)),"")</f>
        <v>Digital Transformation</v>
      </c>
      <c r="M643" s="31" t="n">
        <f aca="false">IF(I643="Yes",H643*INDEX(Resources!$I$2:$I$500,MATCH(E643,Resources!$A$2:$A$500,0)),0)</f>
        <v>18340</v>
      </c>
    </row>
    <row r="644" customFormat="false" ht="15" hidden="false" customHeight="false" outlineLevel="0" collapsed="false">
      <c r="A644" s="18" t="s">
        <v>1676</v>
      </c>
      <c r="B644" s="19" t="n">
        <v>46112</v>
      </c>
      <c r="C644" s="18" t="s">
        <v>281</v>
      </c>
      <c r="D644" s="18" t="s">
        <v>869</v>
      </c>
      <c r="E644" s="18" t="s">
        <v>371</v>
      </c>
      <c r="F644" s="18"/>
      <c r="G644" s="18" t="s">
        <v>1019</v>
      </c>
      <c r="H644" s="30" t="n">
        <v>136.6</v>
      </c>
      <c r="I644" s="18" t="s">
        <v>513</v>
      </c>
      <c r="J644" s="28" t="n">
        <v>8638.58</v>
      </c>
      <c r="K644" s="12" t="str">
        <f aca="false">TEXT(B644,"yyyy-mm")</f>
        <v>2026-03</v>
      </c>
      <c r="L644" s="21" t="str">
        <f aca="false">IFERROR(INDEX(Projects!$E$2:$E$500,MATCH(C644,Projects!$A$2:$A$500,0)),"")</f>
        <v>Digital Transformation</v>
      </c>
      <c r="M644" s="31" t="n">
        <f aca="false">IF(I644="Yes",H644*INDEX(Resources!$I$2:$I$500,MATCH(E644,Resources!$A$2:$A$500,0)),0)</f>
        <v>17758</v>
      </c>
    </row>
    <row r="645" customFormat="false" ht="15" hidden="false" customHeight="false" outlineLevel="0" collapsed="false">
      <c r="A645" s="18" t="s">
        <v>1677</v>
      </c>
      <c r="B645" s="19" t="n">
        <v>46112</v>
      </c>
      <c r="C645" s="18" t="s">
        <v>281</v>
      </c>
      <c r="D645" s="18" t="s">
        <v>869</v>
      </c>
      <c r="E645" s="18" t="s">
        <v>395</v>
      </c>
      <c r="F645" s="18"/>
      <c r="G645" s="18" t="s">
        <v>1019</v>
      </c>
      <c r="H645" s="30" t="n">
        <v>151.2</v>
      </c>
      <c r="I645" s="18" t="s">
        <v>513</v>
      </c>
      <c r="J645" s="28" t="n">
        <v>16170.84</v>
      </c>
      <c r="K645" s="12" t="str">
        <f aca="false">TEXT(B645,"yyyy-mm")</f>
        <v>2026-03</v>
      </c>
      <c r="L645" s="21" t="str">
        <f aca="false">IFERROR(INDEX(Projects!$E$2:$E$500,MATCH(C645,Projects!$A$2:$A$500,0)),"")</f>
        <v>Digital Transformation</v>
      </c>
      <c r="M645" s="31" t="n">
        <f aca="false">IF(I645="Yes",H645*INDEX(Resources!$I$2:$I$500,MATCH(E645,Resources!$A$2:$A$500,0)),0)</f>
        <v>25704</v>
      </c>
    </row>
    <row r="646" customFormat="false" ht="15" hidden="false" customHeight="false" outlineLevel="0" collapsed="false">
      <c r="A646" s="18" t="s">
        <v>1678</v>
      </c>
      <c r="B646" s="19" t="n">
        <v>46112</v>
      </c>
      <c r="C646" s="18" t="s">
        <v>281</v>
      </c>
      <c r="D646" s="18" t="s">
        <v>869</v>
      </c>
      <c r="E646" s="18" t="s">
        <v>417</v>
      </c>
      <c r="F646" s="18"/>
      <c r="G646" s="18" t="s">
        <v>1019</v>
      </c>
      <c r="H646" s="30" t="n">
        <v>167.6</v>
      </c>
      <c r="I646" s="18" t="s">
        <v>513</v>
      </c>
      <c r="J646" s="28" t="n">
        <v>9117.44</v>
      </c>
      <c r="K646" s="12" t="str">
        <f aca="false">TEXT(B646,"yyyy-mm")</f>
        <v>2026-03</v>
      </c>
      <c r="L646" s="21" t="str">
        <f aca="false">IFERROR(INDEX(Projects!$E$2:$E$500,MATCH(C646,Projects!$A$2:$A$500,0)),"")</f>
        <v>Digital Transformation</v>
      </c>
      <c r="M646" s="31" t="n">
        <f aca="false">IF(I646="Yes",H646*INDEX(Resources!$I$2:$I$500,MATCH(E646,Resources!$A$2:$A$500,0)),0)</f>
        <v>18436</v>
      </c>
    </row>
    <row r="647" customFormat="false" ht="15" hidden="false" customHeight="false" outlineLevel="0" collapsed="false">
      <c r="A647" s="18" t="s">
        <v>1679</v>
      </c>
      <c r="B647" s="19" t="n">
        <v>46112</v>
      </c>
      <c r="C647" s="18" t="s">
        <v>281</v>
      </c>
      <c r="D647" s="18" t="s">
        <v>869</v>
      </c>
      <c r="E647" s="18" t="s">
        <v>434</v>
      </c>
      <c r="F647" s="18"/>
      <c r="G647" s="18" t="s">
        <v>1019</v>
      </c>
      <c r="H647" s="30" t="n">
        <v>102.3</v>
      </c>
      <c r="I647" s="18" t="s">
        <v>513</v>
      </c>
      <c r="J647" s="28" t="n">
        <v>6645.41</v>
      </c>
      <c r="K647" s="12" t="str">
        <f aca="false">TEXT(B647,"yyyy-mm")</f>
        <v>2026-03</v>
      </c>
      <c r="L647" s="21" t="str">
        <f aca="false">IFERROR(INDEX(Projects!$E$2:$E$500,MATCH(C647,Projects!$A$2:$A$500,0)),"")</f>
        <v>Digital Transformation</v>
      </c>
      <c r="M647" s="31" t="n">
        <f aca="false">IF(I647="Yes",H647*INDEX(Resources!$I$2:$I$500,MATCH(E647,Resources!$A$2:$A$500,0)),0)</f>
        <v>13810.5</v>
      </c>
    </row>
    <row r="648" customFormat="false" ht="15" hidden="false" customHeight="false" outlineLevel="0" collapsed="false">
      <c r="A648" s="18" t="s">
        <v>1680</v>
      </c>
      <c r="B648" s="19" t="n">
        <v>46112</v>
      </c>
      <c r="C648" s="18" t="s">
        <v>281</v>
      </c>
      <c r="D648" s="18" t="s">
        <v>869</v>
      </c>
      <c r="E648" s="18" t="s">
        <v>492</v>
      </c>
      <c r="F648" s="18"/>
      <c r="G648" s="18" t="s">
        <v>1019</v>
      </c>
      <c r="H648" s="30" t="n">
        <v>43</v>
      </c>
      <c r="I648" s="18" t="s">
        <v>513</v>
      </c>
      <c r="J648" s="28" t="n">
        <v>3591.36</v>
      </c>
      <c r="K648" s="12" t="str">
        <f aca="false">TEXT(B648,"yyyy-mm")</f>
        <v>2026-03</v>
      </c>
      <c r="L648" s="21" t="str">
        <f aca="false">IFERROR(INDEX(Projects!$E$2:$E$500,MATCH(C648,Projects!$A$2:$A$500,0)),"")</f>
        <v>Digital Transformation</v>
      </c>
      <c r="M648" s="31" t="n">
        <f aca="false">IF(I648="Yes",H648*INDEX(Resources!$I$2:$I$500,MATCH(E648,Resources!$A$2:$A$500,0)),0)</f>
        <v>7525</v>
      </c>
    </row>
    <row r="649" customFormat="false" ht="15" hidden="false" customHeight="false" outlineLevel="0" collapsed="false">
      <c r="A649" s="18" t="s">
        <v>1681</v>
      </c>
      <c r="B649" s="19" t="n">
        <v>46112</v>
      </c>
      <c r="C649" s="18" t="s">
        <v>281</v>
      </c>
      <c r="D649" s="18" t="s">
        <v>872</v>
      </c>
      <c r="E649" s="18"/>
      <c r="F649" s="18" t="s">
        <v>1025</v>
      </c>
      <c r="G649" s="18" t="s">
        <v>1026</v>
      </c>
      <c r="H649" s="30" t="n">
        <v>0</v>
      </c>
      <c r="I649" s="18" t="s">
        <v>527</v>
      </c>
      <c r="J649" s="28" t="n">
        <v>3292.58</v>
      </c>
      <c r="K649" s="12" t="str">
        <f aca="false">TEXT(B649,"yyyy-mm")</f>
        <v>2026-03</v>
      </c>
      <c r="L649" s="21" t="str">
        <f aca="false">IFERROR(INDEX(Projects!$E$2:$E$500,MATCH(C649,Projects!$A$2:$A$500,0)),"")</f>
        <v>Digital Transformation</v>
      </c>
      <c r="M649" s="31" t="n">
        <f aca="false">IF(I649="Yes",H649*INDEX(Resources!$I$2:$I$500,MATCH(E649,Resources!$A$2:$A$500,0)),0)</f>
        <v>0</v>
      </c>
    </row>
    <row r="650" customFormat="false" ht="15" hidden="false" customHeight="false" outlineLevel="0" collapsed="false">
      <c r="A650" s="18" t="s">
        <v>1682</v>
      </c>
      <c r="B650" s="19" t="n">
        <v>46112</v>
      </c>
      <c r="C650" s="18" t="s">
        <v>281</v>
      </c>
      <c r="D650" s="18" t="s">
        <v>874</v>
      </c>
      <c r="E650" s="18"/>
      <c r="F650" s="18" t="s">
        <v>1028</v>
      </c>
      <c r="G650" s="18" t="s">
        <v>1026</v>
      </c>
      <c r="H650" s="30" t="n">
        <v>0</v>
      </c>
      <c r="I650" s="18" t="s">
        <v>527</v>
      </c>
      <c r="J650" s="28" t="n">
        <v>5965.98</v>
      </c>
      <c r="K650" s="12" t="str">
        <f aca="false">TEXT(B650,"yyyy-mm")</f>
        <v>2026-03</v>
      </c>
      <c r="L650" s="21" t="str">
        <f aca="false">IFERROR(INDEX(Projects!$E$2:$E$500,MATCH(C650,Projects!$A$2:$A$500,0)),"")</f>
        <v>Digital Transformation</v>
      </c>
      <c r="M650" s="31" t="n">
        <f aca="false">IF(I650="Yes",H650*INDEX(Resources!$I$2:$I$500,MATCH(E650,Resources!$A$2:$A$500,0)),0)</f>
        <v>0</v>
      </c>
    </row>
    <row r="651" customFormat="false" ht="15" hidden="false" customHeight="false" outlineLevel="0" collapsed="false">
      <c r="A651" s="18" t="s">
        <v>1683</v>
      </c>
      <c r="B651" s="19" t="n">
        <v>46112</v>
      </c>
      <c r="C651" s="18" t="s">
        <v>281</v>
      </c>
      <c r="D651" s="18" t="s">
        <v>495</v>
      </c>
      <c r="E651" s="18"/>
      <c r="F651" s="18" t="s">
        <v>1030</v>
      </c>
      <c r="G651" s="18" t="s">
        <v>1026</v>
      </c>
      <c r="H651" s="30" t="n">
        <v>0</v>
      </c>
      <c r="I651" s="18" t="s">
        <v>527</v>
      </c>
      <c r="J651" s="28" t="n">
        <v>1629.34</v>
      </c>
      <c r="K651" s="12" t="str">
        <f aca="false">TEXT(B651,"yyyy-mm")</f>
        <v>2026-03</v>
      </c>
      <c r="L651" s="21" t="str">
        <f aca="false">IFERROR(INDEX(Projects!$E$2:$E$500,MATCH(C651,Projects!$A$2:$A$500,0)),"")</f>
        <v>Digital Transformation</v>
      </c>
      <c r="M651" s="31" t="n">
        <f aca="false">IF(I651="Yes",H651*INDEX(Resources!$I$2:$I$500,MATCH(E651,Resources!$A$2:$A$500,0)),0)</f>
        <v>0</v>
      </c>
    </row>
    <row r="652" customFormat="false" ht="15" hidden="false" customHeight="false" outlineLevel="0" collapsed="false">
      <c r="A652" s="18" t="s">
        <v>1684</v>
      </c>
      <c r="B652" s="19" t="n">
        <v>46112</v>
      </c>
      <c r="C652" s="18" t="s">
        <v>281</v>
      </c>
      <c r="D652" s="18" t="s">
        <v>876</v>
      </c>
      <c r="E652" s="18"/>
      <c r="F652" s="18" t="s">
        <v>1071</v>
      </c>
      <c r="G652" s="18" t="s">
        <v>1033</v>
      </c>
      <c r="H652" s="30" t="n">
        <v>0</v>
      </c>
      <c r="I652" s="18" t="s">
        <v>527</v>
      </c>
      <c r="J652" s="28" t="n">
        <v>904.57</v>
      </c>
      <c r="K652" s="12" t="str">
        <f aca="false">TEXT(B652,"yyyy-mm")</f>
        <v>2026-03</v>
      </c>
      <c r="L652" s="21" t="str">
        <f aca="false">IFERROR(INDEX(Projects!$E$2:$E$500,MATCH(C652,Projects!$A$2:$A$500,0)),"")</f>
        <v>Digital Transformation</v>
      </c>
      <c r="M652" s="31" t="n">
        <f aca="false">IF(I652="Yes",H652*INDEX(Resources!$I$2:$I$500,MATCH(E652,Resources!$A$2:$A$500,0)),0)</f>
        <v>0</v>
      </c>
    </row>
    <row r="653" customFormat="false" ht="15" hidden="false" customHeight="false" outlineLevel="0" collapsed="false">
      <c r="A653" s="18" t="s">
        <v>1685</v>
      </c>
      <c r="B653" s="19" t="n">
        <v>46112</v>
      </c>
      <c r="C653" s="18" t="s">
        <v>283</v>
      </c>
      <c r="D653" s="18" t="s">
        <v>889</v>
      </c>
      <c r="E653" s="18"/>
      <c r="F653" s="18" t="s">
        <v>1210</v>
      </c>
      <c r="G653" s="18" t="s">
        <v>1026</v>
      </c>
      <c r="H653" s="30" t="n">
        <v>0</v>
      </c>
      <c r="I653" s="18" t="s">
        <v>527</v>
      </c>
      <c r="J653" s="28" t="n">
        <v>3562.26</v>
      </c>
      <c r="K653" s="12" t="str">
        <f aca="false">TEXT(B653,"yyyy-mm")</f>
        <v>2026-03</v>
      </c>
      <c r="L653" s="21" t="str">
        <f aca="false">IFERROR(INDEX(Projects!$E$2:$E$500,MATCH(C653,Projects!$A$2:$A$500,0)),"")</f>
        <v>Data &amp; AI</v>
      </c>
      <c r="M653" s="31" t="n">
        <f aca="false">IF(I653="Yes",H653*INDEX(Resources!$I$2:$I$500,MATCH(E653,Resources!$A$2:$A$500,0)),0)</f>
        <v>0</v>
      </c>
    </row>
    <row r="654" customFormat="false" ht="15" hidden="false" customHeight="false" outlineLevel="0" collapsed="false">
      <c r="A654" s="18" t="s">
        <v>1686</v>
      </c>
      <c r="B654" s="19" t="n">
        <v>46112</v>
      </c>
      <c r="C654" s="18" t="s">
        <v>283</v>
      </c>
      <c r="D654" s="18" t="s">
        <v>869</v>
      </c>
      <c r="E654" s="18" t="s">
        <v>226</v>
      </c>
      <c r="F654" s="18"/>
      <c r="G654" s="18" t="s">
        <v>1019</v>
      </c>
      <c r="H654" s="30" t="n">
        <v>79.3</v>
      </c>
      <c r="I654" s="18" t="s">
        <v>527</v>
      </c>
      <c r="J654" s="28" t="n">
        <v>6978.4</v>
      </c>
      <c r="K654" s="12" t="str">
        <f aca="false">TEXT(B654,"yyyy-mm")</f>
        <v>2026-03</v>
      </c>
      <c r="L654" s="21" t="str">
        <f aca="false">IFERROR(INDEX(Projects!$E$2:$E$500,MATCH(C654,Projects!$A$2:$A$500,0)),"")</f>
        <v>Data &amp; AI</v>
      </c>
      <c r="M654" s="31" t="n">
        <f aca="false">IF(I654="Yes",H654*INDEX(Resources!$I$2:$I$500,MATCH(E654,Resources!$A$2:$A$500,0)),0)</f>
        <v>0</v>
      </c>
    </row>
    <row r="655" customFormat="false" ht="15" hidden="false" customHeight="false" outlineLevel="0" collapsed="false">
      <c r="A655" s="18" t="s">
        <v>1687</v>
      </c>
      <c r="B655" s="19" t="n">
        <v>46112</v>
      </c>
      <c r="C655" s="18" t="s">
        <v>283</v>
      </c>
      <c r="D655" s="18" t="s">
        <v>869</v>
      </c>
      <c r="E655" s="18" t="s">
        <v>424</v>
      </c>
      <c r="F655" s="18"/>
      <c r="G655" s="18" t="s">
        <v>1019</v>
      </c>
      <c r="H655" s="30" t="n">
        <v>93.7</v>
      </c>
      <c r="I655" s="18" t="s">
        <v>513</v>
      </c>
      <c r="J655" s="28" t="n">
        <v>6371.6</v>
      </c>
      <c r="K655" s="12" t="str">
        <f aca="false">TEXT(B655,"yyyy-mm")</f>
        <v>2026-03</v>
      </c>
      <c r="L655" s="21" t="str">
        <f aca="false">IFERROR(INDEX(Projects!$E$2:$E$500,MATCH(C655,Projects!$A$2:$A$500,0)),"")</f>
        <v>Data &amp; AI</v>
      </c>
      <c r="M655" s="31" t="n">
        <f aca="false">IF(I655="Yes",H655*INDEX(Resources!$I$2:$I$500,MATCH(E655,Resources!$A$2:$A$500,0)),0)</f>
        <v>10307</v>
      </c>
    </row>
    <row r="656" customFormat="false" ht="15" hidden="false" customHeight="false" outlineLevel="0" collapsed="false">
      <c r="A656" s="18" t="s">
        <v>1688</v>
      </c>
      <c r="B656" s="19" t="n">
        <v>46112</v>
      </c>
      <c r="C656" s="18" t="s">
        <v>283</v>
      </c>
      <c r="D656" s="18" t="s">
        <v>869</v>
      </c>
      <c r="E656" s="18" t="s">
        <v>439</v>
      </c>
      <c r="F656" s="18"/>
      <c r="G656" s="18" t="s">
        <v>1019</v>
      </c>
      <c r="H656" s="30" t="n">
        <v>45.5</v>
      </c>
      <c r="I656" s="18" t="s">
        <v>513</v>
      </c>
      <c r="J656" s="28" t="n">
        <v>3694.6</v>
      </c>
      <c r="K656" s="12" t="str">
        <f aca="false">TEXT(B656,"yyyy-mm")</f>
        <v>2026-03</v>
      </c>
      <c r="L656" s="21" t="str">
        <f aca="false">IFERROR(INDEX(Projects!$E$2:$E$500,MATCH(C656,Projects!$A$2:$A$500,0)),"")</f>
        <v>Data &amp; AI</v>
      </c>
      <c r="M656" s="31" t="n">
        <f aca="false">IF(I656="Yes",H656*INDEX(Resources!$I$2:$I$500,MATCH(E656,Resources!$A$2:$A$500,0)),0)</f>
        <v>6142.5</v>
      </c>
    </row>
    <row r="657" customFormat="false" ht="15" hidden="false" customHeight="false" outlineLevel="0" collapsed="false">
      <c r="A657" s="18" t="s">
        <v>1689</v>
      </c>
      <c r="B657" s="19" t="n">
        <v>46112</v>
      </c>
      <c r="C657" s="18" t="s">
        <v>283</v>
      </c>
      <c r="D657" s="18" t="s">
        <v>869</v>
      </c>
      <c r="E657" s="18" t="s">
        <v>459</v>
      </c>
      <c r="F657" s="18"/>
      <c r="G657" s="18" t="s">
        <v>1019</v>
      </c>
      <c r="H657" s="30" t="n">
        <v>184.5</v>
      </c>
      <c r="I657" s="18" t="s">
        <v>513</v>
      </c>
      <c r="J657" s="28" t="n">
        <v>17933.4</v>
      </c>
      <c r="K657" s="12" t="str">
        <f aca="false">TEXT(B657,"yyyy-mm")</f>
        <v>2026-03</v>
      </c>
      <c r="L657" s="21" t="str">
        <f aca="false">IFERROR(INDEX(Projects!$E$2:$E$500,MATCH(C657,Projects!$A$2:$A$500,0)),"")</f>
        <v>Data &amp; AI</v>
      </c>
      <c r="M657" s="31" t="n">
        <f aca="false">IF(I657="Yes",H657*INDEX(Resources!$I$2:$I$500,MATCH(E657,Resources!$A$2:$A$500,0)),0)</f>
        <v>35977.5</v>
      </c>
    </row>
    <row r="658" customFormat="false" ht="15" hidden="false" customHeight="false" outlineLevel="0" collapsed="false">
      <c r="A658" s="18" t="s">
        <v>1690</v>
      </c>
      <c r="B658" s="19" t="n">
        <v>46112</v>
      </c>
      <c r="C658" s="18" t="s">
        <v>283</v>
      </c>
      <c r="D658" s="18" t="s">
        <v>869</v>
      </c>
      <c r="E658" s="18" t="s">
        <v>466</v>
      </c>
      <c r="F658" s="18"/>
      <c r="G658" s="18" t="s">
        <v>1019</v>
      </c>
      <c r="H658" s="30" t="n">
        <v>131.2</v>
      </c>
      <c r="I658" s="18" t="s">
        <v>513</v>
      </c>
      <c r="J658" s="28" t="n">
        <v>12857.6</v>
      </c>
      <c r="K658" s="12" t="str">
        <f aca="false">TEXT(B658,"yyyy-mm")</f>
        <v>2026-03</v>
      </c>
      <c r="L658" s="21" t="str">
        <f aca="false">IFERROR(INDEX(Projects!$E$2:$E$500,MATCH(C658,Projects!$A$2:$A$500,0)),"")</f>
        <v>Data &amp; AI</v>
      </c>
      <c r="M658" s="31" t="n">
        <f aca="false">IF(I658="Yes",H658*INDEX(Resources!$I$2:$I$500,MATCH(E658,Resources!$A$2:$A$500,0)),0)</f>
        <v>26240</v>
      </c>
    </row>
    <row r="659" customFormat="false" ht="15" hidden="false" customHeight="false" outlineLevel="0" collapsed="false">
      <c r="A659" s="18" t="s">
        <v>1691</v>
      </c>
      <c r="B659" s="19" t="n">
        <v>46112</v>
      </c>
      <c r="C659" s="18" t="s">
        <v>283</v>
      </c>
      <c r="D659" s="18" t="s">
        <v>872</v>
      </c>
      <c r="E659" s="18"/>
      <c r="F659" s="18" t="s">
        <v>1025</v>
      </c>
      <c r="G659" s="18" t="s">
        <v>1026</v>
      </c>
      <c r="H659" s="30" t="n">
        <v>0</v>
      </c>
      <c r="I659" s="18" t="s">
        <v>527</v>
      </c>
      <c r="J659" s="28" t="n">
        <v>2381.49</v>
      </c>
      <c r="K659" s="12" t="str">
        <f aca="false">TEXT(B659,"yyyy-mm")</f>
        <v>2026-03</v>
      </c>
      <c r="L659" s="21" t="str">
        <f aca="false">IFERROR(INDEX(Projects!$E$2:$E$500,MATCH(C659,Projects!$A$2:$A$500,0)),"")</f>
        <v>Data &amp; AI</v>
      </c>
      <c r="M659" s="31" t="n">
        <f aca="false">IF(I659="Yes",H659*INDEX(Resources!$I$2:$I$500,MATCH(E659,Resources!$A$2:$A$500,0)),0)</f>
        <v>0</v>
      </c>
    </row>
    <row r="660" customFormat="false" ht="15" hidden="false" customHeight="false" outlineLevel="0" collapsed="false">
      <c r="A660" s="18" t="s">
        <v>1692</v>
      </c>
      <c r="B660" s="19" t="n">
        <v>46112</v>
      </c>
      <c r="C660" s="18" t="s">
        <v>283</v>
      </c>
      <c r="D660" s="18" t="s">
        <v>876</v>
      </c>
      <c r="E660" s="18"/>
      <c r="F660" s="18" t="s">
        <v>1071</v>
      </c>
      <c r="G660" s="18" t="s">
        <v>1033</v>
      </c>
      <c r="H660" s="30" t="n">
        <v>0</v>
      </c>
      <c r="I660" s="18" t="s">
        <v>527</v>
      </c>
      <c r="J660" s="28" t="n">
        <v>639.97</v>
      </c>
      <c r="K660" s="12" t="str">
        <f aca="false">TEXT(B660,"yyyy-mm")</f>
        <v>2026-03</v>
      </c>
      <c r="L660" s="21" t="str">
        <f aca="false">IFERROR(INDEX(Projects!$E$2:$E$500,MATCH(C660,Projects!$A$2:$A$500,0)),"")</f>
        <v>Data &amp; AI</v>
      </c>
      <c r="M660" s="31" t="n">
        <f aca="false">IF(I660="Yes",H660*INDEX(Resources!$I$2:$I$500,MATCH(E660,Resources!$A$2:$A$500,0)),0)</f>
        <v>0</v>
      </c>
    </row>
    <row r="661" customFormat="false" ht="15" hidden="false" customHeight="false" outlineLevel="0" collapsed="false">
      <c r="A661" s="18" t="s">
        <v>1693</v>
      </c>
      <c r="B661" s="19" t="n">
        <v>46112</v>
      </c>
      <c r="C661" s="18" t="s">
        <v>285</v>
      </c>
      <c r="D661" s="18" t="s">
        <v>869</v>
      </c>
      <c r="E661" s="18" t="s">
        <v>247</v>
      </c>
      <c r="F661" s="18"/>
      <c r="G661" s="18" t="s">
        <v>1019</v>
      </c>
      <c r="H661" s="30" t="n">
        <v>47</v>
      </c>
      <c r="I661" s="18" t="s">
        <v>513</v>
      </c>
      <c r="J661" s="28" t="n">
        <v>4136</v>
      </c>
      <c r="K661" s="12" t="str">
        <f aca="false">TEXT(B661,"yyyy-mm")</f>
        <v>2026-03</v>
      </c>
      <c r="L661" s="21" t="str">
        <f aca="false">IFERROR(INDEX(Projects!$E$2:$E$500,MATCH(C661,Projects!$A$2:$A$500,0)),"")</f>
        <v>Operational Excellence</v>
      </c>
      <c r="M661" s="31" t="n">
        <f aca="false">IF(I661="Yes",H661*INDEX(Resources!$I$2:$I$500,MATCH(E661,Resources!$A$2:$A$500,0)),0)</f>
        <v>8225</v>
      </c>
    </row>
    <row r="662" customFormat="false" ht="15" hidden="false" customHeight="false" outlineLevel="0" collapsed="false">
      <c r="A662" s="18" t="s">
        <v>1694</v>
      </c>
      <c r="B662" s="19" t="n">
        <v>46112</v>
      </c>
      <c r="C662" s="18" t="s">
        <v>285</v>
      </c>
      <c r="D662" s="18" t="s">
        <v>869</v>
      </c>
      <c r="E662" s="18" t="s">
        <v>368</v>
      </c>
      <c r="F662" s="18"/>
      <c r="G662" s="18" t="s">
        <v>1019</v>
      </c>
      <c r="H662" s="30" t="n">
        <v>92.5</v>
      </c>
      <c r="I662" s="18" t="s">
        <v>513</v>
      </c>
      <c r="J662" s="28" t="n">
        <v>6793.2</v>
      </c>
      <c r="K662" s="12" t="str">
        <f aca="false">TEXT(B662,"yyyy-mm")</f>
        <v>2026-03</v>
      </c>
      <c r="L662" s="21" t="str">
        <f aca="false">IFERROR(INDEX(Projects!$E$2:$E$500,MATCH(C662,Projects!$A$2:$A$500,0)),"")</f>
        <v>Operational Excellence</v>
      </c>
      <c r="M662" s="31" t="n">
        <f aca="false">IF(I662="Yes",H662*INDEX(Resources!$I$2:$I$500,MATCH(E662,Resources!$A$2:$A$500,0)),0)</f>
        <v>13875</v>
      </c>
    </row>
    <row r="663" customFormat="false" ht="15" hidden="false" customHeight="false" outlineLevel="0" collapsed="false">
      <c r="A663" s="18" t="s">
        <v>1695</v>
      </c>
      <c r="B663" s="19" t="n">
        <v>46112</v>
      </c>
      <c r="C663" s="18" t="s">
        <v>285</v>
      </c>
      <c r="D663" s="18" t="s">
        <v>869</v>
      </c>
      <c r="E663" s="18" t="s">
        <v>398</v>
      </c>
      <c r="F663" s="18"/>
      <c r="G663" s="18" t="s">
        <v>1019</v>
      </c>
      <c r="H663" s="30" t="n">
        <v>142.7</v>
      </c>
      <c r="I663" s="18" t="s">
        <v>513</v>
      </c>
      <c r="J663" s="28" t="n">
        <v>12209.41</v>
      </c>
      <c r="K663" s="12" t="str">
        <f aca="false">TEXT(B663,"yyyy-mm")</f>
        <v>2026-03</v>
      </c>
      <c r="L663" s="21" t="str">
        <f aca="false">IFERROR(INDEX(Projects!$E$2:$E$500,MATCH(C663,Projects!$A$2:$A$500,0)),"")</f>
        <v>Operational Excellence</v>
      </c>
      <c r="M663" s="31" t="n">
        <f aca="false">IF(I663="Yes",H663*INDEX(Resources!$I$2:$I$500,MATCH(E663,Resources!$A$2:$A$500,0)),0)</f>
        <v>24259</v>
      </c>
    </row>
    <row r="664" customFormat="false" ht="15" hidden="false" customHeight="false" outlineLevel="0" collapsed="false">
      <c r="A664" s="18" t="s">
        <v>1696</v>
      </c>
      <c r="B664" s="19" t="n">
        <v>46112</v>
      </c>
      <c r="C664" s="18" t="s">
        <v>285</v>
      </c>
      <c r="D664" s="18" t="s">
        <v>869</v>
      </c>
      <c r="E664" s="18" t="s">
        <v>414</v>
      </c>
      <c r="F664" s="18"/>
      <c r="G664" s="18" t="s">
        <v>1019</v>
      </c>
      <c r="H664" s="30" t="n">
        <v>89.3</v>
      </c>
      <c r="I664" s="18" t="s">
        <v>513</v>
      </c>
      <c r="J664" s="28" t="n">
        <v>5315.14</v>
      </c>
      <c r="K664" s="12" t="str">
        <f aca="false">TEXT(B664,"yyyy-mm")</f>
        <v>2026-03</v>
      </c>
      <c r="L664" s="21" t="str">
        <f aca="false">IFERROR(INDEX(Projects!$E$2:$E$500,MATCH(C664,Projects!$A$2:$A$500,0)),"")</f>
        <v>Operational Excellence</v>
      </c>
      <c r="M664" s="31" t="n">
        <f aca="false">IF(I664="Yes",H664*INDEX(Resources!$I$2:$I$500,MATCH(E664,Resources!$A$2:$A$500,0)),0)</f>
        <v>10716</v>
      </c>
    </row>
    <row r="665" customFormat="false" ht="15" hidden="false" customHeight="false" outlineLevel="0" collapsed="false">
      <c r="A665" s="18" t="s">
        <v>1697</v>
      </c>
      <c r="B665" s="19" t="n">
        <v>46112</v>
      </c>
      <c r="C665" s="18" t="s">
        <v>285</v>
      </c>
      <c r="D665" s="18" t="s">
        <v>872</v>
      </c>
      <c r="E665" s="18"/>
      <c r="F665" s="18" t="s">
        <v>353</v>
      </c>
      <c r="G665" s="18" t="s">
        <v>1026</v>
      </c>
      <c r="H665" s="30" t="n">
        <v>0</v>
      </c>
      <c r="I665" s="18" t="s">
        <v>527</v>
      </c>
      <c r="J665" s="28" t="n">
        <v>1390.9</v>
      </c>
      <c r="K665" s="12" t="str">
        <f aca="false">TEXT(B665,"yyyy-mm")</f>
        <v>2026-03</v>
      </c>
      <c r="L665" s="21" t="str">
        <f aca="false">IFERROR(INDEX(Projects!$E$2:$E$500,MATCH(C665,Projects!$A$2:$A$500,0)),"")</f>
        <v>Operational Excellence</v>
      </c>
      <c r="M665" s="31" t="n">
        <f aca="false">IF(I665="Yes",H665*INDEX(Resources!$I$2:$I$500,MATCH(E665,Resources!$A$2:$A$500,0)),0)</f>
        <v>0</v>
      </c>
    </row>
    <row r="666" customFormat="false" ht="15" hidden="false" customHeight="false" outlineLevel="0" collapsed="false">
      <c r="A666" s="18" t="s">
        <v>1698</v>
      </c>
      <c r="B666" s="19" t="n">
        <v>46112</v>
      </c>
      <c r="C666" s="18" t="s">
        <v>285</v>
      </c>
      <c r="D666" s="18" t="s">
        <v>495</v>
      </c>
      <c r="E666" s="18"/>
      <c r="F666" s="18" t="s">
        <v>1030</v>
      </c>
      <c r="G666" s="18" t="s">
        <v>1026</v>
      </c>
      <c r="H666" s="30" t="n">
        <v>0</v>
      </c>
      <c r="I666" s="18" t="s">
        <v>527</v>
      </c>
      <c r="J666" s="28" t="n">
        <v>869.78</v>
      </c>
      <c r="K666" s="12" t="str">
        <f aca="false">TEXT(B666,"yyyy-mm")</f>
        <v>2026-03</v>
      </c>
      <c r="L666" s="21" t="str">
        <f aca="false">IFERROR(INDEX(Projects!$E$2:$E$500,MATCH(C666,Projects!$A$2:$A$500,0)),"")</f>
        <v>Operational Excellence</v>
      </c>
      <c r="M666" s="31" t="n">
        <f aca="false">IF(I666="Yes",H666*INDEX(Resources!$I$2:$I$500,MATCH(E666,Resources!$A$2:$A$500,0)),0)</f>
        <v>0</v>
      </c>
    </row>
    <row r="667" customFormat="false" ht="15" hidden="false" customHeight="false" outlineLevel="0" collapsed="false">
      <c r="A667" s="18" t="s">
        <v>1699</v>
      </c>
      <c r="B667" s="19" t="n">
        <v>46112</v>
      </c>
      <c r="C667" s="18" t="s">
        <v>285</v>
      </c>
      <c r="D667" s="18" t="s">
        <v>876</v>
      </c>
      <c r="E667" s="18"/>
      <c r="F667" s="18" t="s">
        <v>1032</v>
      </c>
      <c r="G667" s="18" t="s">
        <v>1033</v>
      </c>
      <c r="H667" s="30" t="n">
        <v>0</v>
      </c>
      <c r="I667" s="18" t="s">
        <v>527</v>
      </c>
      <c r="J667" s="28" t="n">
        <v>555.8</v>
      </c>
      <c r="K667" s="12" t="str">
        <f aca="false">TEXT(B667,"yyyy-mm")</f>
        <v>2026-03</v>
      </c>
      <c r="L667" s="21" t="str">
        <f aca="false">IFERROR(INDEX(Projects!$E$2:$E$500,MATCH(C667,Projects!$A$2:$A$500,0)),"")</f>
        <v>Operational Excellence</v>
      </c>
      <c r="M667" s="31" t="n">
        <f aca="false">IF(I667="Yes",H667*INDEX(Resources!$I$2:$I$500,MATCH(E667,Resources!$A$2:$A$500,0)),0)</f>
        <v>0</v>
      </c>
    </row>
    <row r="668" customFormat="false" ht="15" hidden="false" customHeight="false" outlineLevel="0" collapsed="false">
      <c r="A668" s="18" t="s">
        <v>1700</v>
      </c>
      <c r="B668" s="19" t="n">
        <v>46142</v>
      </c>
      <c r="C668" s="18" t="s">
        <v>197</v>
      </c>
      <c r="D668" s="18" t="s">
        <v>869</v>
      </c>
      <c r="E668" s="18" t="s">
        <v>201</v>
      </c>
      <c r="F668" s="18"/>
      <c r="G668" s="18" t="s">
        <v>1019</v>
      </c>
      <c r="H668" s="30" t="n">
        <v>88.6</v>
      </c>
      <c r="I668" s="18" t="s">
        <v>513</v>
      </c>
      <c r="J668" s="28" t="n">
        <v>9044.29</v>
      </c>
      <c r="K668" s="12" t="str">
        <f aca="false">TEXT(B668,"yyyy-mm")</f>
        <v>2026-04</v>
      </c>
      <c r="L668" s="21" t="str">
        <f aca="false">IFERROR(INDEX(Projects!$E$2:$E$500,MATCH(C668,Projects!$A$2:$A$500,0)),"")</f>
        <v>Customer Experience</v>
      </c>
      <c r="M668" s="31" t="n">
        <f aca="false">IF(I668="Yes",H668*INDEX(Resources!$I$2:$I$500,MATCH(E668,Resources!$A$2:$A$500,0)),0)</f>
        <v>18163</v>
      </c>
    </row>
    <row r="669" customFormat="false" ht="15" hidden="false" customHeight="false" outlineLevel="0" collapsed="false">
      <c r="A669" s="18" t="s">
        <v>1701</v>
      </c>
      <c r="B669" s="19" t="n">
        <v>46142</v>
      </c>
      <c r="C669" s="18" t="s">
        <v>197</v>
      </c>
      <c r="D669" s="18" t="s">
        <v>869</v>
      </c>
      <c r="E669" s="18" t="s">
        <v>363</v>
      </c>
      <c r="F669" s="18"/>
      <c r="G669" s="18" t="s">
        <v>1019</v>
      </c>
      <c r="H669" s="30" t="n">
        <v>92.2</v>
      </c>
      <c r="I669" s="18" t="s">
        <v>513</v>
      </c>
      <c r="J669" s="28" t="n">
        <v>7272.74</v>
      </c>
      <c r="K669" s="12" t="str">
        <f aca="false">TEXT(B669,"yyyy-mm")</f>
        <v>2026-04</v>
      </c>
      <c r="L669" s="21" t="str">
        <f aca="false">IFERROR(INDEX(Projects!$E$2:$E$500,MATCH(C669,Projects!$A$2:$A$500,0)),"")</f>
        <v>Customer Experience</v>
      </c>
      <c r="M669" s="31" t="n">
        <f aca="false">IF(I669="Yes",H669*INDEX(Resources!$I$2:$I$500,MATCH(E669,Resources!$A$2:$A$500,0)),0)</f>
        <v>14752</v>
      </c>
    </row>
    <row r="670" customFormat="false" ht="15" hidden="false" customHeight="false" outlineLevel="0" collapsed="false">
      <c r="A670" s="18" t="s">
        <v>1702</v>
      </c>
      <c r="B670" s="19" t="n">
        <v>46142</v>
      </c>
      <c r="C670" s="18" t="s">
        <v>197</v>
      </c>
      <c r="D670" s="18" t="s">
        <v>869</v>
      </c>
      <c r="E670" s="18" t="s">
        <v>379</v>
      </c>
      <c r="F670" s="18"/>
      <c r="G670" s="18" t="s">
        <v>1019</v>
      </c>
      <c r="H670" s="30" t="n">
        <v>143</v>
      </c>
      <c r="I670" s="18" t="s">
        <v>513</v>
      </c>
      <c r="J670" s="28" t="n">
        <v>12275.12</v>
      </c>
      <c r="K670" s="12" t="str">
        <f aca="false">TEXT(B670,"yyyy-mm")</f>
        <v>2026-04</v>
      </c>
      <c r="L670" s="21" t="str">
        <f aca="false">IFERROR(INDEX(Projects!$E$2:$E$500,MATCH(C670,Projects!$A$2:$A$500,0)),"")</f>
        <v>Customer Experience</v>
      </c>
      <c r="M670" s="31" t="n">
        <f aca="false">IF(I670="Yes",H670*INDEX(Resources!$I$2:$I$500,MATCH(E670,Resources!$A$2:$A$500,0)),0)</f>
        <v>25025</v>
      </c>
    </row>
    <row r="671" customFormat="false" ht="15" hidden="false" customHeight="false" outlineLevel="0" collapsed="false">
      <c r="A671" s="18" t="s">
        <v>1703</v>
      </c>
      <c r="B671" s="19" t="n">
        <v>46142</v>
      </c>
      <c r="C671" s="18" t="s">
        <v>197</v>
      </c>
      <c r="D671" s="18" t="s">
        <v>869</v>
      </c>
      <c r="E671" s="18" t="s">
        <v>389</v>
      </c>
      <c r="F671" s="18"/>
      <c r="G671" s="18" t="s">
        <v>1019</v>
      </c>
      <c r="H671" s="30" t="n">
        <v>118.8</v>
      </c>
      <c r="I671" s="18" t="s">
        <v>513</v>
      </c>
      <c r="J671" s="28" t="n">
        <v>12678.34</v>
      </c>
      <c r="K671" s="12" t="str">
        <f aca="false">TEXT(B671,"yyyy-mm")</f>
        <v>2026-04</v>
      </c>
      <c r="L671" s="21" t="str">
        <f aca="false">IFERROR(INDEX(Projects!$E$2:$E$500,MATCH(C671,Projects!$A$2:$A$500,0)),"")</f>
        <v>Customer Experience</v>
      </c>
      <c r="M671" s="31" t="n">
        <f aca="false">IF(I671="Yes",H671*INDEX(Resources!$I$2:$I$500,MATCH(E671,Resources!$A$2:$A$500,0)),0)</f>
        <v>25542</v>
      </c>
    </row>
    <row r="672" customFormat="false" ht="15" hidden="false" customHeight="false" outlineLevel="0" collapsed="false">
      <c r="A672" s="18" t="s">
        <v>1704</v>
      </c>
      <c r="B672" s="19" t="n">
        <v>46142</v>
      </c>
      <c r="C672" s="18" t="s">
        <v>197</v>
      </c>
      <c r="D672" s="18" t="s">
        <v>869</v>
      </c>
      <c r="E672" s="18" t="s">
        <v>409</v>
      </c>
      <c r="F672" s="18"/>
      <c r="G672" s="18" t="s">
        <v>1019</v>
      </c>
      <c r="H672" s="30" t="n">
        <v>170.2</v>
      </c>
      <c r="I672" s="18" t="s">
        <v>513</v>
      </c>
      <c r="J672" s="28" t="n">
        <v>12635.65</v>
      </c>
      <c r="K672" s="12" t="str">
        <f aca="false">TEXT(B672,"yyyy-mm")</f>
        <v>2026-04</v>
      </c>
      <c r="L672" s="21" t="str">
        <f aca="false">IFERROR(INDEX(Projects!$E$2:$E$500,MATCH(C672,Projects!$A$2:$A$500,0)),"")</f>
        <v>Customer Experience</v>
      </c>
      <c r="M672" s="31" t="n">
        <f aca="false">IF(I672="Yes",H672*INDEX(Resources!$I$2:$I$500,MATCH(E672,Resources!$A$2:$A$500,0)),0)</f>
        <v>25530</v>
      </c>
    </row>
    <row r="673" customFormat="false" ht="15" hidden="false" customHeight="false" outlineLevel="0" collapsed="false">
      <c r="A673" s="18" t="s">
        <v>1705</v>
      </c>
      <c r="B673" s="19" t="n">
        <v>46142</v>
      </c>
      <c r="C673" s="18" t="s">
        <v>197</v>
      </c>
      <c r="D673" s="18" t="s">
        <v>869</v>
      </c>
      <c r="E673" s="18" t="s">
        <v>434</v>
      </c>
      <c r="F673" s="18"/>
      <c r="G673" s="18" t="s">
        <v>1019</v>
      </c>
      <c r="H673" s="30" t="n">
        <v>56.6</v>
      </c>
      <c r="I673" s="18" t="s">
        <v>513</v>
      </c>
      <c r="J673" s="28" t="n">
        <v>3676.74</v>
      </c>
      <c r="K673" s="12" t="str">
        <f aca="false">TEXT(B673,"yyyy-mm")</f>
        <v>2026-04</v>
      </c>
      <c r="L673" s="21" t="str">
        <f aca="false">IFERROR(INDEX(Projects!$E$2:$E$500,MATCH(C673,Projects!$A$2:$A$500,0)),"")</f>
        <v>Customer Experience</v>
      </c>
      <c r="M673" s="31" t="n">
        <f aca="false">IF(I673="Yes",H673*INDEX(Resources!$I$2:$I$500,MATCH(E673,Resources!$A$2:$A$500,0)),0)</f>
        <v>7641</v>
      </c>
    </row>
    <row r="674" customFormat="false" ht="15" hidden="false" customHeight="false" outlineLevel="0" collapsed="false">
      <c r="A674" s="18" t="s">
        <v>1706</v>
      </c>
      <c r="B674" s="19" t="n">
        <v>46142</v>
      </c>
      <c r="C674" s="18" t="s">
        <v>197</v>
      </c>
      <c r="D674" s="18" t="s">
        <v>872</v>
      </c>
      <c r="E674" s="18"/>
      <c r="F674" s="18" t="s">
        <v>1059</v>
      </c>
      <c r="G674" s="18" t="s">
        <v>1026</v>
      </c>
      <c r="H674" s="30" t="n">
        <v>0</v>
      </c>
      <c r="I674" s="18" t="s">
        <v>527</v>
      </c>
      <c r="J674" s="28" t="n">
        <v>2871.47</v>
      </c>
      <c r="K674" s="12" t="str">
        <f aca="false">TEXT(B674,"yyyy-mm")</f>
        <v>2026-04</v>
      </c>
      <c r="L674" s="21" t="str">
        <f aca="false">IFERROR(INDEX(Projects!$E$2:$E$500,MATCH(C674,Projects!$A$2:$A$500,0)),"")</f>
        <v>Customer Experience</v>
      </c>
      <c r="M674" s="31" t="n">
        <f aca="false">IF(I674="Yes",H674*INDEX(Resources!$I$2:$I$500,MATCH(E674,Resources!$A$2:$A$500,0)),0)</f>
        <v>0</v>
      </c>
    </row>
    <row r="675" customFormat="false" ht="15" hidden="false" customHeight="false" outlineLevel="0" collapsed="false">
      <c r="A675" s="18" t="s">
        <v>1707</v>
      </c>
      <c r="B675" s="19" t="n">
        <v>46142</v>
      </c>
      <c r="C675" s="18" t="s">
        <v>197</v>
      </c>
      <c r="D675" s="18" t="s">
        <v>874</v>
      </c>
      <c r="E675" s="18"/>
      <c r="F675" s="18" t="s">
        <v>1224</v>
      </c>
      <c r="G675" s="18" t="s">
        <v>1026</v>
      </c>
      <c r="H675" s="30" t="n">
        <v>0</v>
      </c>
      <c r="I675" s="18" t="s">
        <v>527</v>
      </c>
      <c r="J675" s="28" t="n">
        <v>3902.65</v>
      </c>
      <c r="K675" s="12" t="str">
        <f aca="false">TEXT(B675,"yyyy-mm")</f>
        <v>2026-04</v>
      </c>
      <c r="L675" s="21" t="str">
        <f aca="false">IFERROR(INDEX(Projects!$E$2:$E$500,MATCH(C675,Projects!$A$2:$A$500,0)),"")</f>
        <v>Customer Experience</v>
      </c>
      <c r="M675" s="31" t="n">
        <f aca="false">IF(I675="Yes",H675*INDEX(Resources!$I$2:$I$500,MATCH(E675,Resources!$A$2:$A$500,0)),0)</f>
        <v>0</v>
      </c>
    </row>
    <row r="676" customFormat="false" ht="15" hidden="false" customHeight="false" outlineLevel="0" collapsed="false">
      <c r="A676" s="18" t="s">
        <v>1708</v>
      </c>
      <c r="B676" s="19" t="n">
        <v>46142</v>
      </c>
      <c r="C676" s="18" t="s">
        <v>197</v>
      </c>
      <c r="D676" s="18" t="s">
        <v>876</v>
      </c>
      <c r="E676" s="18"/>
      <c r="F676" s="18" t="s">
        <v>1032</v>
      </c>
      <c r="G676" s="18" t="s">
        <v>1033</v>
      </c>
      <c r="H676" s="30" t="n">
        <v>0</v>
      </c>
      <c r="I676" s="18" t="s">
        <v>527</v>
      </c>
      <c r="J676" s="28" t="n">
        <v>968.21</v>
      </c>
      <c r="K676" s="12" t="str">
        <f aca="false">TEXT(B676,"yyyy-mm")</f>
        <v>2026-04</v>
      </c>
      <c r="L676" s="21" t="str">
        <f aca="false">IFERROR(INDEX(Projects!$E$2:$E$500,MATCH(C676,Projects!$A$2:$A$500,0)),"")</f>
        <v>Customer Experience</v>
      </c>
      <c r="M676" s="31" t="n">
        <f aca="false">IF(I676="Yes",H676*INDEX(Resources!$I$2:$I$500,MATCH(E676,Resources!$A$2:$A$500,0)),0)</f>
        <v>0</v>
      </c>
    </row>
    <row r="677" customFormat="false" ht="15" hidden="false" customHeight="false" outlineLevel="0" collapsed="false">
      <c r="A677" s="18" t="s">
        <v>1709</v>
      </c>
      <c r="B677" s="19" t="n">
        <v>46142</v>
      </c>
      <c r="C677" s="18" t="s">
        <v>207</v>
      </c>
      <c r="D677" s="18" t="s">
        <v>882</v>
      </c>
      <c r="E677" s="18"/>
      <c r="F677" s="18" t="s">
        <v>1063</v>
      </c>
      <c r="G677" s="18" t="s">
        <v>1026</v>
      </c>
      <c r="H677" s="30" t="n">
        <v>0</v>
      </c>
      <c r="I677" s="18" t="s">
        <v>527</v>
      </c>
      <c r="J677" s="28" t="n">
        <v>21485.99</v>
      </c>
      <c r="K677" s="12" t="str">
        <f aca="false">TEXT(B677,"yyyy-mm")</f>
        <v>2026-04</v>
      </c>
      <c r="L677" s="21" t="str">
        <f aca="false">IFERROR(INDEX(Projects!$E$2:$E$500,MATCH(C677,Projects!$A$2:$A$500,0)),"")</f>
        <v>Operational Excellence</v>
      </c>
      <c r="M677" s="31" t="n">
        <f aca="false">IF(I677="Yes",H677*INDEX(Resources!$I$2:$I$500,MATCH(E677,Resources!$A$2:$A$500,0)),0)</f>
        <v>0</v>
      </c>
    </row>
    <row r="678" customFormat="false" ht="15" hidden="false" customHeight="false" outlineLevel="0" collapsed="false">
      <c r="A678" s="18" t="s">
        <v>1710</v>
      </c>
      <c r="B678" s="19" t="n">
        <v>46142</v>
      </c>
      <c r="C678" s="18" t="s">
        <v>207</v>
      </c>
      <c r="D678" s="18" t="s">
        <v>869</v>
      </c>
      <c r="E678" s="18" t="s">
        <v>211</v>
      </c>
      <c r="F678" s="18"/>
      <c r="G678" s="18" t="s">
        <v>1019</v>
      </c>
      <c r="H678" s="30" t="n">
        <v>56.7</v>
      </c>
      <c r="I678" s="18" t="s">
        <v>513</v>
      </c>
      <c r="J678" s="28" t="n">
        <v>5787.94</v>
      </c>
      <c r="K678" s="12" t="str">
        <f aca="false">TEXT(B678,"yyyy-mm")</f>
        <v>2026-04</v>
      </c>
      <c r="L678" s="21" t="str">
        <f aca="false">IFERROR(INDEX(Projects!$E$2:$E$500,MATCH(C678,Projects!$A$2:$A$500,0)),"")</f>
        <v>Operational Excellence</v>
      </c>
      <c r="M678" s="31" t="n">
        <f aca="false">IF(I678="Yes",H678*INDEX(Resources!$I$2:$I$500,MATCH(E678,Resources!$A$2:$A$500,0)),0)</f>
        <v>11623.5</v>
      </c>
    </row>
    <row r="679" customFormat="false" ht="15" hidden="false" customHeight="false" outlineLevel="0" collapsed="false">
      <c r="A679" s="18" t="s">
        <v>1711</v>
      </c>
      <c r="B679" s="19" t="n">
        <v>46142</v>
      </c>
      <c r="C679" s="18" t="s">
        <v>207</v>
      </c>
      <c r="D679" s="18" t="s">
        <v>869</v>
      </c>
      <c r="E679" s="18" t="s">
        <v>368</v>
      </c>
      <c r="F679" s="18"/>
      <c r="G679" s="18" t="s">
        <v>1019</v>
      </c>
      <c r="H679" s="30" t="n">
        <v>132.7</v>
      </c>
      <c r="I679" s="18" t="s">
        <v>513</v>
      </c>
      <c r="J679" s="28" t="n">
        <v>9745.49</v>
      </c>
      <c r="K679" s="12" t="str">
        <f aca="false">TEXT(B679,"yyyy-mm")</f>
        <v>2026-04</v>
      </c>
      <c r="L679" s="21" t="str">
        <f aca="false">IFERROR(INDEX(Projects!$E$2:$E$500,MATCH(C679,Projects!$A$2:$A$500,0)),"")</f>
        <v>Operational Excellence</v>
      </c>
      <c r="M679" s="31" t="n">
        <f aca="false">IF(I679="Yes",H679*INDEX(Resources!$I$2:$I$500,MATCH(E679,Resources!$A$2:$A$500,0)),0)</f>
        <v>19905</v>
      </c>
    </row>
    <row r="680" customFormat="false" ht="15" hidden="false" customHeight="false" outlineLevel="0" collapsed="false">
      <c r="A680" s="18" t="s">
        <v>1712</v>
      </c>
      <c r="B680" s="19" t="n">
        <v>46142</v>
      </c>
      <c r="C680" s="18" t="s">
        <v>207</v>
      </c>
      <c r="D680" s="18" t="s">
        <v>869</v>
      </c>
      <c r="E680" s="18" t="s">
        <v>393</v>
      </c>
      <c r="F680" s="18"/>
      <c r="G680" s="18" t="s">
        <v>1019</v>
      </c>
      <c r="H680" s="30" t="n">
        <v>120.6</v>
      </c>
      <c r="I680" s="18" t="s">
        <v>513</v>
      </c>
      <c r="J680" s="28" t="n">
        <v>11982.82</v>
      </c>
      <c r="K680" s="12" t="str">
        <f aca="false">TEXT(B680,"yyyy-mm")</f>
        <v>2026-04</v>
      </c>
      <c r="L680" s="21" t="str">
        <f aca="false">IFERROR(INDEX(Projects!$E$2:$E$500,MATCH(C680,Projects!$A$2:$A$500,0)),"")</f>
        <v>Operational Excellence</v>
      </c>
      <c r="M680" s="31" t="n">
        <f aca="false">IF(I680="Yes",H680*INDEX(Resources!$I$2:$I$500,MATCH(E680,Resources!$A$2:$A$500,0)),0)</f>
        <v>24120</v>
      </c>
    </row>
    <row r="681" customFormat="false" ht="15" hidden="false" customHeight="false" outlineLevel="0" collapsed="false">
      <c r="A681" s="18" t="s">
        <v>1713</v>
      </c>
      <c r="B681" s="19" t="n">
        <v>46142</v>
      </c>
      <c r="C681" s="18" t="s">
        <v>207</v>
      </c>
      <c r="D681" s="18" t="s">
        <v>869</v>
      </c>
      <c r="E681" s="18" t="s">
        <v>412</v>
      </c>
      <c r="F681" s="18"/>
      <c r="G681" s="18" t="s">
        <v>1019</v>
      </c>
      <c r="H681" s="30" t="n">
        <v>191.5</v>
      </c>
      <c r="I681" s="18" t="s">
        <v>513</v>
      </c>
      <c r="J681" s="28" t="n">
        <v>11398.08</v>
      </c>
      <c r="K681" s="12" t="str">
        <f aca="false">TEXT(B681,"yyyy-mm")</f>
        <v>2026-04</v>
      </c>
      <c r="L681" s="21" t="str">
        <f aca="false">IFERROR(INDEX(Projects!$E$2:$E$500,MATCH(C681,Projects!$A$2:$A$500,0)),"")</f>
        <v>Operational Excellence</v>
      </c>
      <c r="M681" s="31" t="n">
        <f aca="false">IF(I681="Yes",H681*INDEX(Resources!$I$2:$I$500,MATCH(E681,Resources!$A$2:$A$500,0)),0)</f>
        <v>22980</v>
      </c>
    </row>
    <row r="682" customFormat="false" ht="15" hidden="false" customHeight="false" outlineLevel="0" collapsed="false">
      <c r="A682" s="18" t="s">
        <v>1714</v>
      </c>
      <c r="B682" s="19" t="n">
        <v>46142</v>
      </c>
      <c r="C682" s="18" t="s">
        <v>207</v>
      </c>
      <c r="D682" s="18" t="s">
        <v>872</v>
      </c>
      <c r="E682" s="18"/>
      <c r="F682" s="18" t="s">
        <v>353</v>
      </c>
      <c r="G682" s="18" t="s">
        <v>1026</v>
      </c>
      <c r="H682" s="30" t="n">
        <v>0</v>
      </c>
      <c r="I682" s="18" t="s">
        <v>527</v>
      </c>
      <c r="J682" s="28" t="n">
        <v>1601.39</v>
      </c>
      <c r="K682" s="12" t="str">
        <f aca="false">TEXT(B682,"yyyy-mm")</f>
        <v>2026-04</v>
      </c>
      <c r="L682" s="21" t="str">
        <f aca="false">IFERROR(INDEX(Projects!$E$2:$E$500,MATCH(C682,Projects!$A$2:$A$500,0)),"")</f>
        <v>Operational Excellence</v>
      </c>
      <c r="M682" s="31" t="n">
        <f aca="false">IF(I682="Yes",H682*INDEX(Resources!$I$2:$I$500,MATCH(E682,Resources!$A$2:$A$500,0)),0)</f>
        <v>0</v>
      </c>
    </row>
    <row r="683" customFormat="false" ht="15" hidden="false" customHeight="false" outlineLevel="0" collapsed="false">
      <c r="A683" s="18" t="s">
        <v>1715</v>
      </c>
      <c r="B683" s="19" t="n">
        <v>46142</v>
      </c>
      <c r="C683" s="18" t="s">
        <v>207</v>
      </c>
      <c r="D683" s="18" t="s">
        <v>495</v>
      </c>
      <c r="E683" s="18"/>
      <c r="F683" s="18" t="s">
        <v>1373</v>
      </c>
      <c r="G683" s="18" t="s">
        <v>1026</v>
      </c>
      <c r="H683" s="30" t="n">
        <v>0</v>
      </c>
      <c r="I683" s="18" t="s">
        <v>527</v>
      </c>
      <c r="J683" s="28" t="n">
        <v>930.77</v>
      </c>
      <c r="K683" s="12" t="str">
        <f aca="false">TEXT(B683,"yyyy-mm")</f>
        <v>2026-04</v>
      </c>
      <c r="L683" s="21" t="str">
        <f aca="false">IFERROR(INDEX(Projects!$E$2:$E$500,MATCH(C683,Projects!$A$2:$A$500,0)),"")</f>
        <v>Operational Excellence</v>
      </c>
      <c r="M683" s="31" t="n">
        <f aca="false">IF(I683="Yes",H683*INDEX(Resources!$I$2:$I$500,MATCH(E683,Resources!$A$2:$A$500,0)),0)</f>
        <v>0</v>
      </c>
    </row>
    <row r="684" customFormat="false" ht="15" hidden="false" customHeight="false" outlineLevel="0" collapsed="false">
      <c r="A684" s="18" t="s">
        <v>1716</v>
      </c>
      <c r="B684" s="19" t="n">
        <v>46142</v>
      </c>
      <c r="C684" s="18" t="s">
        <v>207</v>
      </c>
      <c r="D684" s="18" t="s">
        <v>876</v>
      </c>
      <c r="E684" s="18"/>
      <c r="F684" s="18" t="s">
        <v>1032</v>
      </c>
      <c r="G684" s="18" t="s">
        <v>1033</v>
      </c>
      <c r="H684" s="30" t="n">
        <v>0</v>
      </c>
      <c r="I684" s="18" t="s">
        <v>527</v>
      </c>
      <c r="J684" s="28" t="n">
        <v>608.74</v>
      </c>
      <c r="K684" s="12" t="str">
        <f aca="false">TEXT(B684,"yyyy-mm")</f>
        <v>2026-04</v>
      </c>
      <c r="L684" s="21" t="str">
        <f aca="false">IFERROR(INDEX(Projects!$E$2:$E$500,MATCH(C684,Projects!$A$2:$A$500,0)),"")</f>
        <v>Operational Excellence</v>
      </c>
      <c r="M684" s="31" t="n">
        <f aca="false">IF(I684="Yes",H684*INDEX(Resources!$I$2:$I$500,MATCH(E684,Resources!$A$2:$A$500,0)),0)</f>
        <v>0</v>
      </c>
    </row>
    <row r="685" customFormat="false" ht="15" hidden="false" customHeight="false" outlineLevel="0" collapsed="false">
      <c r="A685" s="18" t="s">
        <v>1717</v>
      </c>
      <c r="B685" s="19" t="n">
        <v>46142</v>
      </c>
      <c r="C685" s="18" t="s">
        <v>215</v>
      </c>
      <c r="D685" s="18" t="s">
        <v>889</v>
      </c>
      <c r="E685" s="18"/>
      <c r="F685" s="18" t="s">
        <v>1035</v>
      </c>
      <c r="G685" s="18" t="s">
        <v>1026</v>
      </c>
      <c r="H685" s="30" t="n">
        <v>0</v>
      </c>
      <c r="I685" s="18" t="s">
        <v>527</v>
      </c>
      <c r="J685" s="28" t="n">
        <v>3755.12</v>
      </c>
      <c r="K685" s="12" t="str">
        <f aca="false">TEXT(B685,"yyyy-mm")</f>
        <v>2026-04</v>
      </c>
      <c r="L685" s="21" t="str">
        <f aca="false">IFERROR(INDEX(Projects!$E$2:$E$500,MATCH(C685,Projects!$A$2:$A$500,0)),"")</f>
        <v>Data &amp; AI</v>
      </c>
      <c r="M685" s="31" t="n">
        <f aca="false">IF(I685="Yes",H685*INDEX(Resources!$I$2:$I$500,MATCH(E685,Resources!$A$2:$A$500,0)),0)</f>
        <v>0</v>
      </c>
    </row>
    <row r="686" customFormat="false" ht="15" hidden="false" customHeight="false" outlineLevel="0" collapsed="false">
      <c r="A686" s="18" t="s">
        <v>1718</v>
      </c>
      <c r="B686" s="19" t="n">
        <v>46142</v>
      </c>
      <c r="C686" s="18" t="s">
        <v>215</v>
      </c>
      <c r="D686" s="18" t="s">
        <v>869</v>
      </c>
      <c r="E686" s="18" t="s">
        <v>218</v>
      </c>
      <c r="F686" s="18"/>
      <c r="G686" s="18" t="s">
        <v>1019</v>
      </c>
      <c r="H686" s="30" t="n">
        <v>47.8</v>
      </c>
      <c r="I686" s="18" t="s">
        <v>527</v>
      </c>
      <c r="J686" s="28" t="n">
        <v>3575.44</v>
      </c>
      <c r="K686" s="12" t="str">
        <f aca="false">TEXT(B686,"yyyy-mm")</f>
        <v>2026-04</v>
      </c>
      <c r="L686" s="21" t="str">
        <f aca="false">IFERROR(INDEX(Projects!$E$2:$E$500,MATCH(C686,Projects!$A$2:$A$500,0)),"")</f>
        <v>Data &amp; AI</v>
      </c>
      <c r="M686" s="31" t="n">
        <f aca="false">IF(I686="Yes",H686*INDEX(Resources!$I$2:$I$500,MATCH(E686,Resources!$A$2:$A$500,0)),0)</f>
        <v>0</v>
      </c>
    </row>
    <row r="687" customFormat="false" ht="15" hidden="false" customHeight="false" outlineLevel="0" collapsed="false">
      <c r="A687" s="18" t="s">
        <v>1719</v>
      </c>
      <c r="B687" s="19" t="n">
        <v>46142</v>
      </c>
      <c r="C687" s="18" t="s">
        <v>215</v>
      </c>
      <c r="D687" s="18" t="s">
        <v>869</v>
      </c>
      <c r="E687" s="18" t="s">
        <v>357</v>
      </c>
      <c r="F687" s="18"/>
      <c r="G687" s="18" t="s">
        <v>1019</v>
      </c>
      <c r="H687" s="30" t="n">
        <v>47.4</v>
      </c>
      <c r="I687" s="18" t="s">
        <v>513</v>
      </c>
      <c r="J687" s="28" t="n">
        <v>5733.5</v>
      </c>
      <c r="K687" s="12" t="str">
        <f aca="false">TEXT(B687,"yyyy-mm")</f>
        <v>2026-04</v>
      </c>
      <c r="L687" s="21" t="str">
        <f aca="false">IFERROR(INDEX(Projects!$E$2:$E$500,MATCH(C687,Projects!$A$2:$A$500,0)),"")</f>
        <v>Data &amp; AI</v>
      </c>
      <c r="M687" s="31" t="n">
        <f aca="false">IF(I687="Yes",H687*INDEX(Resources!$I$2:$I$500,MATCH(E687,Resources!$A$2:$A$500,0)),0)</f>
        <v>11613</v>
      </c>
    </row>
    <row r="688" customFormat="false" ht="15" hidden="false" customHeight="false" outlineLevel="0" collapsed="false">
      <c r="A688" s="18" t="s">
        <v>1720</v>
      </c>
      <c r="B688" s="19" t="n">
        <v>46142</v>
      </c>
      <c r="C688" s="18" t="s">
        <v>215</v>
      </c>
      <c r="D688" s="18" t="s">
        <v>869</v>
      </c>
      <c r="E688" s="18" t="s">
        <v>414</v>
      </c>
      <c r="F688" s="18"/>
      <c r="G688" s="18" t="s">
        <v>1019</v>
      </c>
      <c r="H688" s="30" t="n">
        <v>102.8</v>
      </c>
      <c r="I688" s="18" t="s">
        <v>513</v>
      </c>
      <c r="J688" s="28" t="n">
        <v>6118.66</v>
      </c>
      <c r="K688" s="12" t="str">
        <f aca="false">TEXT(B688,"yyyy-mm")</f>
        <v>2026-04</v>
      </c>
      <c r="L688" s="21" t="str">
        <f aca="false">IFERROR(INDEX(Projects!$E$2:$E$500,MATCH(C688,Projects!$A$2:$A$500,0)),"")</f>
        <v>Data &amp; AI</v>
      </c>
      <c r="M688" s="31" t="n">
        <f aca="false">IF(I688="Yes",H688*INDEX(Resources!$I$2:$I$500,MATCH(E688,Resources!$A$2:$A$500,0)),0)</f>
        <v>12336</v>
      </c>
    </row>
    <row r="689" customFormat="false" ht="15" hidden="false" customHeight="false" outlineLevel="0" collapsed="false">
      <c r="A689" s="18" t="s">
        <v>1721</v>
      </c>
      <c r="B689" s="19" t="n">
        <v>46142</v>
      </c>
      <c r="C689" s="18" t="s">
        <v>215</v>
      </c>
      <c r="D689" s="18" t="s">
        <v>869</v>
      </c>
      <c r="E689" s="18" t="s">
        <v>442</v>
      </c>
      <c r="F689" s="18"/>
      <c r="G689" s="18" t="s">
        <v>1019</v>
      </c>
      <c r="H689" s="30" t="n">
        <v>100.7</v>
      </c>
      <c r="I689" s="18" t="s">
        <v>513</v>
      </c>
      <c r="J689" s="28" t="n">
        <v>7049</v>
      </c>
      <c r="K689" s="12" t="str">
        <f aca="false">TEXT(B689,"yyyy-mm")</f>
        <v>2026-04</v>
      </c>
      <c r="L689" s="21" t="str">
        <f aca="false">IFERROR(INDEX(Projects!$E$2:$E$500,MATCH(C689,Projects!$A$2:$A$500,0)),"")</f>
        <v>Data &amp; AI</v>
      </c>
      <c r="M689" s="31" t="n">
        <f aca="false">IF(I689="Yes",H689*INDEX(Resources!$I$2:$I$500,MATCH(E689,Resources!$A$2:$A$500,0)),0)</f>
        <v>11580.5</v>
      </c>
    </row>
    <row r="690" customFormat="false" ht="15" hidden="false" customHeight="false" outlineLevel="0" collapsed="false">
      <c r="A690" s="18" t="s">
        <v>1722</v>
      </c>
      <c r="B690" s="19" t="n">
        <v>46142</v>
      </c>
      <c r="C690" s="18" t="s">
        <v>215</v>
      </c>
      <c r="D690" s="18" t="s">
        <v>869</v>
      </c>
      <c r="E690" s="18" t="s">
        <v>450</v>
      </c>
      <c r="F690" s="18"/>
      <c r="G690" s="18" t="s">
        <v>1019</v>
      </c>
      <c r="H690" s="30" t="n">
        <v>204.8</v>
      </c>
      <c r="I690" s="18" t="s">
        <v>513</v>
      </c>
      <c r="J690" s="28" t="n">
        <v>21381.12</v>
      </c>
      <c r="K690" s="12" t="str">
        <f aca="false">TEXT(B690,"yyyy-mm")</f>
        <v>2026-04</v>
      </c>
      <c r="L690" s="21" t="str">
        <f aca="false">IFERROR(INDEX(Projects!$E$2:$E$500,MATCH(C690,Projects!$A$2:$A$500,0)),"")</f>
        <v>Data &amp; AI</v>
      </c>
      <c r="M690" s="31" t="n">
        <f aca="false">IF(I690="Yes",H690*INDEX(Resources!$I$2:$I$500,MATCH(E690,Resources!$A$2:$A$500,0)),0)</f>
        <v>43008</v>
      </c>
    </row>
    <row r="691" customFormat="false" ht="15" hidden="false" customHeight="false" outlineLevel="0" collapsed="false">
      <c r="A691" s="18" t="s">
        <v>1723</v>
      </c>
      <c r="B691" s="19" t="n">
        <v>46142</v>
      </c>
      <c r="C691" s="18" t="s">
        <v>215</v>
      </c>
      <c r="D691" s="18" t="s">
        <v>869</v>
      </c>
      <c r="E691" s="18" t="s">
        <v>462</v>
      </c>
      <c r="F691" s="18"/>
      <c r="G691" s="18" t="s">
        <v>1019</v>
      </c>
      <c r="H691" s="30" t="n">
        <v>91.5</v>
      </c>
      <c r="I691" s="18" t="s">
        <v>513</v>
      </c>
      <c r="J691" s="28" t="n">
        <v>10401.72</v>
      </c>
      <c r="K691" s="12" t="str">
        <f aca="false">TEXT(B691,"yyyy-mm")</f>
        <v>2026-04</v>
      </c>
      <c r="L691" s="21" t="str">
        <f aca="false">IFERROR(INDEX(Projects!$E$2:$E$500,MATCH(C691,Projects!$A$2:$A$500,0)),"")</f>
        <v>Data &amp; AI</v>
      </c>
      <c r="M691" s="31" t="n">
        <f aca="false">IF(I691="Yes",H691*INDEX(Resources!$I$2:$I$500,MATCH(E691,Resources!$A$2:$A$500,0)),0)</f>
        <v>21045</v>
      </c>
    </row>
    <row r="692" customFormat="false" ht="15" hidden="false" customHeight="false" outlineLevel="0" collapsed="false">
      <c r="A692" s="18" t="s">
        <v>1724</v>
      </c>
      <c r="B692" s="19" t="n">
        <v>46142</v>
      </c>
      <c r="C692" s="18" t="s">
        <v>215</v>
      </c>
      <c r="D692" s="18" t="s">
        <v>872</v>
      </c>
      <c r="E692" s="18"/>
      <c r="F692" s="18" t="s">
        <v>1059</v>
      </c>
      <c r="G692" s="18" t="s">
        <v>1026</v>
      </c>
      <c r="H692" s="30" t="n">
        <v>0</v>
      </c>
      <c r="I692" s="18" t="s">
        <v>527</v>
      </c>
      <c r="J692" s="28" t="n">
        <v>3031.6</v>
      </c>
      <c r="K692" s="12" t="str">
        <f aca="false">TEXT(B692,"yyyy-mm")</f>
        <v>2026-04</v>
      </c>
      <c r="L692" s="21" t="str">
        <f aca="false">IFERROR(INDEX(Projects!$E$2:$E$500,MATCH(C692,Projects!$A$2:$A$500,0)),"")</f>
        <v>Data &amp; AI</v>
      </c>
      <c r="M692" s="31" t="n">
        <f aca="false">IF(I692="Yes",H692*INDEX(Resources!$I$2:$I$500,MATCH(E692,Resources!$A$2:$A$500,0)),0)</f>
        <v>0</v>
      </c>
    </row>
    <row r="693" customFormat="false" ht="15" hidden="false" customHeight="false" outlineLevel="0" collapsed="false">
      <c r="A693" s="18" t="s">
        <v>1725</v>
      </c>
      <c r="B693" s="19" t="n">
        <v>46142</v>
      </c>
      <c r="C693" s="18" t="s">
        <v>215</v>
      </c>
      <c r="D693" s="18" t="s">
        <v>876</v>
      </c>
      <c r="E693" s="18"/>
      <c r="F693" s="18" t="s">
        <v>1032</v>
      </c>
      <c r="G693" s="18" t="s">
        <v>1033</v>
      </c>
      <c r="H693" s="30" t="n">
        <v>0</v>
      </c>
      <c r="I693" s="18" t="s">
        <v>527</v>
      </c>
      <c r="J693" s="28" t="n">
        <v>488.08</v>
      </c>
      <c r="K693" s="12" t="str">
        <f aca="false">TEXT(B693,"yyyy-mm")</f>
        <v>2026-04</v>
      </c>
      <c r="L693" s="21" t="str">
        <f aca="false">IFERROR(INDEX(Projects!$E$2:$E$500,MATCH(C693,Projects!$A$2:$A$500,0)),"")</f>
        <v>Data &amp; AI</v>
      </c>
      <c r="M693" s="31" t="n">
        <f aca="false">IF(I693="Yes",H693*INDEX(Resources!$I$2:$I$500,MATCH(E693,Resources!$A$2:$A$500,0)),0)</f>
        <v>0</v>
      </c>
    </row>
    <row r="694" customFormat="false" ht="15" hidden="false" customHeight="false" outlineLevel="0" collapsed="false">
      <c r="A694" s="18" t="s">
        <v>1726</v>
      </c>
      <c r="B694" s="19" t="n">
        <v>46142</v>
      </c>
      <c r="C694" s="18" t="s">
        <v>222</v>
      </c>
      <c r="D694" s="18" t="s">
        <v>889</v>
      </c>
      <c r="E694" s="18"/>
      <c r="F694" s="18" t="s">
        <v>1035</v>
      </c>
      <c r="G694" s="18" t="s">
        <v>1026</v>
      </c>
      <c r="H694" s="30" t="n">
        <v>0</v>
      </c>
      <c r="I694" s="18" t="s">
        <v>527</v>
      </c>
      <c r="J694" s="28" t="n">
        <v>6192.63</v>
      </c>
      <c r="K694" s="12" t="str">
        <f aca="false">TEXT(B694,"yyyy-mm")</f>
        <v>2026-04</v>
      </c>
      <c r="L694" s="21" t="str">
        <f aca="false">IFERROR(INDEX(Projects!$E$2:$E$500,MATCH(C694,Projects!$A$2:$A$500,0)),"")</f>
        <v>Cloud &amp; Infrastructure</v>
      </c>
      <c r="M694" s="31" t="n">
        <f aca="false">IF(I694="Yes",H694*INDEX(Resources!$I$2:$I$500,MATCH(E694,Resources!$A$2:$A$500,0)),0)</f>
        <v>0</v>
      </c>
    </row>
    <row r="695" customFormat="false" ht="15" hidden="false" customHeight="false" outlineLevel="0" collapsed="false">
      <c r="A695" s="18" t="s">
        <v>1727</v>
      </c>
      <c r="B695" s="19" t="n">
        <v>46142</v>
      </c>
      <c r="C695" s="18" t="s">
        <v>222</v>
      </c>
      <c r="D695" s="18" t="s">
        <v>869</v>
      </c>
      <c r="E695" s="18" t="s">
        <v>226</v>
      </c>
      <c r="F695" s="18"/>
      <c r="G695" s="18" t="s">
        <v>1019</v>
      </c>
      <c r="H695" s="30" t="n">
        <v>45</v>
      </c>
      <c r="I695" s="18" t="s">
        <v>513</v>
      </c>
      <c r="J695" s="28" t="n">
        <v>3960</v>
      </c>
      <c r="K695" s="12" t="str">
        <f aca="false">TEXT(B695,"yyyy-mm")</f>
        <v>2026-04</v>
      </c>
      <c r="L695" s="21" t="str">
        <f aca="false">IFERROR(INDEX(Projects!$E$2:$E$500,MATCH(C695,Projects!$A$2:$A$500,0)),"")</f>
        <v>Cloud &amp; Infrastructure</v>
      </c>
      <c r="M695" s="31" t="n">
        <f aca="false">IF(I695="Yes",H695*INDEX(Resources!$I$2:$I$500,MATCH(E695,Resources!$A$2:$A$500,0)),0)</f>
        <v>7875</v>
      </c>
    </row>
    <row r="696" customFormat="false" ht="15" hidden="false" customHeight="false" outlineLevel="0" collapsed="false">
      <c r="A696" s="18" t="s">
        <v>1728</v>
      </c>
      <c r="B696" s="19" t="n">
        <v>46142</v>
      </c>
      <c r="C696" s="18" t="s">
        <v>222</v>
      </c>
      <c r="D696" s="18" t="s">
        <v>869</v>
      </c>
      <c r="E696" s="18" t="s">
        <v>348</v>
      </c>
      <c r="F696" s="18"/>
      <c r="G696" s="18" t="s">
        <v>1019</v>
      </c>
      <c r="H696" s="30" t="n">
        <v>41</v>
      </c>
      <c r="I696" s="18" t="s">
        <v>513</v>
      </c>
      <c r="J696" s="28" t="n">
        <v>5326.72</v>
      </c>
      <c r="K696" s="12" t="str">
        <f aca="false">TEXT(B696,"yyyy-mm")</f>
        <v>2026-04</v>
      </c>
      <c r="L696" s="21" t="str">
        <f aca="false">IFERROR(INDEX(Projects!$E$2:$E$500,MATCH(C696,Projects!$A$2:$A$500,0)),"")</f>
        <v>Cloud &amp; Infrastructure</v>
      </c>
      <c r="M696" s="31" t="n">
        <f aca="false">IF(I696="Yes",H696*INDEX(Resources!$I$2:$I$500,MATCH(E696,Resources!$A$2:$A$500,0)),0)</f>
        <v>10660</v>
      </c>
    </row>
    <row r="697" customFormat="false" ht="15" hidden="false" customHeight="false" outlineLevel="0" collapsed="false">
      <c r="A697" s="18" t="s">
        <v>1729</v>
      </c>
      <c r="B697" s="19" t="n">
        <v>46142</v>
      </c>
      <c r="C697" s="18" t="s">
        <v>222</v>
      </c>
      <c r="D697" s="18" t="s">
        <v>869</v>
      </c>
      <c r="E697" s="18" t="s">
        <v>395</v>
      </c>
      <c r="F697" s="18"/>
      <c r="G697" s="18" t="s">
        <v>1019</v>
      </c>
      <c r="H697" s="30" t="n">
        <v>93.8</v>
      </c>
      <c r="I697" s="18" t="s">
        <v>513</v>
      </c>
      <c r="J697" s="28" t="n">
        <v>10031.91</v>
      </c>
      <c r="K697" s="12" t="str">
        <f aca="false">TEXT(B697,"yyyy-mm")</f>
        <v>2026-04</v>
      </c>
      <c r="L697" s="21" t="str">
        <f aca="false">IFERROR(INDEX(Projects!$E$2:$E$500,MATCH(C697,Projects!$A$2:$A$500,0)),"")</f>
        <v>Cloud &amp; Infrastructure</v>
      </c>
      <c r="M697" s="31" t="n">
        <f aca="false">IF(I697="Yes",H697*INDEX(Resources!$I$2:$I$500,MATCH(E697,Resources!$A$2:$A$500,0)),0)</f>
        <v>15946</v>
      </c>
    </row>
    <row r="698" customFormat="false" ht="15" hidden="false" customHeight="false" outlineLevel="0" collapsed="false">
      <c r="A698" s="18" t="s">
        <v>1730</v>
      </c>
      <c r="B698" s="19" t="n">
        <v>46142</v>
      </c>
      <c r="C698" s="18" t="s">
        <v>222</v>
      </c>
      <c r="D698" s="18" t="s">
        <v>869</v>
      </c>
      <c r="E698" s="18" t="s">
        <v>470</v>
      </c>
      <c r="F698" s="18"/>
      <c r="G698" s="18" t="s">
        <v>1019</v>
      </c>
      <c r="H698" s="30" t="n">
        <v>167.9</v>
      </c>
      <c r="I698" s="18" t="s">
        <v>513</v>
      </c>
      <c r="J698" s="28" t="n">
        <v>18307.82</v>
      </c>
      <c r="K698" s="12" t="str">
        <f aca="false">TEXT(B698,"yyyy-mm")</f>
        <v>2026-04</v>
      </c>
      <c r="L698" s="21" t="str">
        <f aca="false">IFERROR(INDEX(Projects!$E$2:$E$500,MATCH(C698,Projects!$A$2:$A$500,0)),"")</f>
        <v>Cloud &amp; Infrastructure</v>
      </c>
      <c r="M698" s="31" t="n">
        <f aca="false">IF(I698="Yes",H698*INDEX(Resources!$I$2:$I$500,MATCH(E698,Resources!$A$2:$A$500,0)),0)</f>
        <v>36938</v>
      </c>
    </row>
    <row r="699" customFormat="false" ht="15" hidden="false" customHeight="false" outlineLevel="0" collapsed="false">
      <c r="A699" s="18" t="s">
        <v>1731</v>
      </c>
      <c r="B699" s="19" t="n">
        <v>46142</v>
      </c>
      <c r="C699" s="18" t="s">
        <v>222</v>
      </c>
      <c r="D699" s="18" t="s">
        <v>869</v>
      </c>
      <c r="E699" s="18" t="s">
        <v>483</v>
      </c>
      <c r="F699" s="18"/>
      <c r="G699" s="18" t="s">
        <v>1019</v>
      </c>
      <c r="H699" s="30" t="n">
        <v>91</v>
      </c>
      <c r="I699" s="18" t="s">
        <v>513</v>
      </c>
      <c r="J699" s="28" t="n">
        <v>9078.16</v>
      </c>
      <c r="K699" s="12" t="str">
        <f aca="false">TEXT(B699,"yyyy-mm")</f>
        <v>2026-04</v>
      </c>
      <c r="L699" s="21" t="str">
        <f aca="false">IFERROR(INDEX(Projects!$E$2:$E$500,MATCH(C699,Projects!$A$2:$A$500,0)),"")</f>
        <v>Cloud &amp; Infrastructure</v>
      </c>
      <c r="M699" s="31" t="n">
        <f aca="false">IF(I699="Yes",H699*INDEX(Resources!$I$2:$I$500,MATCH(E699,Resources!$A$2:$A$500,0)),0)</f>
        <v>18655</v>
      </c>
    </row>
    <row r="700" customFormat="false" ht="15" hidden="false" customHeight="false" outlineLevel="0" collapsed="false">
      <c r="A700" s="18" t="s">
        <v>1732</v>
      </c>
      <c r="B700" s="19" t="n">
        <v>46142</v>
      </c>
      <c r="C700" s="18" t="s">
        <v>222</v>
      </c>
      <c r="D700" s="18" t="s">
        <v>872</v>
      </c>
      <c r="E700" s="18"/>
      <c r="F700" s="18" t="s">
        <v>353</v>
      </c>
      <c r="G700" s="18" t="s">
        <v>1026</v>
      </c>
      <c r="H700" s="30" t="n">
        <v>0</v>
      </c>
      <c r="I700" s="18" t="s">
        <v>527</v>
      </c>
      <c r="J700" s="28" t="n">
        <v>2304.58</v>
      </c>
      <c r="K700" s="12" t="str">
        <f aca="false">TEXT(B700,"yyyy-mm")</f>
        <v>2026-04</v>
      </c>
      <c r="L700" s="21" t="str">
        <f aca="false">IFERROR(INDEX(Projects!$E$2:$E$500,MATCH(C700,Projects!$A$2:$A$500,0)),"")</f>
        <v>Cloud &amp; Infrastructure</v>
      </c>
      <c r="M700" s="31" t="n">
        <f aca="false">IF(I700="Yes",H700*INDEX(Resources!$I$2:$I$500,MATCH(E700,Resources!$A$2:$A$500,0)),0)</f>
        <v>0</v>
      </c>
    </row>
    <row r="701" customFormat="false" ht="15" hidden="false" customHeight="false" outlineLevel="0" collapsed="false">
      <c r="A701" s="18" t="s">
        <v>1733</v>
      </c>
      <c r="B701" s="19" t="n">
        <v>46142</v>
      </c>
      <c r="C701" s="18" t="s">
        <v>222</v>
      </c>
      <c r="D701" s="18" t="s">
        <v>876</v>
      </c>
      <c r="E701" s="18"/>
      <c r="F701" s="18" t="s">
        <v>1032</v>
      </c>
      <c r="G701" s="18" t="s">
        <v>1033</v>
      </c>
      <c r="H701" s="30" t="n">
        <v>0</v>
      </c>
      <c r="I701" s="18" t="s">
        <v>527</v>
      </c>
      <c r="J701" s="28" t="n">
        <v>994.95</v>
      </c>
      <c r="K701" s="12" t="str">
        <f aca="false">TEXT(B701,"yyyy-mm")</f>
        <v>2026-04</v>
      </c>
      <c r="L701" s="21" t="str">
        <f aca="false">IFERROR(INDEX(Projects!$E$2:$E$500,MATCH(C701,Projects!$A$2:$A$500,0)),"")</f>
        <v>Cloud &amp; Infrastructure</v>
      </c>
      <c r="M701" s="31" t="n">
        <f aca="false">IF(I701="Yes",H701*INDEX(Resources!$I$2:$I$500,MATCH(E701,Resources!$A$2:$A$500,0)),0)</f>
        <v>0</v>
      </c>
    </row>
    <row r="702" customFormat="false" ht="15" hidden="false" customHeight="false" outlineLevel="0" collapsed="false">
      <c r="A702" s="18" t="s">
        <v>1734</v>
      </c>
      <c r="B702" s="19" t="n">
        <v>46142</v>
      </c>
      <c r="C702" s="18" t="s">
        <v>228</v>
      </c>
      <c r="D702" s="18" t="s">
        <v>889</v>
      </c>
      <c r="E702" s="18"/>
      <c r="F702" s="18" t="s">
        <v>1035</v>
      </c>
      <c r="G702" s="18" t="s">
        <v>1026</v>
      </c>
      <c r="H702" s="30" t="n">
        <v>0</v>
      </c>
      <c r="I702" s="18" t="s">
        <v>527</v>
      </c>
      <c r="J702" s="28" t="n">
        <v>2790.71</v>
      </c>
      <c r="K702" s="12" t="str">
        <f aca="false">TEXT(B702,"yyyy-mm")</f>
        <v>2026-04</v>
      </c>
      <c r="L702" s="21" t="str">
        <f aca="false">IFERROR(INDEX(Projects!$E$2:$E$500,MATCH(C702,Projects!$A$2:$A$500,0)),"")</f>
        <v>Data &amp; AI</v>
      </c>
      <c r="M702" s="31" t="n">
        <f aca="false">IF(I702="Yes",H702*INDEX(Resources!$I$2:$I$500,MATCH(E702,Resources!$A$2:$A$500,0)),0)</f>
        <v>0</v>
      </c>
    </row>
    <row r="703" customFormat="false" ht="15" hidden="false" customHeight="false" outlineLevel="0" collapsed="false">
      <c r="A703" s="18" t="s">
        <v>1735</v>
      </c>
      <c r="B703" s="19" t="n">
        <v>46142</v>
      </c>
      <c r="C703" s="18" t="s">
        <v>228</v>
      </c>
      <c r="D703" s="18" t="s">
        <v>869</v>
      </c>
      <c r="E703" s="18" t="s">
        <v>231</v>
      </c>
      <c r="F703" s="18"/>
      <c r="G703" s="18" t="s">
        <v>1019</v>
      </c>
      <c r="H703" s="30" t="n">
        <v>61.4</v>
      </c>
      <c r="I703" s="18" t="s">
        <v>513</v>
      </c>
      <c r="J703" s="28" t="n">
        <v>6267.71</v>
      </c>
      <c r="K703" s="12" t="str">
        <f aca="false">TEXT(B703,"yyyy-mm")</f>
        <v>2026-04</v>
      </c>
      <c r="L703" s="21" t="str">
        <f aca="false">IFERROR(INDEX(Projects!$E$2:$E$500,MATCH(C703,Projects!$A$2:$A$500,0)),"")</f>
        <v>Data &amp; AI</v>
      </c>
      <c r="M703" s="31" t="n">
        <f aca="false">IF(I703="Yes",H703*INDEX(Resources!$I$2:$I$500,MATCH(E703,Resources!$A$2:$A$500,0)),0)</f>
        <v>12587</v>
      </c>
    </row>
    <row r="704" customFormat="false" ht="15" hidden="false" customHeight="false" outlineLevel="0" collapsed="false">
      <c r="A704" s="18" t="s">
        <v>1736</v>
      </c>
      <c r="B704" s="19" t="n">
        <v>46142</v>
      </c>
      <c r="C704" s="18" t="s">
        <v>228</v>
      </c>
      <c r="D704" s="18" t="s">
        <v>869</v>
      </c>
      <c r="E704" s="18" t="s">
        <v>354</v>
      </c>
      <c r="F704" s="18"/>
      <c r="G704" s="18" t="s">
        <v>1019</v>
      </c>
      <c r="H704" s="30" t="n">
        <v>59.4</v>
      </c>
      <c r="I704" s="18" t="s">
        <v>513</v>
      </c>
      <c r="J704" s="28" t="n">
        <v>7717.25</v>
      </c>
      <c r="K704" s="12" t="str">
        <f aca="false">TEXT(B704,"yyyy-mm")</f>
        <v>2026-04</v>
      </c>
      <c r="L704" s="21" t="str">
        <f aca="false">IFERROR(INDEX(Projects!$E$2:$E$500,MATCH(C704,Projects!$A$2:$A$500,0)),"")</f>
        <v>Data &amp; AI</v>
      </c>
      <c r="M704" s="31" t="n">
        <f aca="false">IF(I704="Yes",H704*INDEX(Resources!$I$2:$I$500,MATCH(E704,Resources!$A$2:$A$500,0)),0)</f>
        <v>15444</v>
      </c>
    </row>
    <row r="705" customFormat="false" ht="15" hidden="false" customHeight="false" outlineLevel="0" collapsed="false">
      <c r="A705" s="18" t="s">
        <v>1737</v>
      </c>
      <c r="B705" s="19" t="n">
        <v>46142</v>
      </c>
      <c r="C705" s="18" t="s">
        <v>228</v>
      </c>
      <c r="D705" s="18" t="s">
        <v>869</v>
      </c>
      <c r="E705" s="18" t="s">
        <v>417</v>
      </c>
      <c r="F705" s="18"/>
      <c r="G705" s="18" t="s">
        <v>1019</v>
      </c>
      <c r="H705" s="30" t="n">
        <v>105</v>
      </c>
      <c r="I705" s="18" t="s">
        <v>513</v>
      </c>
      <c r="J705" s="28" t="n">
        <v>5712</v>
      </c>
      <c r="K705" s="12" t="str">
        <f aca="false">TEXT(B705,"yyyy-mm")</f>
        <v>2026-04</v>
      </c>
      <c r="L705" s="21" t="str">
        <f aca="false">IFERROR(INDEX(Projects!$E$2:$E$500,MATCH(C705,Projects!$A$2:$A$500,0)),"")</f>
        <v>Data &amp; AI</v>
      </c>
      <c r="M705" s="31" t="n">
        <f aca="false">IF(I705="Yes",H705*INDEX(Resources!$I$2:$I$500,MATCH(E705,Resources!$A$2:$A$500,0)),0)</f>
        <v>11550</v>
      </c>
    </row>
    <row r="706" customFormat="false" ht="15" hidden="false" customHeight="false" outlineLevel="0" collapsed="false">
      <c r="A706" s="18" t="s">
        <v>1738</v>
      </c>
      <c r="B706" s="19" t="n">
        <v>46142</v>
      </c>
      <c r="C706" s="18" t="s">
        <v>228</v>
      </c>
      <c r="D706" s="18" t="s">
        <v>869</v>
      </c>
      <c r="E706" s="18" t="s">
        <v>454</v>
      </c>
      <c r="F706" s="18"/>
      <c r="G706" s="18" t="s">
        <v>1019</v>
      </c>
      <c r="H706" s="30" t="n">
        <v>168</v>
      </c>
      <c r="I706" s="18" t="s">
        <v>513</v>
      </c>
      <c r="J706" s="28" t="n">
        <v>12852</v>
      </c>
      <c r="K706" s="12" t="str">
        <f aca="false">TEXT(B706,"yyyy-mm")</f>
        <v>2026-04</v>
      </c>
      <c r="L706" s="21" t="str">
        <f aca="false">IFERROR(INDEX(Projects!$E$2:$E$500,MATCH(C706,Projects!$A$2:$A$500,0)),"")</f>
        <v>Data &amp; AI</v>
      </c>
      <c r="M706" s="31" t="n">
        <f aca="false">IF(I706="Yes",H706*INDEX(Resources!$I$2:$I$500,MATCH(E706,Resources!$A$2:$A$500,0)),0)</f>
        <v>26040</v>
      </c>
    </row>
    <row r="707" customFormat="false" ht="15" hidden="false" customHeight="false" outlineLevel="0" collapsed="false">
      <c r="A707" s="18" t="s">
        <v>1739</v>
      </c>
      <c r="B707" s="19" t="n">
        <v>46142</v>
      </c>
      <c r="C707" s="18" t="s">
        <v>228</v>
      </c>
      <c r="D707" s="18" t="s">
        <v>872</v>
      </c>
      <c r="E707" s="18"/>
      <c r="F707" s="18" t="s">
        <v>1059</v>
      </c>
      <c r="G707" s="18" t="s">
        <v>1026</v>
      </c>
      <c r="H707" s="30" t="n">
        <v>0</v>
      </c>
      <c r="I707" s="18" t="s">
        <v>527</v>
      </c>
      <c r="J707" s="28" t="n">
        <v>2040.48</v>
      </c>
      <c r="K707" s="12" t="str">
        <f aca="false">TEXT(B707,"yyyy-mm")</f>
        <v>2026-04</v>
      </c>
      <c r="L707" s="21" t="str">
        <f aca="false">IFERROR(INDEX(Projects!$E$2:$E$500,MATCH(C707,Projects!$A$2:$A$500,0)),"")</f>
        <v>Data &amp; AI</v>
      </c>
      <c r="M707" s="31" t="n">
        <f aca="false">IF(I707="Yes",H707*INDEX(Resources!$I$2:$I$500,MATCH(E707,Resources!$A$2:$A$500,0)),0)</f>
        <v>0</v>
      </c>
    </row>
    <row r="708" customFormat="false" ht="15" hidden="false" customHeight="false" outlineLevel="0" collapsed="false">
      <c r="A708" s="18" t="s">
        <v>1740</v>
      </c>
      <c r="B708" s="19" t="n">
        <v>46142</v>
      </c>
      <c r="C708" s="18" t="s">
        <v>228</v>
      </c>
      <c r="D708" s="18" t="s">
        <v>876</v>
      </c>
      <c r="E708" s="18"/>
      <c r="F708" s="18" t="s">
        <v>1071</v>
      </c>
      <c r="G708" s="18" t="s">
        <v>1033</v>
      </c>
      <c r="H708" s="30" t="n">
        <v>0</v>
      </c>
      <c r="I708" s="18" t="s">
        <v>527</v>
      </c>
      <c r="J708" s="28" t="n">
        <v>513.82</v>
      </c>
      <c r="K708" s="12" t="str">
        <f aca="false">TEXT(B708,"yyyy-mm")</f>
        <v>2026-04</v>
      </c>
      <c r="L708" s="21" t="str">
        <f aca="false">IFERROR(INDEX(Projects!$E$2:$E$500,MATCH(C708,Projects!$A$2:$A$500,0)),"")</f>
        <v>Data &amp; AI</v>
      </c>
      <c r="M708" s="31" t="n">
        <f aca="false">IF(I708="Yes",H708*INDEX(Resources!$I$2:$I$500,MATCH(E708,Resources!$A$2:$A$500,0)),0)</f>
        <v>0</v>
      </c>
    </row>
    <row r="709" customFormat="false" ht="15" hidden="false" customHeight="false" outlineLevel="0" collapsed="false">
      <c r="A709" s="18" t="s">
        <v>1741</v>
      </c>
      <c r="B709" s="19" t="n">
        <v>46142</v>
      </c>
      <c r="C709" s="18" t="s">
        <v>233</v>
      </c>
      <c r="D709" s="18" t="s">
        <v>869</v>
      </c>
      <c r="E709" s="18" t="s">
        <v>237</v>
      </c>
      <c r="F709" s="18"/>
      <c r="G709" s="18" t="s">
        <v>1019</v>
      </c>
      <c r="H709" s="30" t="n">
        <v>111.6</v>
      </c>
      <c r="I709" s="18" t="s">
        <v>513</v>
      </c>
      <c r="J709" s="28" t="n">
        <v>8347.68</v>
      </c>
      <c r="K709" s="12" t="str">
        <f aca="false">TEXT(B709,"yyyy-mm")</f>
        <v>2026-04</v>
      </c>
      <c r="L709" s="21" t="str">
        <f aca="false">IFERROR(INDEX(Projects!$E$2:$E$500,MATCH(C709,Projects!$A$2:$A$500,0)),"")</f>
        <v>Customer Experience</v>
      </c>
      <c r="M709" s="31" t="n">
        <f aca="false">IF(I709="Yes",H709*INDEX(Resources!$I$2:$I$500,MATCH(E709,Resources!$A$2:$A$500,0)),0)</f>
        <v>16740</v>
      </c>
    </row>
    <row r="710" customFormat="false" ht="15" hidden="false" customHeight="false" outlineLevel="0" collapsed="false">
      <c r="A710" s="18" t="s">
        <v>1742</v>
      </c>
      <c r="B710" s="19" t="n">
        <v>46142</v>
      </c>
      <c r="C710" s="18" t="s">
        <v>233</v>
      </c>
      <c r="D710" s="18" t="s">
        <v>869</v>
      </c>
      <c r="E710" s="18" t="s">
        <v>375</v>
      </c>
      <c r="F710" s="18"/>
      <c r="G710" s="18" t="s">
        <v>1019</v>
      </c>
      <c r="H710" s="30" t="n">
        <v>67.6</v>
      </c>
      <c r="I710" s="18" t="s">
        <v>513</v>
      </c>
      <c r="J710" s="28" t="n">
        <v>4884.1</v>
      </c>
      <c r="K710" s="12" t="str">
        <f aca="false">TEXT(B710,"yyyy-mm")</f>
        <v>2026-04</v>
      </c>
      <c r="L710" s="21" t="str">
        <f aca="false">IFERROR(INDEX(Projects!$E$2:$E$500,MATCH(C710,Projects!$A$2:$A$500,0)),"")</f>
        <v>Customer Experience</v>
      </c>
      <c r="M710" s="31" t="n">
        <f aca="false">IF(I710="Yes",H710*INDEX(Resources!$I$2:$I$500,MATCH(E710,Resources!$A$2:$A$500,0)),0)</f>
        <v>8112</v>
      </c>
    </row>
    <row r="711" customFormat="false" ht="15" hidden="false" customHeight="false" outlineLevel="0" collapsed="false">
      <c r="A711" s="18" t="s">
        <v>1743</v>
      </c>
      <c r="B711" s="19" t="n">
        <v>46142</v>
      </c>
      <c r="C711" s="18" t="s">
        <v>233</v>
      </c>
      <c r="D711" s="18" t="s">
        <v>869</v>
      </c>
      <c r="E711" s="18" t="s">
        <v>384</v>
      </c>
      <c r="F711" s="18"/>
      <c r="G711" s="18" t="s">
        <v>1019</v>
      </c>
      <c r="H711" s="30" t="n">
        <v>98.7</v>
      </c>
      <c r="I711" s="18" t="s">
        <v>513</v>
      </c>
      <c r="J711" s="28" t="n">
        <v>6792.53</v>
      </c>
      <c r="K711" s="12" t="str">
        <f aca="false">TEXT(B711,"yyyy-mm")</f>
        <v>2026-04</v>
      </c>
      <c r="L711" s="21" t="str">
        <f aca="false">IFERROR(INDEX(Projects!$E$2:$E$500,MATCH(C711,Projects!$A$2:$A$500,0)),"")</f>
        <v>Customer Experience</v>
      </c>
      <c r="M711" s="31" t="n">
        <f aca="false">IF(I711="Yes",H711*INDEX(Resources!$I$2:$I$500,MATCH(E711,Resources!$A$2:$A$500,0)),0)</f>
        <v>13818</v>
      </c>
    </row>
    <row r="712" customFormat="false" ht="15" hidden="false" customHeight="false" outlineLevel="0" collapsed="false">
      <c r="A712" s="18" t="s">
        <v>1744</v>
      </c>
      <c r="B712" s="19" t="n">
        <v>46142</v>
      </c>
      <c r="C712" s="18" t="s">
        <v>233</v>
      </c>
      <c r="D712" s="18" t="s">
        <v>869</v>
      </c>
      <c r="E712" s="18" t="s">
        <v>398</v>
      </c>
      <c r="F712" s="18"/>
      <c r="G712" s="18" t="s">
        <v>1019</v>
      </c>
      <c r="H712" s="30" t="n">
        <v>160.1</v>
      </c>
      <c r="I712" s="18" t="s">
        <v>513</v>
      </c>
      <c r="J712" s="28" t="n">
        <v>13698.16</v>
      </c>
      <c r="K712" s="12" t="str">
        <f aca="false">TEXT(B712,"yyyy-mm")</f>
        <v>2026-04</v>
      </c>
      <c r="L712" s="21" t="str">
        <f aca="false">IFERROR(INDEX(Projects!$E$2:$E$500,MATCH(C712,Projects!$A$2:$A$500,0)),"")</f>
        <v>Customer Experience</v>
      </c>
      <c r="M712" s="31" t="n">
        <f aca="false">IF(I712="Yes",H712*INDEX(Resources!$I$2:$I$500,MATCH(E712,Resources!$A$2:$A$500,0)),0)</f>
        <v>27217</v>
      </c>
    </row>
    <row r="713" customFormat="false" ht="15" hidden="false" customHeight="false" outlineLevel="0" collapsed="false">
      <c r="A713" s="18" t="s">
        <v>1745</v>
      </c>
      <c r="B713" s="19" t="n">
        <v>46142</v>
      </c>
      <c r="C713" s="18" t="s">
        <v>233</v>
      </c>
      <c r="D713" s="18" t="s">
        <v>869</v>
      </c>
      <c r="E713" s="18" t="s">
        <v>420</v>
      </c>
      <c r="F713" s="18"/>
      <c r="G713" s="18" t="s">
        <v>1019</v>
      </c>
      <c r="H713" s="30" t="n">
        <v>209.1</v>
      </c>
      <c r="I713" s="18" t="s">
        <v>513</v>
      </c>
      <c r="J713" s="28" t="n">
        <v>12445.63</v>
      </c>
      <c r="K713" s="12" t="str">
        <f aca="false">TEXT(B713,"yyyy-mm")</f>
        <v>2026-04</v>
      </c>
      <c r="L713" s="21" t="str">
        <f aca="false">IFERROR(INDEX(Projects!$E$2:$E$500,MATCH(C713,Projects!$A$2:$A$500,0)),"")</f>
        <v>Customer Experience</v>
      </c>
      <c r="M713" s="31" t="n">
        <f aca="false">IF(I713="Yes",H713*INDEX(Resources!$I$2:$I$500,MATCH(E713,Resources!$A$2:$A$500,0)),0)</f>
        <v>25092</v>
      </c>
    </row>
    <row r="714" customFormat="false" ht="15" hidden="false" customHeight="false" outlineLevel="0" collapsed="false">
      <c r="A714" s="18" t="s">
        <v>1746</v>
      </c>
      <c r="B714" s="19" t="n">
        <v>46142</v>
      </c>
      <c r="C714" s="18" t="s">
        <v>233</v>
      </c>
      <c r="D714" s="18" t="s">
        <v>869</v>
      </c>
      <c r="E714" s="18" t="s">
        <v>444</v>
      </c>
      <c r="F714" s="18"/>
      <c r="G714" s="18" t="s">
        <v>1019</v>
      </c>
      <c r="H714" s="30" t="n">
        <v>115.4</v>
      </c>
      <c r="I714" s="18" t="s">
        <v>513</v>
      </c>
      <c r="J714" s="28" t="n">
        <v>6010.03</v>
      </c>
      <c r="K714" s="12" t="str">
        <f aca="false">TEXT(B714,"yyyy-mm")</f>
        <v>2026-04</v>
      </c>
      <c r="L714" s="21" t="str">
        <f aca="false">IFERROR(INDEX(Projects!$E$2:$E$500,MATCH(C714,Projects!$A$2:$A$500,0)),"")</f>
        <v>Customer Experience</v>
      </c>
      <c r="M714" s="31" t="n">
        <f aca="false">IF(I714="Yes",H714*INDEX(Resources!$I$2:$I$500,MATCH(E714,Resources!$A$2:$A$500,0)),0)</f>
        <v>12117</v>
      </c>
    </row>
    <row r="715" customFormat="false" ht="15" hidden="false" customHeight="false" outlineLevel="0" collapsed="false">
      <c r="A715" s="18" t="s">
        <v>1747</v>
      </c>
      <c r="B715" s="19" t="n">
        <v>46142</v>
      </c>
      <c r="C715" s="18" t="s">
        <v>233</v>
      </c>
      <c r="D715" s="18" t="s">
        <v>872</v>
      </c>
      <c r="E715" s="18"/>
      <c r="F715" s="18" t="s">
        <v>353</v>
      </c>
      <c r="G715" s="18" t="s">
        <v>1026</v>
      </c>
      <c r="H715" s="30" t="n">
        <v>0</v>
      </c>
      <c r="I715" s="18" t="s">
        <v>527</v>
      </c>
      <c r="J715" s="28" t="n">
        <v>2816.83</v>
      </c>
      <c r="K715" s="12" t="str">
        <f aca="false">TEXT(B715,"yyyy-mm")</f>
        <v>2026-04</v>
      </c>
      <c r="L715" s="21" t="str">
        <f aca="false">IFERROR(INDEX(Projects!$E$2:$E$500,MATCH(C715,Projects!$A$2:$A$500,0)),"")</f>
        <v>Customer Experience</v>
      </c>
      <c r="M715" s="31" t="n">
        <f aca="false">IF(I715="Yes",H715*INDEX(Resources!$I$2:$I$500,MATCH(E715,Resources!$A$2:$A$500,0)),0)</f>
        <v>0</v>
      </c>
    </row>
    <row r="716" customFormat="false" ht="15" hidden="false" customHeight="false" outlineLevel="0" collapsed="false">
      <c r="A716" s="18" t="s">
        <v>1748</v>
      </c>
      <c r="B716" s="19" t="n">
        <v>46142</v>
      </c>
      <c r="C716" s="18" t="s">
        <v>233</v>
      </c>
      <c r="D716" s="18" t="s">
        <v>874</v>
      </c>
      <c r="E716" s="18"/>
      <c r="F716" s="18" t="s">
        <v>1028</v>
      </c>
      <c r="G716" s="18" t="s">
        <v>1026</v>
      </c>
      <c r="H716" s="30" t="n">
        <v>0</v>
      </c>
      <c r="I716" s="18" t="s">
        <v>527</v>
      </c>
      <c r="J716" s="28" t="n">
        <v>4709.2</v>
      </c>
      <c r="K716" s="12" t="str">
        <f aca="false">TEXT(B716,"yyyy-mm")</f>
        <v>2026-04</v>
      </c>
      <c r="L716" s="21" t="str">
        <f aca="false">IFERROR(INDEX(Projects!$E$2:$E$500,MATCH(C716,Projects!$A$2:$A$500,0)),"")</f>
        <v>Customer Experience</v>
      </c>
      <c r="M716" s="31" t="n">
        <f aca="false">IF(I716="Yes",H716*INDEX(Resources!$I$2:$I$500,MATCH(E716,Resources!$A$2:$A$500,0)),0)</f>
        <v>0</v>
      </c>
    </row>
    <row r="717" customFormat="false" ht="15" hidden="false" customHeight="false" outlineLevel="0" collapsed="false">
      <c r="A717" s="18" t="s">
        <v>1749</v>
      </c>
      <c r="B717" s="19" t="n">
        <v>46142</v>
      </c>
      <c r="C717" s="18" t="s">
        <v>233</v>
      </c>
      <c r="D717" s="18" t="s">
        <v>876</v>
      </c>
      <c r="E717" s="18"/>
      <c r="F717" s="18" t="s">
        <v>1071</v>
      </c>
      <c r="G717" s="18" t="s">
        <v>1033</v>
      </c>
      <c r="H717" s="30" t="n">
        <v>0</v>
      </c>
      <c r="I717" s="18" t="s">
        <v>527</v>
      </c>
      <c r="J717" s="28" t="n">
        <v>792.31</v>
      </c>
      <c r="K717" s="12" t="str">
        <f aca="false">TEXT(B717,"yyyy-mm")</f>
        <v>2026-04</v>
      </c>
      <c r="L717" s="21" t="str">
        <f aca="false">IFERROR(INDEX(Projects!$E$2:$E$500,MATCH(C717,Projects!$A$2:$A$500,0)),"")</f>
        <v>Customer Experience</v>
      </c>
      <c r="M717" s="31" t="n">
        <f aca="false">IF(I717="Yes",H717*INDEX(Resources!$I$2:$I$500,MATCH(E717,Resources!$A$2:$A$500,0)),0)</f>
        <v>0</v>
      </c>
    </row>
    <row r="718" customFormat="false" ht="15" hidden="false" customHeight="false" outlineLevel="0" collapsed="false">
      <c r="A718" s="18" t="s">
        <v>1750</v>
      </c>
      <c r="B718" s="19" t="n">
        <v>46142</v>
      </c>
      <c r="C718" s="18" t="s">
        <v>239</v>
      </c>
      <c r="D718" s="18" t="s">
        <v>869</v>
      </c>
      <c r="E718" s="18" t="s">
        <v>242</v>
      </c>
      <c r="F718" s="18"/>
      <c r="G718" s="18" t="s">
        <v>1019</v>
      </c>
      <c r="H718" s="30" t="n">
        <v>70.7</v>
      </c>
      <c r="I718" s="18" t="s">
        <v>513</v>
      </c>
      <c r="J718" s="28" t="n">
        <v>6719.33</v>
      </c>
      <c r="K718" s="12" t="str">
        <f aca="false">TEXT(B718,"yyyy-mm")</f>
        <v>2026-04</v>
      </c>
      <c r="L718" s="21" t="str">
        <f aca="false">IFERROR(INDEX(Projects!$E$2:$E$500,MATCH(C718,Projects!$A$2:$A$500,0)),"")</f>
        <v>Digital Transformation</v>
      </c>
      <c r="M718" s="31" t="n">
        <f aca="false">IF(I718="Yes",H718*INDEX(Resources!$I$2:$I$500,MATCH(E718,Resources!$A$2:$A$500,0)),0)</f>
        <v>13433</v>
      </c>
    </row>
    <row r="719" customFormat="false" ht="15" hidden="false" customHeight="false" outlineLevel="0" collapsed="false">
      <c r="A719" s="18" t="s">
        <v>1751</v>
      </c>
      <c r="B719" s="19" t="n">
        <v>46142</v>
      </c>
      <c r="C719" s="18" t="s">
        <v>239</v>
      </c>
      <c r="D719" s="18" t="s">
        <v>869</v>
      </c>
      <c r="E719" s="18" t="s">
        <v>360</v>
      </c>
      <c r="F719" s="18"/>
      <c r="G719" s="18" t="s">
        <v>1019</v>
      </c>
      <c r="H719" s="30" t="n">
        <v>77.7</v>
      </c>
      <c r="I719" s="18" t="s">
        <v>513</v>
      </c>
      <c r="J719" s="28" t="n">
        <v>8093.23</v>
      </c>
      <c r="K719" s="12" t="str">
        <f aca="false">TEXT(B719,"yyyy-mm")</f>
        <v>2026-04</v>
      </c>
      <c r="L719" s="21" t="str">
        <f aca="false">IFERROR(INDEX(Projects!$E$2:$E$500,MATCH(C719,Projects!$A$2:$A$500,0)),"")</f>
        <v>Digital Transformation</v>
      </c>
      <c r="M719" s="31" t="n">
        <f aca="false">IF(I719="Yes",H719*INDEX(Resources!$I$2:$I$500,MATCH(E719,Resources!$A$2:$A$500,0)),0)</f>
        <v>16317</v>
      </c>
    </row>
    <row r="720" customFormat="false" ht="15" hidden="false" customHeight="false" outlineLevel="0" collapsed="false">
      <c r="A720" s="18" t="s">
        <v>1752</v>
      </c>
      <c r="B720" s="19" t="n">
        <v>46142</v>
      </c>
      <c r="C720" s="18" t="s">
        <v>239</v>
      </c>
      <c r="D720" s="18" t="s">
        <v>869</v>
      </c>
      <c r="E720" s="18" t="s">
        <v>371</v>
      </c>
      <c r="F720" s="18"/>
      <c r="G720" s="18" t="s">
        <v>1019</v>
      </c>
      <c r="H720" s="30" t="n">
        <v>76.8</v>
      </c>
      <c r="I720" s="18" t="s">
        <v>513</v>
      </c>
      <c r="J720" s="28" t="n">
        <v>4856.83</v>
      </c>
      <c r="K720" s="12" t="str">
        <f aca="false">TEXT(B720,"yyyy-mm")</f>
        <v>2026-04</v>
      </c>
      <c r="L720" s="21" t="str">
        <f aca="false">IFERROR(INDEX(Projects!$E$2:$E$500,MATCH(C720,Projects!$A$2:$A$500,0)),"")</f>
        <v>Digital Transformation</v>
      </c>
      <c r="M720" s="31" t="n">
        <f aca="false">IF(I720="Yes",H720*INDEX(Resources!$I$2:$I$500,MATCH(E720,Resources!$A$2:$A$500,0)),0)</f>
        <v>9984</v>
      </c>
    </row>
    <row r="721" customFormat="false" ht="15" hidden="false" customHeight="false" outlineLevel="0" collapsed="false">
      <c r="A721" s="18" t="s">
        <v>1753</v>
      </c>
      <c r="B721" s="19" t="n">
        <v>46142</v>
      </c>
      <c r="C721" s="18" t="s">
        <v>239</v>
      </c>
      <c r="D721" s="18" t="s">
        <v>869</v>
      </c>
      <c r="E721" s="18" t="s">
        <v>400</v>
      </c>
      <c r="F721" s="18"/>
      <c r="G721" s="18" t="s">
        <v>1019</v>
      </c>
      <c r="H721" s="30" t="n">
        <v>118.1</v>
      </c>
      <c r="I721" s="18" t="s">
        <v>513</v>
      </c>
      <c r="J721" s="28" t="n">
        <v>11734.42</v>
      </c>
      <c r="K721" s="12" t="str">
        <f aca="false">TEXT(B721,"yyyy-mm")</f>
        <v>2026-04</v>
      </c>
      <c r="L721" s="21" t="str">
        <f aca="false">IFERROR(INDEX(Projects!$E$2:$E$500,MATCH(C721,Projects!$A$2:$A$500,0)),"")</f>
        <v>Digital Transformation</v>
      </c>
      <c r="M721" s="31" t="n">
        <f aca="false">IF(I721="Yes",H721*INDEX(Resources!$I$2:$I$500,MATCH(E721,Resources!$A$2:$A$500,0)),0)</f>
        <v>23620</v>
      </c>
    </row>
    <row r="722" customFormat="false" ht="15" hidden="false" customHeight="false" outlineLevel="0" collapsed="false">
      <c r="A722" s="18" t="s">
        <v>1754</v>
      </c>
      <c r="B722" s="19" t="n">
        <v>46142</v>
      </c>
      <c r="C722" s="18" t="s">
        <v>239</v>
      </c>
      <c r="D722" s="18" t="s">
        <v>869</v>
      </c>
      <c r="E722" s="18" t="s">
        <v>422</v>
      </c>
      <c r="F722" s="18"/>
      <c r="G722" s="18" t="s">
        <v>1019</v>
      </c>
      <c r="H722" s="30" t="n">
        <v>68.7</v>
      </c>
      <c r="I722" s="18" t="s">
        <v>513</v>
      </c>
      <c r="J722" s="28" t="n">
        <v>4089.02</v>
      </c>
      <c r="K722" s="12" t="str">
        <f aca="false">TEXT(B722,"yyyy-mm")</f>
        <v>2026-04</v>
      </c>
      <c r="L722" s="21" t="str">
        <f aca="false">IFERROR(INDEX(Projects!$E$2:$E$500,MATCH(C722,Projects!$A$2:$A$500,0)),"")</f>
        <v>Digital Transformation</v>
      </c>
      <c r="M722" s="31" t="n">
        <f aca="false">IF(I722="Yes",H722*INDEX(Resources!$I$2:$I$500,MATCH(E722,Resources!$A$2:$A$500,0)),0)</f>
        <v>8244</v>
      </c>
    </row>
    <row r="723" customFormat="false" ht="15" hidden="false" customHeight="false" outlineLevel="0" collapsed="false">
      <c r="A723" s="18" t="s">
        <v>1755</v>
      </c>
      <c r="B723" s="19" t="n">
        <v>46142</v>
      </c>
      <c r="C723" s="18" t="s">
        <v>239</v>
      </c>
      <c r="D723" s="18" t="s">
        <v>872</v>
      </c>
      <c r="E723" s="18"/>
      <c r="F723" s="18" t="s">
        <v>1059</v>
      </c>
      <c r="G723" s="18" t="s">
        <v>1026</v>
      </c>
      <c r="H723" s="30" t="n">
        <v>0</v>
      </c>
      <c r="I723" s="18" t="s">
        <v>527</v>
      </c>
      <c r="J723" s="28" t="n">
        <v>3764.62</v>
      </c>
      <c r="K723" s="12" t="str">
        <f aca="false">TEXT(B723,"yyyy-mm")</f>
        <v>2026-04</v>
      </c>
      <c r="L723" s="21" t="str">
        <f aca="false">IFERROR(INDEX(Projects!$E$2:$E$500,MATCH(C723,Projects!$A$2:$A$500,0)),"")</f>
        <v>Digital Transformation</v>
      </c>
      <c r="M723" s="31" t="n">
        <f aca="false">IF(I723="Yes",H723*INDEX(Resources!$I$2:$I$500,MATCH(E723,Resources!$A$2:$A$500,0)),0)</f>
        <v>0</v>
      </c>
    </row>
    <row r="724" customFormat="false" ht="15" hidden="false" customHeight="false" outlineLevel="0" collapsed="false">
      <c r="A724" s="18" t="s">
        <v>1756</v>
      </c>
      <c r="B724" s="19" t="n">
        <v>46142</v>
      </c>
      <c r="C724" s="18" t="s">
        <v>239</v>
      </c>
      <c r="D724" s="18" t="s">
        <v>874</v>
      </c>
      <c r="E724" s="18"/>
      <c r="F724" s="18" t="s">
        <v>1028</v>
      </c>
      <c r="G724" s="18" t="s">
        <v>1026</v>
      </c>
      <c r="H724" s="30" t="n">
        <v>0</v>
      </c>
      <c r="I724" s="18" t="s">
        <v>527</v>
      </c>
      <c r="J724" s="28" t="n">
        <v>4240.71</v>
      </c>
      <c r="K724" s="12" t="str">
        <f aca="false">TEXT(B724,"yyyy-mm")</f>
        <v>2026-04</v>
      </c>
      <c r="L724" s="21" t="str">
        <f aca="false">IFERROR(INDEX(Projects!$E$2:$E$500,MATCH(C724,Projects!$A$2:$A$500,0)),"")</f>
        <v>Digital Transformation</v>
      </c>
      <c r="M724" s="31" t="n">
        <f aca="false">IF(I724="Yes",H724*INDEX(Resources!$I$2:$I$500,MATCH(E724,Resources!$A$2:$A$500,0)),0)</f>
        <v>0</v>
      </c>
    </row>
    <row r="725" customFormat="false" ht="15" hidden="false" customHeight="false" outlineLevel="0" collapsed="false">
      <c r="A725" s="18" t="s">
        <v>1757</v>
      </c>
      <c r="B725" s="19" t="n">
        <v>46142</v>
      </c>
      <c r="C725" s="18" t="s">
        <v>239</v>
      </c>
      <c r="D725" s="18" t="s">
        <v>495</v>
      </c>
      <c r="E725" s="18"/>
      <c r="F725" s="18" t="s">
        <v>1373</v>
      </c>
      <c r="G725" s="18" t="s">
        <v>1026</v>
      </c>
      <c r="H725" s="30" t="n">
        <v>0</v>
      </c>
      <c r="I725" s="18" t="s">
        <v>527</v>
      </c>
      <c r="J725" s="28" t="n">
        <v>1386.44</v>
      </c>
      <c r="K725" s="12" t="str">
        <f aca="false">TEXT(B725,"yyyy-mm")</f>
        <v>2026-04</v>
      </c>
      <c r="L725" s="21" t="str">
        <f aca="false">IFERROR(INDEX(Projects!$E$2:$E$500,MATCH(C725,Projects!$A$2:$A$500,0)),"")</f>
        <v>Digital Transformation</v>
      </c>
      <c r="M725" s="31" t="n">
        <f aca="false">IF(I725="Yes",H725*INDEX(Resources!$I$2:$I$500,MATCH(E725,Resources!$A$2:$A$500,0)),0)</f>
        <v>0</v>
      </c>
    </row>
    <row r="726" customFormat="false" ht="15" hidden="false" customHeight="false" outlineLevel="0" collapsed="false">
      <c r="A726" s="18" t="s">
        <v>1758</v>
      </c>
      <c r="B726" s="19" t="n">
        <v>46142</v>
      </c>
      <c r="C726" s="18" t="s">
        <v>239</v>
      </c>
      <c r="D726" s="18" t="s">
        <v>876</v>
      </c>
      <c r="E726" s="18"/>
      <c r="F726" s="18" t="s">
        <v>1071</v>
      </c>
      <c r="G726" s="18" t="s">
        <v>1033</v>
      </c>
      <c r="H726" s="30" t="n">
        <v>0</v>
      </c>
      <c r="I726" s="18" t="s">
        <v>527</v>
      </c>
      <c r="J726" s="28" t="n">
        <v>702.82</v>
      </c>
      <c r="K726" s="12" t="str">
        <f aca="false">TEXT(B726,"yyyy-mm")</f>
        <v>2026-04</v>
      </c>
      <c r="L726" s="21" t="str">
        <f aca="false">IFERROR(INDEX(Projects!$E$2:$E$500,MATCH(C726,Projects!$A$2:$A$500,0)),"")</f>
        <v>Digital Transformation</v>
      </c>
      <c r="M726" s="31" t="n">
        <f aca="false">IF(I726="Yes",H726*INDEX(Resources!$I$2:$I$500,MATCH(E726,Resources!$A$2:$A$500,0)),0)</f>
        <v>0</v>
      </c>
    </row>
    <row r="727" customFormat="false" ht="15" hidden="false" customHeight="false" outlineLevel="0" collapsed="false">
      <c r="A727" s="18" t="s">
        <v>1759</v>
      </c>
      <c r="B727" s="19" t="n">
        <v>46142</v>
      </c>
      <c r="C727" s="18" t="s">
        <v>244</v>
      </c>
      <c r="D727" s="18" t="s">
        <v>889</v>
      </c>
      <c r="E727" s="18"/>
      <c r="F727" s="18" t="s">
        <v>474</v>
      </c>
      <c r="G727" s="18" t="s">
        <v>1026</v>
      </c>
      <c r="H727" s="30" t="n">
        <v>0</v>
      </c>
      <c r="I727" s="18" t="s">
        <v>527</v>
      </c>
      <c r="J727" s="28" t="n">
        <v>4543.79</v>
      </c>
      <c r="K727" s="12" t="str">
        <f aca="false">TEXT(B727,"yyyy-mm")</f>
        <v>2026-04</v>
      </c>
      <c r="L727" s="21" t="str">
        <f aca="false">IFERROR(INDEX(Projects!$E$2:$E$500,MATCH(C727,Projects!$A$2:$A$500,0)),"")</f>
        <v>Cloud &amp; Infrastructure</v>
      </c>
      <c r="M727" s="31" t="n">
        <f aca="false">IF(I727="Yes",H727*INDEX(Resources!$I$2:$I$500,MATCH(E727,Resources!$A$2:$A$500,0)),0)</f>
        <v>0</v>
      </c>
    </row>
    <row r="728" customFormat="false" ht="15" hidden="false" customHeight="false" outlineLevel="0" collapsed="false">
      <c r="A728" s="18" t="s">
        <v>1760</v>
      </c>
      <c r="B728" s="19" t="n">
        <v>46142</v>
      </c>
      <c r="C728" s="18" t="s">
        <v>244</v>
      </c>
      <c r="D728" s="18" t="s">
        <v>869</v>
      </c>
      <c r="E728" s="18" t="s">
        <v>247</v>
      </c>
      <c r="F728" s="18"/>
      <c r="G728" s="18" t="s">
        <v>1019</v>
      </c>
      <c r="H728" s="30" t="n">
        <v>48.9</v>
      </c>
      <c r="I728" s="18" t="s">
        <v>527</v>
      </c>
      <c r="J728" s="28" t="n">
        <v>4303.2</v>
      </c>
      <c r="K728" s="12" t="str">
        <f aca="false">TEXT(B728,"yyyy-mm")</f>
        <v>2026-04</v>
      </c>
      <c r="L728" s="21" t="str">
        <f aca="false">IFERROR(INDEX(Projects!$E$2:$E$500,MATCH(C728,Projects!$A$2:$A$500,0)),"")</f>
        <v>Cloud &amp; Infrastructure</v>
      </c>
      <c r="M728" s="31" t="n">
        <f aca="false">IF(I728="Yes",H728*INDEX(Resources!$I$2:$I$500,MATCH(E728,Resources!$A$2:$A$500,0)),0)</f>
        <v>0</v>
      </c>
    </row>
    <row r="729" customFormat="false" ht="15" hidden="false" customHeight="false" outlineLevel="0" collapsed="false">
      <c r="A729" s="18" t="s">
        <v>1761</v>
      </c>
      <c r="B729" s="19" t="n">
        <v>46142</v>
      </c>
      <c r="C729" s="18" t="s">
        <v>244</v>
      </c>
      <c r="D729" s="18" t="s">
        <v>869</v>
      </c>
      <c r="E729" s="18" t="s">
        <v>354</v>
      </c>
      <c r="F729" s="18"/>
      <c r="G729" s="18" t="s">
        <v>1019</v>
      </c>
      <c r="H729" s="30" t="n">
        <v>53.9</v>
      </c>
      <c r="I729" s="18" t="s">
        <v>513</v>
      </c>
      <c r="J729" s="28" t="n">
        <v>7002.69</v>
      </c>
      <c r="K729" s="12" t="str">
        <f aca="false">TEXT(B729,"yyyy-mm")</f>
        <v>2026-04</v>
      </c>
      <c r="L729" s="21" t="str">
        <f aca="false">IFERROR(INDEX(Projects!$E$2:$E$500,MATCH(C729,Projects!$A$2:$A$500,0)),"")</f>
        <v>Cloud &amp; Infrastructure</v>
      </c>
      <c r="M729" s="31" t="n">
        <f aca="false">IF(I729="Yes",H729*INDEX(Resources!$I$2:$I$500,MATCH(E729,Resources!$A$2:$A$500,0)),0)</f>
        <v>14014</v>
      </c>
    </row>
    <row r="730" customFormat="false" ht="15" hidden="false" customHeight="false" outlineLevel="0" collapsed="false">
      <c r="A730" s="18" t="s">
        <v>1762</v>
      </c>
      <c r="B730" s="19" t="n">
        <v>46142</v>
      </c>
      <c r="C730" s="18" t="s">
        <v>244</v>
      </c>
      <c r="D730" s="18" t="s">
        <v>869</v>
      </c>
      <c r="E730" s="18" t="s">
        <v>405</v>
      </c>
      <c r="F730" s="18"/>
      <c r="G730" s="18" t="s">
        <v>1019</v>
      </c>
      <c r="H730" s="30" t="n">
        <v>100</v>
      </c>
      <c r="I730" s="18" t="s">
        <v>513</v>
      </c>
      <c r="J730" s="28" t="n">
        <v>9936</v>
      </c>
      <c r="K730" s="12" t="str">
        <f aca="false">TEXT(B730,"yyyy-mm")</f>
        <v>2026-04</v>
      </c>
      <c r="L730" s="21" t="str">
        <f aca="false">IFERROR(INDEX(Projects!$E$2:$E$500,MATCH(C730,Projects!$A$2:$A$500,0)),"")</f>
        <v>Cloud &amp; Infrastructure</v>
      </c>
      <c r="M730" s="31" t="n">
        <f aca="false">IF(I730="Yes",H730*INDEX(Resources!$I$2:$I$500,MATCH(E730,Resources!$A$2:$A$500,0)),0)</f>
        <v>20000</v>
      </c>
    </row>
    <row r="731" customFormat="false" ht="15" hidden="false" customHeight="false" outlineLevel="0" collapsed="false">
      <c r="A731" s="18" t="s">
        <v>1763</v>
      </c>
      <c r="B731" s="19" t="n">
        <v>46142</v>
      </c>
      <c r="C731" s="18" t="s">
        <v>244</v>
      </c>
      <c r="D731" s="18" t="s">
        <v>869</v>
      </c>
      <c r="E731" s="18" t="s">
        <v>475</v>
      </c>
      <c r="F731" s="18"/>
      <c r="G731" s="18" t="s">
        <v>1019</v>
      </c>
      <c r="H731" s="30" t="n">
        <v>155.5</v>
      </c>
      <c r="I731" s="18" t="s">
        <v>513</v>
      </c>
      <c r="J731" s="28" t="n">
        <v>18271.25</v>
      </c>
      <c r="K731" s="12" t="str">
        <f aca="false">TEXT(B731,"yyyy-mm")</f>
        <v>2026-04</v>
      </c>
      <c r="L731" s="21" t="str">
        <f aca="false">IFERROR(INDEX(Projects!$E$2:$E$500,MATCH(C731,Projects!$A$2:$A$500,0)),"")</f>
        <v>Cloud &amp; Infrastructure</v>
      </c>
      <c r="M731" s="31" t="n">
        <f aca="false">IF(I731="Yes",H731*INDEX(Resources!$I$2:$I$500,MATCH(E731,Resources!$A$2:$A$500,0)),0)</f>
        <v>29545</v>
      </c>
    </row>
    <row r="732" customFormat="false" ht="15" hidden="false" customHeight="false" outlineLevel="0" collapsed="false">
      <c r="A732" s="18" t="s">
        <v>1764</v>
      </c>
      <c r="B732" s="19" t="n">
        <v>46142</v>
      </c>
      <c r="C732" s="18" t="s">
        <v>244</v>
      </c>
      <c r="D732" s="18" t="s">
        <v>869</v>
      </c>
      <c r="E732" s="18" t="s">
        <v>487</v>
      </c>
      <c r="F732" s="18"/>
      <c r="G732" s="18" t="s">
        <v>1019</v>
      </c>
      <c r="H732" s="30" t="n">
        <v>99.2</v>
      </c>
      <c r="I732" s="18" t="s">
        <v>513</v>
      </c>
      <c r="J732" s="28" t="n">
        <v>7934.02</v>
      </c>
      <c r="K732" s="12" t="str">
        <f aca="false">TEXT(B732,"yyyy-mm")</f>
        <v>2026-04</v>
      </c>
      <c r="L732" s="21" t="str">
        <f aca="false">IFERROR(INDEX(Projects!$E$2:$E$500,MATCH(C732,Projects!$A$2:$A$500,0)),"")</f>
        <v>Cloud &amp; Infrastructure</v>
      </c>
      <c r="M732" s="31" t="n">
        <f aca="false">IF(I732="Yes",H732*INDEX(Resources!$I$2:$I$500,MATCH(E732,Resources!$A$2:$A$500,0)),0)</f>
        <v>16368</v>
      </c>
    </row>
    <row r="733" customFormat="false" ht="15" hidden="false" customHeight="false" outlineLevel="0" collapsed="false">
      <c r="A733" s="18" t="s">
        <v>1765</v>
      </c>
      <c r="B733" s="19" t="n">
        <v>46142</v>
      </c>
      <c r="C733" s="18" t="s">
        <v>244</v>
      </c>
      <c r="D733" s="18" t="s">
        <v>872</v>
      </c>
      <c r="E733" s="18"/>
      <c r="F733" s="18" t="s">
        <v>1025</v>
      </c>
      <c r="G733" s="18" t="s">
        <v>1026</v>
      </c>
      <c r="H733" s="30" t="n">
        <v>0</v>
      </c>
      <c r="I733" s="18" t="s">
        <v>527</v>
      </c>
      <c r="J733" s="28" t="n">
        <v>1901.6</v>
      </c>
      <c r="K733" s="12" t="str">
        <f aca="false">TEXT(B733,"yyyy-mm")</f>
        <v>2026-04</v>
      </c>
      <c r="L733" s="21" t="str">
        <f aca="false">IFERROR(INDEX(Projects!$E$2:$E$500,MATCH(C733,Projects!$A$2:$A$500,0)),"")</f>
        <v>Cloud &amp; Infrastructure</v>
      </c>
      <c r="M733" s="31" t="n">
        <f aca="false">IF(I733="Yes",H733*INDEX(Resources!$I$2:$I$500,MATCH(E733,Resources!$A$2:$A$500,0)),0)</f>
        <v>0</v>
      </c>
    </row>
    <row r="734" customFormat="false" ht="15" hidden="false" customHeight="false" outlineLevel="0" collapsed="false">
      <c r="A734" s="18" t="s">
        <v>1766</v>
      </c>
      <c r="B734" s="19" t="n">
        <v>46142</v>
      </c>
      <c r="C734" s="18" t="s">
        <v>244</v>
      </c>
      <c r="D734" s="18" t="s">
        <v>876</v>
      </c>
      <c r="E734" s="18"/>
      <c r="F734" s="18" t="s">
        <v>1071</v>
      </c>
      <c r="G734" s="18" t="s">
        <v>1033</v>
      </c>
      <c r="H734" s="30" t="n">
        <v>0</v>
      </c>
      <c r="I734" s="18" t="s">
        <v>527</v>
      </c>
      <c r="J734" s="28" t="n">
        <v>897.38</v>
      </c>
      <c r="K734" s="12" t="str">
        <f aca="false">TEXT(B734,"yyyy-mm")</f>
        <v>2026-04</v>
      </c>
      <c r="L734" s="21" t="str">
        <f aca="false">IFERROR(INDEX(Projects!$E$2:$E$500,MATCH(C734,Projects!$A$2:$A$500,0)),"")</f>
        <v>Cloud &amp; Infrastructure</v>
      </c>
      <c r="M734" s="31" t="n">
        <f aca="false">IF(I734="Yes",H734*INDEX(Resources!$I$2:$I$500,MATCH(E734,Resources!$A$2:$A$500,0)),0)</f>
        <v>0</v>
      </c>
    </row>
    <row r="735" customFormat="false" ht="15" hidden="false" customHeight="false" outlineLevel="0" collapsed="false">
      <c r="A735" s="18" t="s">
        <v>1767</v>
      </c>
      <c r="B735" s="19" t="n">
        <v>46142</v>
      </c>
      <c r="C735" s="18" t="s">
        <v>253</v>
      </c>
      <c r="D735" s="18" t="s">
        <v>869</v>
      </c>
      <c r="E735" s="18" t="s">
        <v>231</v>
      </c>
      <c r="F735" s="18"/>
      <c r="G735" s="18" t="s">
        <v>1019</v>
      </c>
      <c r="H735" s="30" t="n">
        <v>103.3</v>
      </c>
      <c r="I735" s="18" t="s">
        <v>513</v>
      </c>
      <c r="J735" s="28" t="n">
        <v>10544.86</v>
      </c>
      <c r="K735" s="12" t="str">
        <f aca="false">TEXT(B735,"yyyy-mm")</f>
        <v>2026-04</v>
      </c>
      <c r="L735" s="21" t="str">
        <f aca="false">IFERROR(INDEX(Projects!$E$2:$E$500,MATCH(C735,Projects!$A$2:$A$500,0)),"")</f>
        <v>Customer Experience</v>
      </c>
      <c r="M735" s="31" t="n">
        <f aca="false">IF(I735="Yes",H735*INDEX(Resources!$I$2:$I$500,MATCH(E735,Resources!$A$2:$A$500,0)),0)</f>
        <v>21176.5</v>
      </c>
    </row>
    <row r="736" customFormat="false" ht="15" hidden="false" customHeight="false" outlineLevel="0" collapsed="false">
      <c r="A736" s="18" t="s">
        <v>1768</v>
      </c>
      <c r="B736" s="19" t="n">
        <v>46142</v>
      </c>
      <c r="C736" s="18" t="s">
        <v>253</v>
      </c>
      <c r="D736" s="18" t="s">
        <v>869</v>
      </c>
      <c r="E736" s="18" t="s">
        <v>373</v>
      </c>
      <c r="F736" s="18"/>
      <c r="G736" s="18" t="s">
        <v>1019</v>
      </c>
      <c r="H736" s="30" t="n">
        <v>98.5</v>
      </c>
      <c r="I736" s="18" t="s">
        <v>513</v>
      </c>
      <c r="J736" s="28" t="n">
        <v>7233.84</v>
      </c>
      <c r="K736" s="12" t="str">
        <f aca="false">TEXT(B736,"yyyy-mm")</f>
        <v>2026-04</v>
      </c>
      <c r="L736" s="21" t="str">
        <f aca="false">IFERROR(INDEX(Projects!$E$2:$E$500,MATCH(C736,Projects!$A$2:$A$500,0)),"")</f>
        <v>Customer Experience</v>
      </c>
      <c r="M736" s="31" t="n">
        <f aca="false">IF(I736="Yes",H736*INDEX(Resources!$I$2:$I$500,MATCH(E736,Resources!$A$2:$A$500,0)),0)</f>
        <v>14775</v>
      </c>
    </row>
    <row r="737" customFormat="false" ht="15" hidden="false" customHeight="false" outlineLevel="0" collapsed="false">
      <c r="A737" s="18" t="s">
        <v>1769</v>
      </c>
      <c r="B737" s="19" t="n">
        <v>46142</v>
      </c>
      <c r="C737" s="18" t="s">
        <v>253</v>
      </c>
      <c r="D737" s="18" t="s">
        <v>869</v>
      </c>
      <c r="E737" s="18" t="s">
        <v>387</v>
      </c>
      <c r="F737" s="18"/>
      <c r="G737" s="18" t="s">
        <v>1019</v>
      </c>
      <c r="H737" s="30" t="n">
        <v>104.2</v>
      </c>
      <c r="I737" s="18" t="s">
        <v>513</v>
      </c>
      <c r="J737" s="28" t="n">
        <v>6554.18</v>
      </c>
      <c r="K737" s="12" t="str">
        <f aca="false">TEXT(B737,"yyyy-mm")</f>
        <v>2026-04</v>
      </c>
      <c r="L737" s="21" t="str">
        <f aca="false">IFERROR(INDEX(Projects!$E$2:$E$500,MATCH(C737,Projects!$A$2:$A$500,0)),"")</f>
        <v>Customer Experience</v>
      </c>
      <c r="M737" s="31" t="n">
        <f aca="false">IF(I737="Yes",H737*INDEX(Resources!$I$2:$I$500,MATCH(E737,Resources!$A$2:$A$500,0)),0)</f>
        <v>13546</v>
      </c>
    </row>
    <row r="738" customFormat="false" ht="15" hidden="false" customHeight="false" outlineLevel="0" collapsed="false">
      <c r="A738" s="18" t="s">
        <v>1770</v>
      </c>
      <c r="B738" s="19" t="n">
        <v>46142</v>
      </c>
      <c r="C738" s="18" t="s">
        <v>253</v>
      </c>
      <c r="D738" s="18" t="s">
        <v>869</v>
      </c>
      <c r="E738" s="18" t="s">
        <v>407</v>
      </c>
      <c r="F738" s="18"/>
      <c r="G738" s="18" t="s">
        <v>1019</v>
      </c>
      <c r="H738" s="30" t="n">
        <v>212.3</v>
      </c>
      <c r="I738" s="18" t="s">
        <v>513</v>
      </c>
      <c r="J738" s="28" t="n">
        <v>18164.39</v>
      </c>
      <c r="K738" s="12" t="str">
        <f aca="false">TEXT(B738,"yyyy-mm")</f>
        <v>2026-04</v>
      </c>
      <c r="L738" s="21" t="str">
        <f aca="false">IFERROR(INDEX(Projects!$E$2:$E$500,MATCH(C738,Projects!$A$2:$A$500,0)),"")</f>
        <v>Customer Experience</v>
      </c>
      <c r="M738" s="31" t="n">
        <f aca="false">IF(I738="Yes",H738*INDEX(Resources!$I$2:$I$500,MATCH(E738,Resources!$A$2:$A$500,0)),0)</f>
        <v>36091</v>
      </c>
    </row>
    <row r="739" customFormat="false" ht="15" hidden="false" customHeight="false" outlineLevel="0" collapsed="false">
      <c r="A739" s="18" t="s">
        <v>1771</v>
      </c>
      <c r="B739" s="19" t="n">
        <v>46142</v>
      </c>
      <c r="C739" s="18" t="s">
        <v>253</v>
      </c>
      <c r="D739" s="18" t="s">
        <v>869</v>
      </c>
      <c r="E739" s="18" t="s">
        <v>426</v>
      </c>
      <c r="F739" s="18"/>
      <c r="G739" s="18" t="s">
        <v>1019</v>
      </c>
      <c r="H739" s="30" t="n">
        <v>120.5</v>
      </c>
      <c r="I739" s="18" t="s">
        <v>513</v>
      </c>
      <c r="J739" s="28" t="n">
        <v>8945.92</v>
      </c>
      <c r="K739" s="12" t="str">
        <f aca="false">TEXT(B739,"yyyy-mm")</f>
        <v>2026-04</v>
      </c>
      <c r="L739" s="21" t="str">
        <f aca="false">IFERROR(INDEX(Projects!$E$2:$E$500,MATCH(C739,Projects!$A$2:$A$500,0)),"")</f>
        <v>Customer Experience</v>
      </c>
      <c r="M739" s="31" t="n">
        <f aca="false">IF(I739="Yes",H739*INDEX(Resources!$I$2:$I$500,MATCH(E739,Resources!$A$2:$A$500,0)),0)</f>
        <v>18075</v>
      </c>
    </row>
    <row r="740" customFormat="false" ht="15" hidden="false" customHeight="false" outlineLevel="0" collapsed="false">
      <c r="A740" s="18" t="s">
        <v>1772</v>
      </c>
      <c r="B740" s="19" t="n">
        <v>46142</v>
      </c>
      <c r="C740" s="18" t="s">
        <v>253</v>
      </c>
      <c r="D740" s="18" t="s">
        <v>869</v>
      </c>
      <c r="E740" s="18" t="s">
        <v>446</v>
      </c>
      <c r="F740" s="18"/>
      <c r="G740" s="18" t="s">
        <v>1019</v>
      </c>
      <c r="H740" s="30" t="n">
        <v>114.1</v>
      </c>
      <c r="I740" s="18" t="s">
        <v>513</v>
      </c>
      <c r="J740" s="28" t="n">
        <v>6389.6</v>
      </c>
      <c r="K740" s="12" t="str">
        <f aca="false">TEXT(B740,"yyyy-mm")</f>
        <v>2026-04</v>
      </c>
      <c r="L740" s="21" t="str">
        <f aca="false">IFERROR(INDEX(Projects!$E$2:$E$500,MATCH(C740,Projects!$A$2:$A$500,0)),"")</f>
        <v>Customer Experience</v>
      </c>
      <c r="M740" s="31" t="n">
        <f aca="false">IF(I740="Yes",H740*INDEX(Resources!$I$2:$I$500,MATCH(E740,Resources!$A$2:$A$500,0)),0)</f>
        <v>13121.5</v>
      </c>
    </row>
    <row r="741" customFormat="false" ht="15" hidden="false" customHeight="false" outlineLevel="0" collapsed="false">
      <c r="A741" s="18" t="s">
        <v>1773</v>
      </c>
      <c r="B741" s="19" t="n">
        <v>46142</v>
      </c>
      <c r="C741" s="18" t="s">
        <v>253</v>
      </c>
      <c r="D741" s="18" t="s">
        <v>872</v>
      </c>
      <c r="E741" s="18"/>
      <c r="F741" s="18" t="s">
        <v>1025</v>
      </c>
      <c r="G741" s="18" t="s">
        <v>1026</v>
      </c>
      <c r="H741" s="30" t="n">
        <v>0</v>
      </c>
      <c r="I741" s="18" t="s">
        <v>527</v>
      </c>
      <c r="J741" s="28" t="n">
        <v>3112.23</v>
      </c>
      <c r="K741" s="12" t="str">
        <f aca="false">TEXT(B741,"yyyy-mm")</f>
        <v>2026-04</v>
      </c>
      <c r="L741" s="21" t="str">
        <f aca="false">IFERROR(INDEX(Projects!$E$2:$E$500,MATCH(C741,Projects!$A$2:$A$500,0)),"")</f>
        <v>Customer Experience</v>
      </c>
      <c r="M741" s="31" t="n">
        <f aca="false">IF(I741="Yes",H741*INDEX(Resources!$I$2:$I$500,MATCH(E741,Resources!$A$2:$A$500,0)),0)</f>
        <v>0</v>
      </c>
    </row>
    <row r="742" customFormat="false" ht="15" hidden="false" customHeight="false" outlineLevel="0" collapsed="false">
      <c r="A742" s="18" t="s">
        <v>1774</v>
      </c>
      <c r="B742" s="19" t="n">
        <v>46142</v>
      </c>
      <c r="C742" s="18" t="s">
        <v>253</v>
      </c>
      <c r="D742" s="18" t="s">
        <v>874</v>
      </c>
      <c r="E742" s="18"/>
      <c r="F742" s="18" t="s">
        <v>1224</v>
      </c>
      <c r="G742" s="18" t="s">
        <v>1026</v>
      </c>
      <c r="H742" s="30" t="n">
        <v>0</v>
      </c>
      <c r="I742" s="18" t="s">
        <v>527</v>
      </c>
      <c r="J742" s="28" t="n">
        <v>4437.75</v>
      </c>
      <c r="K742" s="12" t="str">
        <f aca="false">TEXT(B742,"yyyy-mm")</f>
        <v>2026-04</v>
      </c>
      <c r="L742" s="21" t="str">
        <f aca="false">IFERROR(INDEX(Projects!$E$2:$E$500,MATCH(C742,Projects!$A$2:$A$500,0)),"")</f>
        <v>Customer Experience</v>
      </c>
      <c r="M742" s="31" t="n">
        <f aca="false">IF(I742="Yes",H742*INDEX(Resources!$I$2:$I$500,MATCH(E742,Resources!$A$2:$A$500,0)),0)</f>
        <v>0</v>
      </c>
    </row>
    <row r="743" customFormat="false" ht="15" hidden="false" customHeight="false" outlineLevel="0" collapsed="false">
      <c r="A743" s="18" t="s">
        <v>1775</v>
      </c>
      <c r="B743" s="19" t="n">
        <v>46142</v>
      </c>
      <c r="C743" s="18" t="s">
        <v>253</v>
      </c>
      <c r="D743" s="18" t="s">
        <v>876</v>
      </c>
      <c r="E743" s="18"/>
      <c r="F743" s="18" t="s">
        <v>1032</v>
      </c>
      <c r="G743" s="18" t="s">
        <v>1033</v>
      </c>
      <c r="H743" s="30" t="n">
        <v>0</v>
      </c>
      <c r="I743" s="18" t="s">
        <v>527</v>
      </c>
      <c r="J743" s="28" t="n">
        <v>843.56</v>
      </c>
      <c r="K743" s="12" t="str">
        <f aca="false">TEXT(B743,"yyyy-mm")</f>
        <v>2026-04</v>
      </c>
      <c r="L743" s="21" t="str">
        <f aca="false">IFERROR(INDEX(Projects!$E$2:$E$500,MATCH(C743,Projects!$A$2:$A$500,0)),"")</f>
        <v>Customer Experience</v>
      </c>
      <c r="M743" s="31" t="n">
        <f aca="false">IF(I743="Yes",H743*INDEX(Resources!$I$2:$I$500,MATCH(E743,Resources!$A$2:$A$500,0)),0)</f>
        <v>0</v>
      </c>
    </row>
    <row r="744" customFormat="false" ht="15" hidden="false" customHeight="false" outlineLevel="0" collapsed="false">
      <c r="A744" s="18" t="s">
        <v>1776</v>
      </c>
      <c r="B744" s="19" t="n">
        <v>46142</v>
      </c>
      <c r="C744" s="18" t="s">
        <v>257</v>
      </c>
      <c r="D744" s="18" t="s">
        <v>889</v>
      </c>
      <c r="E744" s="18"/>
      <c r="F744" s="18" t="s">
        <v>474</v>
      </c>
      <c r="G744" s="18" t="s">
        <v>1026</v>
      </c>
      <c r="H744" s="30" t="n">
        <v>0</v>
      </c>
      <c r="I744" s="18" t="s">
        <v>527</v>
      </c>
      <c r="J744" s="28" t="n">
        <v>3167.39</v>
      </c>
      <c r="K744" s="12" t="str">
        <f aca="false">TEXT(B744,"yyyy-mm")</f>
        <v>2026-04</v>
      </c>
      <c r="L744" s="21" t="str">
        <f aca="false">IFERROR(INDEX(Projects!$E$2:$E$500,MATCH(C744,Projects!$A$2:$A$500,0)),"")</f>
        <v>Data &amp; AI</v>
      </c>
      <c r="M744" s="31" t="n">
        <f aca="false">IF(I744="Yes",H744*INDEX(Resources!$I$2:$I$500,MATCH(E744,Resources!$A$2:$A$500,0)),0)</f>
        <v>0</v>
      </c>
    </row>
    <row r="745" customFormat="false" ht="15" hidden="false" customHeight="false" outlineLevel="0" collapsed="false">
      <c r="A745" s="18" t="s">
        <v>1777</v>
      </c>
      <c r="B745" s="19" t="n">
        <v>46142</v>
      </c>
      <c r="C745" s="18" t="s">
        <v>257</v>
      </c>
      <c r="D745" s="18" t="s">
        <v>869</v>
      </c>
      <c r="E745" s="18" t="s">
        <v>226</v>
      </c>
      <c r="F745" s="18"/>
      <c r="G745" s="18" t="s">
        <v>1019</v>
      </c>
      <c r="H745" s="30" t="n">
        <v>48</v>
      </c>
      <c r="I745" s="18" t="s">
        <v>527</v>
      </c>
      <c r="J745" s="28" t="n">
        <v>4224</v>
      </c>
      <c r="K745" s="12" t="str">
        <f aca="false">TEXT(B745,"yyyy-mm")</f>
        <v>2026-04</v>
      </c>
      <c r="L745" s="21" t="str">
        <f aca="false">IFERROR(INDEX(Projects!$E$2:$E$500,MATCH(C745,Projects!$A$2:$A$500,0)),"")</f>
        <v>Data &amp; AI</v>
      </c>
      <c r="M745" s="31" t="n">
        <f aca="false">IF(I745="Yes",H745*INDEX(Resources!$I$2:$I$500,MATCH(E745,Resources!$A$2:$A$500,0)),0)</f>
        <v>0</v>
      </c>
    </row>
    <row r="746" customFormat="false" ht="15" hidden="false" customHeight="false" outlineLevel="0" collapsed="false">
      <c r="A746" s="18" t="s">
        <v>1778</v>
      </c>
      <c r="B746" s="19" t="n">
        <v>46142</v>
      </c>
      <c r="C746" s="18" t="s">
        <v>257</v>
      </c>
      <c r="D746" s="18" t="s">
        <v>869</v>
      </c>
      <c r="E746" s="18" t="s">
        <v>357</v>
      </c>
      <c r="F746" s="18"/>
      <c r="G746" s="18" t="s">
        <v>1019</v>
      </c>
      <c r="H746" s="30" t="n">
        <v>45.1</v>
      </c>
      <c r="I746" s="18" t="s">
        <v>513</v>
      </c>
      <c r="J746" s="28" t="n">
        <v>5455.3</v>
      </c>
      <c r="K746" s="12" t="str">
        <f aca="false">TEXT(B746,"yyyy-mm")</f>
        <v>2026-04</v>
      </c>
      <c r="L746" s="21" t="str">
        <f aca="false">IFERROR(INDEX(Projects!$E$2:$E$500,MATCH(C746,Projects!$A$2:$A$500,0)),"")</f>
        <v>Data &amp; AI</v>
      </c>
      <c r="M746" s="31" t="n">
        <f aca="false">IF(I746="Yes",H746*INDEX(Resources!$I$2:$I$500,MATCH(E746,Resources!$A$2:$A$500,0)),0)</f>
        <v>11049.5</v>
      </c>
    </row>
    <row r="747" customFormat="false" ht="15" hidden="false" customHeight="false" outlineLevel="0" collapsed="false">
      <c r="A747" s="18" t="s">
        <v>1779</v>
      </c>
      <c r="B747" s="19" t="n">
        <v>46142</v>
      </c>
      <c r="C747" s="18" t="s">
        <v>257</v>
      </c>
      <c r="D747" s="18" t="s">
        <v>869</v>
      </c>
      <c r="E747" s="18" t="s">
        <v>428</v>
      </c>
      <c r="F747" s="18"/>
      <c r="G747" s="18" t="s">
        <v>1019</v>
      </c>
      <c r="H747" s="30" t="n">
        <v>83.4</v>
      </c>
      <c r="I747" s="18" t="s">
        <v>513</v>
      </c>
      <c r="J747" s="28" t="n">
        <v>4536.96</v>
      </c>
      <c r="K747" s="12" t="str">
        <f aca="false">TEXT(B747,"yyyy-mm")</f>
        <v>2026-04</v>
      </c>
      <c r="L747" s="21" t="str">
        <f aca="false">IFERROR(INDEX(Projects!$E$2:$E$500,MATCH(C747,Projects!$A$2:$A$500,0)),"")</f>
        <v>Data &amp; AI</v>
      </c>
      <c r="M747" s="31" t="n">
        <f aca="false">IF(I747="Yes",H747*INDEX(Resources!$I$2:$I$500,MATCH(E747,Resources!$A$2:$A$500,0)),0)</f>
        <v>9174</v>
      </c>
    </row>
    <row r="748" customFormat="false" ht="15" hidden="false" customHeight="false" outlineLevel="0" collapsed="false">
      <c r="A748" s="18" t="s">
        <v>1780</v>
      </c>
      <c r="B748" s="19" t="n">
        <v>46142</v>
      </c>
      <c r="C748" s="18" t="s">
        <v>257</v>
      </c>
      <c r="D748" s="18" t="s">
        <v>869</v>
      </c>
      <c r="E748" s="18" t="s">
        <v>457</v>
      </c>
      <c r="F748" s="18"/>
      <c r="G748" s="18" t="s">
        <v>1019</v>
      </c>
      <c r="H748" s="30" t="n">
        <v>108.7</v>
      </c>
      <c r="I748" s="18" t="s">
        <v>513</v>
      </c>
      <c r="J748" s="28" t="n">
        <v>11348.28</v>
      </c>
      <c r="K748" s="12" t="str">
        <f aca="false">TEXT(B748,"yyyy-mm")</f>
        <v>2026-04</v>
      </c>
      <c r="L748" s="21" t="str">
        <f aca="false">IFERROR(INDEX(Projects!$E$2:$E$500,MATCH(C748,Projects!$A$2:$A$500,0)),"")</f>
        <v>Data &amp; AI</v>
      </c>
      <c r="M748" s="31" t="n">
        <f aca="false">IF(I748="Yes",H748*INDEX(Resources!$I$2:$I$500,MATCH(E748,Resources!$A$2:$A$500,0)),0)</f>
        <v>22827</v>
      </c>
    </row>
    <row r="749" customFormat="false" ht="15" hidden="false" customHeight="false" outlineLevel="0" collapsed="false">
      <c r="A749" s="18" t="s">
        <v>1781</v>
      </c>
      <c r="B749" s="19" t="n">
        <v>46142</v>
      </c>
      <c r="C749" s="18" t="s">
        <v>257</v>
      </c>
      <c r="D749" s="18" t="s">
        <v>872</v>
      </c>
      <c r="E749" s="18"/>
      <c r="F749" s="18" t="s">
        <v>1059</v>
      </c>
      <c r="G749" s="18" t="s">
        <v>1026</v>
      </c>
      <c r="H749" s="30" t="n">
        <v>0</v>
      </c>
      <c r="I749" s="18" t="s">
        <v>527</v>
      </c>
      <c r="J749" s="28" t="n">
        <v>2210.17</v>
      </c>
      <c r="K749" s="12" t="str">
        <f aca="false">TEXT(B749,"yyyy-mm")</f>
        <v>2026-04</v>
      </c>
      <c r="L749" s="21" t="str">
        <f aca="false">IFERROR(INDEX(Projects!$E$2:$E$500,MATCH(C749,Projects!$A$2:$A$500,0)),"")</f>
        <v>Data &amp; AI</v>
      </c>
      <c r="M749" s="31" t="n">
        <f aca="false">IF(I749="Yes",H749*INDEX(Resources!$I$2:$I$500,MATCH(E749,Resources!$A$2:$A$500,0)),0)</f>
        <v>0</v>
      </c>
    </row>
    <row r="750" customFormat="false" ht="15" hidden="false" customHeight="false" outlineLevel="0" collapsed="false">
      <c r="A750" s="18" t="s">
        <v>1782</v>
      </c>
      <c r="B750" s="19" t="n">
        <v>46142</v>
      </c>
      <c r="C750" s="18" t="s">
        <v>257</v>
      </c>
      <c r="D750" s="18" t="s">
        <v>876</v>
      </c>
      <c r="E750" s="18"/>
      <c r="F750" s="18" t="s">
        <v>1032</v>
      </c>
      <c r="G750" s="18" t="s">
        <v>1033</v>
      </c>
      <c r="H750" s="30" t="n">
        <v>0</v>
      </c>
      <c r="I750" s="18" t="s">
        <v>527</v>
      </c>
      <c r="J750" s="28" t="n">
        <v>465.66</v>
      </c>
      <c r="K750" s="12" t="str">
        <f aca="false">TEXT(B750,"yyyy-mm")</f>
        <v>2026-04</v>
      </c>
      <c r="L750" s="21" t="str">
        <f aca="false">IFERROR(INDEX(Projects!$E$2:$E$500,MATCH(C750,Projects!$A$2:$A$500,0)),"")</f>
        <v>Data &amp; AI</v>
      </c>
      <c r="M750" s="31" t="n">
        <f aca="false">IF(I750="Yes",H750*INDEX(Resources!$I$2:$I$500,MATCH(E750,Resources!$A$2:$A$500,0)),0)</f>
        <v>0</v>
      </c>
    </row>
    <row r="751" customFormat="false" ht="15" hidden="false" customHeight="false" outlineLevel="0" collapsed="false">
      <c r="A751" s="18" t="s">
        <v>1783</v>
      </c>
      <c r="B751" s="19" t="n">
        <v>46142</v>
      </c>
      <c r="C751" s="18" t="s">
        <v>265</v>
      </c>
      <c r="D751" s="18" t="s">
        <v>869</v>
      </c>
      <c r="E751" s="18" t="s">
        <v>211</v>
      </c>
      <c r="F751" s="18"/>
      <c r="G751" s="18" t="s">
        <v>1019</v>
      </c>
      <c r="H751" s="30" t="n">
        <v>116</v>
      </c>
      <c r="I751" s="18" t="s">
        <v>513</v>
      </c>
      <c r="J751" s="28" t="n">
        <v>11841.28</v>
      </c>
      <c r="K751" s="12" t="str">
        <f aca="false">TEXT(B751,"yyyy-mm")</f>
        <v>2026-04</v>
      </c>
      <c r="L751" s="21" t="str">
        <f aca="false">IFERROR(INDEX(Projects!$E$2:$E$500,MATCH(C751,Projects!$A$2:$A$500,0)),"")</f>
        <v>Digital Transformation</v>
      </c>
      <c r="M751" s="31" t="n">
        <f aca="false">IF(I751="Yes",H751*INDEX(Resources!$I$2:$I$500,MATCH(E751,Resources!$A$2:$A$500,0)),0)</f>
        <v>23780</v>
      </c>
    </row>
    <row r="752" customFormat="false" ht="15" hidden="false" customHeight="false" outlineLevel="0" collapsed="false">
      <c r="A752" s="18" t="s">
        <v>1784</v>
      </c>
      <c r="B752" s="19" t="n">
        <v>46142</v>
      </c>
      <c r="C752" s="18" t="s">
        <v>265</v>
      </c>
      <c r="D752" s="18" t="s">
        <v>869</v>
      </c>
      <c r="E752" s="18" t="s">
        <v>360</v>
      </c>
      <c r="F752" s="18"/>
      <c r="G752" s="18" t="s">
        <v>1019</v>
      </c>
      <c r="H752" s="30" t="n">
        <v>37.6</v>
      </c>
      <c r="I752" s="18" t="s">
        <v>513</v>
      </c>
      <c r="J752" s="28" t="n">
        <v>3916.42</v>
      </c>
      <c r="K752" s="12" t="str">
        <f aca="false">TEXT(B752,"yyyy-mm")</f>
        <v>2026-04</v>
      </c>
      <c r="L752" s="21" t="str">
        <f aca="false">IFERROR(INDEX(Projects!$E$2:$E$500,MATCH(C752,Projects!$A$2:$A$500,0)),"")</f>
        <v>Digital Transformation</v>
      </c>
      <c r="M752" s="31" t="n">
        <f aca="false">IF(I752="Yes",H752*INDEX(Resources!$I$2:$I$500,MATCH(E752,Resources!$A$2:$A$500,0)),0)</f>
        <v>7896</v>
      </c>
    </row>
    <row r="753" customFormat="false" ht="15" hidden="false" customHeight="false" outlineLevel="0" collapsed="false">
      <c r="A753" s="18" t="s">
        <v>1785</v>
      </c>
      <c r="B753" s="19" t="n">
        <v>46142</v>
      </c>
      <c r="C753" s="18" t="s">
        <v>265</v>
      </c>
      <c r="D753" s="18" t="s">
        <v>869</v>
      </c>
      <c r="E753" s="18" t="s">
        <v>375</v>
      </c>
      <c r="F753" s="18"/>
      <c r="G753" s="18" t="s">
        <v>1019</v>
      </c>
      <c r="H753" s="30" t="n">
        <v>165.3</v>
      </c>
      <c r="I753" s="18" t="s">
        <v>513</v>
      </c>
      <c r="J753" s="28" t="n">
        <v>11942.93</v>
      </c>
      <c r="K753" s="12" t="str">
        <f aca="false">TEXT(B753,"yyyy-mm")</f>
        <v>2026-04</v>
      </c>
      <c r="L753" s="21" t="str">
        <f aca="false">IFERROR(INDEX(Projects!$E$2:$E$500,MATCH(C753,Projects!$A$2:$A$500,0)),"")</f>
        <v>Digital Transformation</v>
      </c>
      <c r="M753" s="31" t="n">
        <f aca="false">IF(I753="Yes",H753*INDEX(Resources!$I$2:$I$500,MATCH(E753,Resources!$A$2:$A$500,0)),0)</f>
        <v>19836</v>
      </c>
    </row>
    <row r="754" customFormat="false" ht="15" hidden="false" customHeight="false" outlineLevel="0" collapsed="false">
      <c r="A754" s="18" t="s">
        <v>1786</v>
      </c>
      <c r="B754" s="19" t="n">
        <v>46142</v>
      </c>
      <c r="C754" s="18" t="s">
        <v>265</v>
      </c>
      <c r="D754" s="18" t="s">
        <v>869</v>
      </c>
      <c r="E754" s="18" t="s">
        <v>403</v>
      </c>
      <c r="F754" s="18"/>
      <c r="G754" s="18" t="s">
        <v>1019</v>
      </c>
      <c r="H754" s="30" t="n">
        <v>179.8</v>
      </c>
      <c r="I754" s="18" t="s">
        <v>513</v>
      </c>
      <c r="J754" s="28" t="n">
        <v>15383.69</v>
      </c>
      <c r="K754" s="12" t="str">
        <f aca="false">TEXT(B754,"yyyy-mm")</f>
        <v>2026-04</v>
      </c>
      <c r="L754" s="21" t="str">
        <f aca="false">IFERROR(INDEX(Projects!$E$2:$E$500,MATCH(C754,Projects!$A$2:$A$500,0)),"")</f>
        <v>Digital Transformation</v>
      </c>
      <c r="M754" s="31" t="n">
        <f aca="false">IF(I754="Yes",H754*INDEX(Resources!$I$2:$I$500,MATCH(E754,Resources!$A$2:$A$500,0)),0)</f>
        <v>30566</v>
      </c>
    </row>
    <row r="755" customFormat="false" ht="15" hidden="false" customHeight="false" outlineLevel="0" collapsed="false">
      <c r="A755" s="18" t="s">
        <v>1787</v>
      </c>
      <c r="B755" s="19" t="n">
        <v>46142</v>
      </c>
      <c r="C755" s="18" t="s">
        <v>265</v>
      </c>
      <c r="D755" s="18" t="s">
        <v>869</v>
      </c>
      <c r="E755" s="18" t="s">
        <v>432</v>
      </c>
      <c r="F755" s="18"/>
      <c r="G755" s="18" t="s">
        <v>1019</v>
      </c>
      <c r="H755" s="30" t="n">
        <v>120.6</v>
      </c>
      <c r="I755" s="18" t="s">
        <v>513</v>
      </c>
      <c r="J755" s="28" t="n">
        <v>7718.4</v>
      </c>
      <c r="K755" s="12" t="str">
        <f aca="false">TEXT(B755,"yyyy-mm")</f>
        <v>2026-04</v>
      </c>
      <c r="L755" s="21" t="str">
        <f aca="false">IFERROR(INDEX(Projects!$E$2:$E$500,MATCH(C755,Projects!$A$2:$A$500,0)),"")</f>
        <v>Digital Transformation</v>
      </c>
      <c r="M755" s="31" t="n">
        <f aca="false">IF(I755="Yes",H755*INDEX(Resources!$I$2:$I$500,MATCH(E755,Resources!$A$2:$A$500,0)),0)</f>
        <v>15678</v>
      </c>
    </row>
    <row r="756" customFormat="false" ht="15" hidden="false" customHeight="false" outlineLevel="0" collapsed="false">
      <c r="A756" s="18" t="s">
        <v>1788</v>
      </c>
      <c r="B756" s="19" t="n">
        <v>46142</v>
      </c>
      <c r="C756" s="18" t="s">
        <v>265</v>
      </c>
      <c r="D756" s="18" t="s">
        <v>869</v>
      </c>
      <c r="E756" s="18" t="s">
        <v>448</v>
      </c>
      <c r="F756" s="18"/>
      <c r="G756" s="18" t="s">
        <v>1019</v>
      </c>
      <c r="H756" s="30" t="n">
        <v>116.7</v>
      </c>
      <c r="I756" s="18" t="s">
        <v>513</v>
      </c>
      <c r="J756" s="28" t="n">
        <v>7580.83</v>
      </c>
      <c r="K756" s="12" t="str">
        <f aca="false">TEXT(B756,"yyyy-mm")</f>
        <v>2026-04</v>
      </c>
      <c r="L756" s="21" t="str">
        <f aca="false">IFERROR(INDEX(Projects!$E$2:$E$500,MATCH(C756,Projects!$A$2:$A$500,0)),"")</f>
        <v>Digital Transformation</v>
      </c>
      <c r="M756" s="31" t="n">
        <f aca="false">IF(I756="Yes",H756*INDEX(Resources!$I$2:$I$500,MATCH(E756,Resources!$A$2:$A$500,0)),0)</f>
        <v>15754.5</v>
      </c>
    </row>
    <row r="757" customFormat="false" ht="15" hidden="false" customHeight="false" outlineLevel="0" collapsed="false">
      <c r="A757" s="18" t="s">
        <v>1789</v>
      </c>
      <c r="B757" s="19" t="n">
        <v>46142</v>
      </c>
      <c r="C757" s="18" t="s">
        <v>265</v>
      </c>
      <c r="D757" s="18" t="s">
        <v>869</v>
      </c>
      <c r="E757" s="18" t="s">
        <v>496</v>
      </c>
      <c r="F757" s="18"/>
      <c r="G757" s="18" t="s">
        <v>1019</v>
      </c>
      <c r="H757" s="30" t="n">
        <v>45.5</v>
      </c>
      <c r="I757" s="18" t="s">
        <v>513</v>
      </c>
      <c r="J757" s="28" t="n">
        <v>3538.08</v>
      </c>
      <c r="K757" s="12" t="str">
        <f aca="false">TEXT(B757,"yyyy-mm")</f>
        <v>2026-04</v>
      </c>
      <c r="L757" s="21" t="str">
        <f aca="false">IFERROR(INDEX(Projects!$E$2:$E$500,MATCH(C757,Projects!$A$2:$A$500,0)),"")</f>
        <v>Digital Transformation</v>
      </c>
      <c r="M757" s="31" t="n">
        <f aca="false">IF(I757="Yes",H757*INDEX(Resources!$I$2:$I$500,MATCH(E757,Resources!$A$2:$A$500,0)),0)</f>
        <v>7280</v>
      </c>
    </row>
    <row r="758" customFormat="false" ht="15" hidden="false" customHeight="false" outlineLevel="0" collapsed="false">
      <c r="A758" s="18" t="s">
        <v>1790</v>
      </c>
      <c r="B758" s="19" t="n">
        <v>46142</v>
      </c>
      <c r="C758" s="18" t="s">
        <v>265</v>
      </c>
      <c r="D758" s="18" t="s">
        <v>872</v>
      </c>
      <c r="E758" s="18"/>
      <c r="F758" s="18" t="s">
        <v>353</v>
      </c>
      <c r="G758" s="18" t="s">
        <v>1026</v>
      </c>
      <c r="H758" s="30" t="n">
        <v>0</v>
      </c>
      <c r="I758" s="18" t="s">
        <v>527</v>
      </c>
      <c r="J758" s="28" t="n">
        <v>4528.33</v>
      </c>
      <c r="K758" s="12" t="str">
        <f aca="false">TEXT(B758,"yyyy-mm")</f>
        <v>2026-04</v>
      </c>
      <c r="L758" s="21" t="str">
        <f aca="false">IFERROR(INDEX(Projects!$E$2:$E$500,MATCH(C758,Projects!$A$2:$A$500,0)),"")</f>
        <v>Digital Transformation</v>
      </c>
      <c r="M758" s="31" t="n">
        <f aca="false">IF(I758="Yes",H758*INDEX(Resources!$I$2:$I$500,MATCH(E758,Resources!$A$2:$A$500,0)),0)</f>
        <v>0</v>
      </c>
    </row>
    <row r="759" customFormat="false" ht="15" hidden="false" customHeight="false" outlineLevel="0" collapsed="false">
      <c r="A759" s="18" t="s">
        <v>1791</v>
      </c>
      <c r="B759" s="19" t="n">
        <v>46142</v>
      </c>
      <c r="C759" s="18" t="s">
        <v>265</v>
      </c>
      <c r="D759" s="18" t="s">
        <v>874</v>
      </c>
      <c r="E759" s="18"/>
      <c r="F759" s="18" t="s">
        <v>1028</v>
      </c>
      <c r="G759" s="18" t="s">
        <v>1026</v>
      </c>
      <c r="H759" s="30" t="n">
        <v>0</v>
      </c>
      <c r="I759" s="18" t="s">
        <v>527</v>
      </c>
      <c r="J759" s="28" t="n">
        <v>5669.33</v>
      </c>
      <c r="K759" s="12" t="str">
        <f aca="false">TEXT(B759,"yyyy-mm")</f>
        <v>2026-04</v>
      </c>
      <c r="L759" s="21" t="str">
        <f aca="false">IFERROR(INDEX(Projects!$E$2:$E$500,MATCH(C759,Projects!$A$2:$A$500,0)),"")</f>
        <v>Digital Transformation</v>
      </c>
      <c r="M759" s="31" t="n">
        <f aca="false">IF(I759="Yes",H759*INDEX(Resources!$I$2:$I$500,MATCH(E759,Resources!$A$2:$A$500,0)),0)</f>
        <v>0</v>
      </c>
    </row>
    <row r="760" customFormat="false" ht="15" hidden="false" customHeight="false" outlineLevel="0" collapsed="false">
      <c r="A760" s="18" t="s">
        <v>1792</v>
      </c>
      <c r="B760" s="19" t="n">
        <v>46142</v>
      </c>
      <c r="C760" s="18" t="s">
        <v>265</v>
      </c>
      <c r="D760" s="18" t="s">
        <v>495</v>
      </c>
      <c r="E760" s="18"/>
      <c r="F760" s="18" t="s">
        <v>1030</v>
      </c>
      <c r="G760" s="18" t="s">
        <v>1026</v>
      </c>
      <c r="H760" s="30" t="n">
        <v>0</v>
      </c>
      <c r="I760" s="18" t="s">
        <v>527</v>
      </c>
      <c r="J760" s="28" t="n">
        <v>1602.03</v>
      </c>
      <c r="K760" s="12" t="str">
        <f aca="false">TEXT(B760,"yyyy-mm")</f>
        <v>2026-04</v>
      </c>
      <c r="L760" s="21" t="str">
        <f aca="false">IFERROR(INDEX(Projects!$E$2:$E$500,MATCH(C760,Projects!$A$2:$A$500,0)),"")</f>
        <v>Digital Transformation</v>
      </c>
      <c r="M760" s="31" t="n">
        <f aca="false">IF(I760="Yes",H760*INDEX(Resources!$I$2:$I$500,MATCH(E760,Resources!$A$2:$A$500,0)),0)</f>
        <v>0</v>
      </c>
    </row>
    <row r="761" customFormat="false" ht="15" hidden="false" customHeight="false" outlineLevel="0" collapsed="false">
      <c r="A761" s="18" t="s">
        <v>1793</v>
      </c>
      <c r="B761" s="19" t="n">
        <v>46142</v>
      </c>
      <c r="C761" s="18" t="s">
        <v>265</v>
      </c>
      <c r="D761" s="18" t="s">
        <v>876</v>
      </c>
      <c r="E761" s="18"/>
      <c r="F761" s="18" t="s">
        <v>1071</v>
      </c>
      <c r="G761" s="18" t="s">
        <v>1033</v>
      </c>
      <c r="H761" s="30" t="n">
        <v>0</v>
      </c>
      <c r="I761" s="18" t="s">
        <v>527</v>
      </c>
      <c r="J761" s="28" t="n">
        <v>1090.7</v>
      </c>
      <c r="K761" s="12" t="str">
        <f aca="false">TEXT(B761,"yyyy-mm")</f>
        <v>2026-04</v>
      </c>
      <c r="L761" s="21" t="str">
        <f aca="false">IFERROR(INDEX(Projects!$E$2:$E$500,MATCH(C761,Projects!$A$2:$A$500,0)),"")</f>
        <v>Digital Transformation</v>
      </c>
      <c r="M761" s="31" t="n">
        <f aca="false">IF(I761="Yes",H761*INDEX(Resources!$I$2:$I$500,MATCH(E761,Resources!$A$2:$A$500,0)),0)</f>
        <v>0</v>
      </c>
    </row>
    <row r="762" customFormat="false" ht="15" hidden="false" customHeight="false" outlineLevel="0" collapsed="false">
      <c r="A762" s="18" t="s">
        <v>1794</v>
      </c>
      <c r="B762" s="19" t="n">
        <v>46142</v>
      </c>
      <c r="C762" s="18" t="s">
        <v>267</v>
      </c>
      <c r="D762" s="18" t="s">
        <v>889</v>
      </c>
      <c r="E762" s="18"/>
      <c r="F762" s="18" t="s">
        <v>1035</v>
      </c>
      <c r="G762" s="18" t="s">
        <v>1026</v>
      </c>
      <c r="H762" s="30" t="n">
        <v>0</v>
      </c>
      <c r="I762" s="18" t="s">
        <v>527</v>
      </c>
      <c r="J762" s="28" t="n">
        <v>5053.37</v>
      </c>
      <c r="K762" s="12" t="str">
        <f aca="false">TEXT(B762,"yyyy-mm")</f>
        <v>2026-04</v>
      </c>
      <c r="L762" s="21" t="str">
        <f aca="false">IFERROR(INDEX(Projects!$E$2:$E$500,MATCH(C762,Projects!$A$2:$A$500,0)),"")</f>
        <v>Cloud &amp; Infrastructure</v>
      </c>
      <c r="M762" s="31" t="n">
        <f aca="false">IF(I762="Yes",H762*INDEX(Resources!$I$2:$I$500,MATCH(E762,Resources!$A$2:$A$500,0)),0)</f>
        <v>0</v>
      </c>
    </row>
    <row r="763" customFormat="false" ht="15" hidden="false" customHeight="false" outlineLevel="0" collapsed="false">
      <c r="A763" s="18" t="s">
        <v>1795</v>
      </c>
      <c r="B763" s="19" t="n">
        <v>46142</v>
      </c>
      <c r="C763" s="18" t="s">
        <v>267</v>
      </c>
      <c r="D763" s="18" t="s">
        <v>882</v>
      </c>
      <c r="E763" s="18"/>
      <c r="F763" s="18" t="s">
        <v>1252</v>
      </c>
      <c r="G763" s="18" t="s">
        <v>1026</v>
      </c>
      <c r="H763" s="30" t="n">
        <v>0</v>
      </c>
      <c r="I763" s="18" t="s">
        <v>527</v>
      </c>
      <c r="J763" s="28" t="n">
        <v>30317.4</v>
      </c>
      <c r="K763" s="12" t="str">
        <f aca="false">TEXT(B763,"yyyy-mm")</f>
        <v>2026-04</v>
      </c>
      <c r="L763" s="21" t="str">
        <f aca="false">IFERROR(INDEX(Projects!$E$2:$E$500,MATCH(C763,Projects!$A$2:$A$500,0)),"")</f>
        <v>Cloud &amp; Infrastructure</v>
      </c>
      <c r="M763" s="31" t="n">
        <f aca="false">IF(I763="Yes",H763*INDEX(Resources!$I$2:$I$500,MATCH(E763,Resources!$A$2:$A$500,0)),0)</f>
        <v>0</v>
      </c>
    </row>
    <row r="764" customFormat="false" ht="15" hidden="false" customHeight="false" outlineLevel="0" collapsed="false">
      <c r="A764" s="18" t="s">
        <v>1796</v>
      </c>
      <c r="B764" s="19" t="n">
        <v>46142</v>
      </c>
      <c r="C764" s="18" t="s">
        <v>267</v>
      </c>
      <c r="D764" s="18" t="s">
        <v>869</v>
      </c>
      <c r="E764" s="18" t="s">
        <v>242</v>
      </c>
      <c r="F764" s="18"/>
      <c r="G764" s="18" t="s">
        <v>1019</v>
      </c>
      <c r="H764" s="30" t="n">
        <v>43.9</v>
      </c>
      <c r="I764" s="18" t="s">
        <v>513</v>
      </c>
      <c r="J764" s="28" t="n">
        <v>4172.26</v>
      </c>
      <c r="K764" s="12" t="str">
        <f aca="false">TEXT(B764,"yyyy-mm")</f>
        <v>2026-04</v>
      </c>
      <c r="L764" s="21" t="str">
        <f aca="false">IFERROR(INDEX(Projects!$E$2:$E$500,MATCH(C764,Projects!$A$2:$A$500,0)),"")</f>
        <v>Cloud &amp; Infrastructure</v>
      </c>
      <c r="M764" s="31" t="n">
        <f aca="false">IF(I764="Yes",H764*INDEX(Resources!$I$2:$I$500,MATCH(E764,Resources!$A$2:$A$500,0)),0)</f>
        <v>8341</v>
      </c>
    </row>
    <row r="765" customFormat="false" ht="15" hidden="false" customHeight="false" outlineLevel="0" collapsed="false">
      <c r="A765" s="18" t="s">
        <v>1797</v>
      </c>
      <c r="B765" s="19" t="n">
        <v>46142</v>
      </c>
      <c r="C765" s="18" t="s">
        <v>267</v>
      </c>
      <c r="D765" s="18" t="s">
        <v>869</v>
      </c>
      <c r="E765" s="18" t="s">
        <v>348</v>
      </c>
      <c r="F765" s="18"/>
      <c r="G765" s="18" t="s">
        <v>1019</v>
      </c>
      <c r="H765" s="30" t="n">
        <v>39</v>
      </c>
      <c r="I765" s="18" t="s">
        <v>513</v>
      </c>
      <c r="J765" s="28" t="n">
        <v>5066.88</v>
      </c>
      <c r="K765" s="12" t="str">
        <f aca="false">TEXT(B765,"yyyy-mm")</f>
        <v>2026-04</v>
      </c>
      <c r="L765" s="21" t="str">
        <f aca="false">IFERROR(INDEX(Projects!$E$2:$E$500,MATCH(C765,Projects!$A$2:$A$500,0)),"")</f>
        <v>Cloud &amp; Infrastructure</v>
      </c>
      <c r="M765" s="31" t="n">
        <f aca="false">IF(I765="Yes",H765*INDEX(Resources!$I$2:$I$500,MATCH(E765,Resources!$A$2:$A$500,0)),0)</f>
        <v>10140</v>
      </c>
    </row>
    <row r="766" customFormat="false" ht="15" hidden="false" customHeight="false" outlineLevel="0" collapsed="false">
      <c r="A766" s="18" t="s">
        <v>1798</v>
      </c>
      <c r="B766" s="19" t="n">
        <v>46142</v>
      </c>
      <c r="C766" s="18" t="s">
        <v>267</v>
      </c>
      <c r="D766" s="18" t="s">
        <v>869</v>
      </c>
      <c r="E766" s="18" t="s">
        <v>405</v>
      </c>
      <c r="F766" s="18"/>
      <c r="G766" s="18" t="s">
        <v>1019</v>
      </c>
      <c r="H766" s="30" t="n">
        <v>93.8</v>
      </c>
      <c r="I766" s="18" t="s">
        <v>513</v>
      </c>
      <c r="J766" s="28" t="n">
        <v>9319.97</v>
      </c>
      <c r="K766" s="12" t="str">
        <f aca="false">TEXT(B766,"yyyy-mm")</f>
        <v>2026-04</v>
      </c>
      <c r="L766" s="21" t="str">
        <f aca="false">IFERROR(INDEX(Projects!$E$2:$E$500,MATCH(C766,Projects!$A$2:$A$500,0)),"")</f>
        <v>Cloud &amp; Infrastructure</v>
      </c>
      <c r="M766" s="31" t="n">
        <f aca="false">IF(I766="Yes",H766*INDEX(Resources!$I$2:$I$500,MATCH(E766,Resources!$A$2:$A$500,0)),0)</f>
        <v>18760</v>
      </c>
    </row>
    <row r="767" customFormat="false" ht="15" hidden="false" customHeight="false" outlineLevel="0" collapsed="false">
      <c r="A767" s="18" t="s">
        <v>1799</v>
      </c>
      <c r="B767" s="19" t="n">
        <v>46142</v>
      </c>
      <c r="C767" s="18" t="s">
        <v>267</v>
      </c>
      <c r="D767" s="18" t="s">
        <v>869</v>
      </c>
      <c r="E767" s="18" t="s">
        <v>477</v>
      </c>
      <c r="F767" s="18"/>
      <c r="G767" s="18" t="s">
        <v>1019</v>
      </c>
      <c r="H767" s="30" t="n">
        <v>141.6</v>
      </c>
      <c r="I767" s="18" t="s">
        <v>513</v>
      </c>
      <c r="J767" s="28" t="n">
        <v>15440.06</v>
      </c>
      <c r="K767" s="12" t="str">
        <f aca="false">TEXT(B767,"yyyy-mm")</f>
        <v>2026-04</v>
      </c>
      <c r="L767" s="21" t="str">
        <f aca="false">IFERROR(INDEX(Projects!$E$2:$E$500,MATCH(C767,Projects!$A$2:$A$500,0)),"")</f>
        <v>Cloud &amp; Infrastructure</v>
      </c>
      <c r="M767" s="31" t="n">
        <f aca="false">IF(I767="Yes",H767*INDEX(Resources!$I$2:$I$500,MATCH(E767,Resources!$A$2:$A$500,0)),0)</f>
        <v>31152</v>
      </c>
    </row>
    <row r="768" customFormat="false" ht="15" hidden="false" customHeight="false" outlineLevel="0" collapsed="false">
      <c r="A768" s="18" t="s">
        <v>1800</v>
      </c>
      <c r="B768" s="19" t="n">
        <v>46142</v>
      </c>
      <c r="C768" s="18" t="s">
        <v>267</v>
      </c>
      <c r="D768" s="18" t="s">
        <v>869</v>
      </c>
      <c r="E768" s="18" t="s">
        <v>489</v>
      </c>
      <c r="F768" s="18"/>
      <c r="G768" s="18" t="s">
        <v>1019</v>
      </c>
      <c r="H768" s="30" t="n">
        <v>91.5</v>
      </c>
      <c r="I768" s="18" t="s">
        <v>513</v>
      </c>
      <c r="J768" s="28" t="n">
        <v>7869</v>
      </c>
      <c r="K768" s="12" t="str">
        <f aca="false">TEXT(B768,"yyyy-mm")</f>
        <v>2026-04</v>
      </c>
      <c r="L768" s="21" t="str">
        <f aca="false">IFERROR(INDEX(Projects!$E$2:$E$500,MATCH(C768,Projects!$A$2:$A$500,0)),"")</f>
        <v>Cloud &amp; Infrastructure</v>
      </c>
      <c r="M768" s="31" t="n">
        <f aca="false">IF(I768="Yes",H768*INDEX(Resources!$I$2:$I$500,MATCH(E768,Resources!$A$2:$A$500,0)),0)</f>
        <v>16012.5</v>
      </c>
    </row>
    <row r="769" customFormat="false" ht="15" hidden="false" customHeight="false" outlineLevel="0" collapsed="false">
      <c r="A769" s="18" t="s">
        <v>1801</v>
      </c>
      <c r="B769" s="19" t="n">
        <v>46142</v>
      </c>
      <c r="C769" s="18" t="s">
        <v>267</v>
      </c>
      <c r="D769" s="18" t="s">
        <v>872</v>
      </c>
      <c r="E769" s="18"/>
      <c r="F769" s="18" t="s">
        <v>1059</v>
      </c>
      <c r="G769" s="18" t="s">
        <v>1026</v>
      </c>
      <c r="H769" s="30" t="n">
        <v>0</v>
      </c>
      <c r="I769" s="18" t="s">
        <v>527</v>
      </c>
      <c r="J769" s="28" t="n">
        <v>1850.85</v>
      </c>
      <c r="K769" s="12" t="str">
        <f aca="false">TEXT(B769,"yyyy-mm")</f>
        <v>2026-04</v>
      </c>
      <c r="L769" s="21" t="str">
        <f aca="false">IFERROR(INDEX(Projects!$E$2:$E$500,MATCH(C769,Projects!$A$2:$A$500,0)),"")</f>
        <v>Cloud &amp; Infrastructure</v>
      </c>
      <c r="M769" s="31" t="n">
        <f aca="false">IF(I769="Yes",H769*INDEX(Resources!$I$2:$I$500,MATCH(E769,Resources!$A$2:$A$500,0)),0)</f>
        <v>0</v>
      </c>
    </row>
    <row r="770" customFormat="false" ht="15" hidden="false" customHeight="false" outlineLevel="0" collapsed="false">
      <c r="A770" s="18" t="s">
        <v>1802</v>
      </c>
      <c r="B770" s="19" t="n">
        <v>46142</v>
      </c>
      <c r="C770" s="18" t="s">
        <v>267</v>
      </c>
      <c r="D770" s="18" t="s">
        <v>876</v>
      </c>
      <c r="E770" s="18"/>
      <c r="F770" s="18" t="s">
        <v>1032</v>
      </c>
      <c r="G770" s="18" t="s">
        <v>1033</v>
      </c>
      <c r="H770" s="30" t="n">
        <v>0</v>
      </c>
      <c r="I770" s="18" t="s">
        <v>527</v>
      </c>
      <c r="J770" s="28" t="n">
        <v>778.82</v>
      </c>
      <c r="K770" s="12" t="str">
        <f aca="false">TEXT(B770,"yyyy-mm")</f>
        <v>2026-04</v>
      </c>
      <c r="L770" s="21" t="str">
        <f aca="false">IFERROR(INDEX(Projects!$E$2:$E$500,MATCH(C770,Projects!$A$2:$A$500,0)),"")</f>
        <v>Cloud &amp; Infrastructure</v>
      </c>
      <c r="M770" s="31" t="n">
        <f aca="false">IF(I770="Yes",H770*INDEX(Resources!$I$2:$I$500,MATCH(E770,Resources!$A$2:$A$500,0)),0)</f>
        <v>0</v>
      </c>
    </row>
    <row r="771" customFormat="false" ht="15" hidden="false" customHeight="false" outlineLevel="0" collapsed="false">
      <c r="A771" s="18" t="s">
        <v>1803</v>
      </c>
      <c r="B771" s="19" t="n">
        <v>46142</v>
      </c>
      <c r="C771" s="18" t="s">
        <v>270</v>
      </c>
      <c r="D771" s="18" t="s">
        <v>869</v>
      </c>
      <c r="E771" s="18" t="s">
        <v>237</v>
      </c>
      <c r="F771" s="18"/>
      <c r="G771" s="18" t="s">
        <v>1019</v>
      </c>
      <c r="H771" s="30" t="n">
        <v>100.8</v>
      </c>
      <c r="I771" s="18" t="s">
        <v>513</v>
      </c>
      <c r="J771" s="28" t="n">
        <v>7539.84</v>
      </c>
      <c r="K771" s="12" t="str">
        <f aca="false">TEXT(B771,"yyyy-mm")</f>
        <v>2026-04</v>
      </c>
      <c r="L771" s="21" t="str">
        <f aca="false">IFERROR(INDEX(Projects!$E$2:$E$500,MATCH(C771,Projects!$A$2:$A$500,0)),"")</f>
        <v>Digital Transformation</v>
      </c>
      <c r="M771" s="31" t="n">
        <f aca="false">IF(I771="Yes",H771*INDEX(Resources!$I$2:$I$500,MATCH(E771,Resources!$A$2:$A$500,0)),0)</f>
        <v>15120</v>
      </c>
    </row>
    <row r="772" customFormat="false" ht="15" hidden="false" customHeight="false" outlineLevel="0" collapsed="false">
      <c r="A772" s="18" t="s">
        <v>1804</v>
      </c>
      <c r="B772" s="19" t="n">
        <v>46142</v>
      </c>
      <c r="C772" s="18" t="s">
        <v>270</v>
      </c>
      <c r="D772" s="18" t="s">
        <v>869</v>
      </c>
      <c r="E772" s="18" t="s">
        <v>357</v>
      </c>
      <c r="F772" s="18"/>
      <c r="G772" s="18" t="s">
        <v>1019</v>
      </c>
      <c r="H772" s="30" t="n">
        <v>53.1</v>
      </c>
      <c r="I772" s="18" t="s">
        <v>513</v>
      </c>
      <c r="J772" s="28" t="n">
        <v>6422.98</v>
      </c>
      <c r="K772" s="12" t="str">
        <f aca="false">TEXT(B772,"yyyy-mm")</f>
        <v>2026-04</v>
      </c>
      <c r="L772" s="21" t="str">
        <f aca="false">IFERROR(INDEX(Projects!$E$2:$E$500,MATCH(C772,Projects!$A$2:$A$500,0)),"")</f>
        <v>Digital Transformation</v>
      </c>
      <c r="M772" s="31" t="n">
        <f aca="false">IF(I772="Yes",H772*INDEX(Resources!$I$2:$I$500,MATCH(E772,Resources!$A$2:$A$500,0)),0)</f>
        <v>13009.5</v>
      </c>
    </row>
    <row r="773" customFormat="false" ht="15" hidden="false" customHeight="false" outlineLevel="0" collapsed="false">
      <c r="A773" s="18" t="s">
        <v>1805</v>
      </c>
      <c r="B773" s="19" t="n">
        <v>46142</v>
      </c>
      <c r="C773" s="18" t="s">
        <v>270</v>
      </c>
      <c r="D773" s="18" t="s">
        <v>869</v>
      </c>
      <c r="E773" s="18" t="s">
        <v>363</v>
      </c>
      <c r="F773" s="18"/>
      <c r="G773" s="18" t="s">
        <v>1019</v>
      </c>
      <c r="H773" s="30" t="n">
        <v>101.9</v>
      </c>
      <c r="I773" s="18" t="s">
        <v>513</v>
      </c>
      <c r="J773" s="28" t="n">
        <v>8037.87</v>
      </c>
      <c r="K773" s="12" t="str">
        <f aca="false">TEXT(B773,"yyyy-mm")</f>
        <v>2026-04</v>
      </c>
      <c r="L773" s="21" t="str">
        <f aca="false">IFERROR(INDEX(Projects!$E$2:$E$500,MATCH(C773,Projects!$A$2:$A$500,0)),"")</f>
        <v>Digital Transformation</v>
      </c>
      <c r="M773" s="31" t="n">
        <f aca="false">IF(I773="Yes",H773*INDEX(Resources!$I$2:$I$500,MATCH(E773,Resources!$A$2:$A$500,0)),0)</f>
        <v>16304</v>
      </c>
    </row>
    <row r="774" customFormat="false" ht="15" hidden="false" customHeight="false" outlineLevel="0" collapsed="false">
      <c r="A774" s="18" t="s">
        <v>1806</v>
      </c>
      <c r="B774" s="19" t="n">
        <v>46142</v>
      </c>
      <c r="C774" s="18" t="s">
        <v>270</v>
      </c>
      <c r="D774" s="18" t="s">
        <v>869</v>
      </c>
      <c r="E774" s="18" t="s">
        <v>393</v>
      </c>
      <c r="F774" s="18"/>
      <c r="G774" s="18" t="s">
        <v>1019</v>
      </c>
      <c r="H774" s="30" t="n">
        <v>169.6</v>
      </c>
      <c r="I774" s="18" t="s">
        <v>513</v>
      </c>
      <c r="J774" s="28" t="n">
        <v>16851.46</v>
      </c>
      <c r="K774" s="12" t="str">
        <f aca="false">TEXT(B774,"yyyy-mm")</f>
        <v>2026-04</v>
      </c>
      <c r="L774" s="21" t="str">
        <f aca="false">IFERROR(INDEX(Projects!$E$2:$E$500,MATCH(C774,Projects!$A$2:$A$500,0)),"")</f>
        <v>Digital Transformation</v>
      </c>
      <c r="M774" s="31" t="n">
        <f aca="false">IF(I774="Yes",H774*INDEX(Resources!$I$2:$I$500,MATCH(E774,Resources!$A$2:$A$500,0)),0)</f>
        <v>33920</v>
      </c>
    </row>
    <row r="775" customFormat="false" ht="15" hidden="false" customHeight="false" outlineLevel="0" collapsed="false">
      <c r="A775" s="18" t="s">
        <v>1807</v>
      </c>
      <c r="B775" s="19" t="n">
        <v>46142</v>
      </c>
      <c r="C775" s="18" t="s">
        <v>270</v>
      </c>
      <c r="D775" s="18" t="s">
        <v>869</v>
      </c>
      <c r="E775" s="18" t="s">
        <v>430</v>
      </c>
      <c r="F775" s="18"/>
      <c r="G775" s="18" t="s">
        <v>1019</v>
      </c>
      <c r="H775" s="30" t="n">
        <v>155</v>
      </c>
      <c r="I775" s="18" t="s">
        <v>513</v>
      </c>
      <c r="J775" s="28" t="n">
        <v>9920</v>
      </c>
      <c r="K775" s="12" t="str">
        <f aca="false">TEXT(B775,"yyyy-mm")</f>
        <v>2026-04</v>
      </c>
      <c r="L775" s="21" t="str">
        <f aca="false">IFERROR(INDEX(Projects!$E$2:$E$500,MATCH(C775,Projects!$A$2:$A$500,0)),"")</f>
        <v>Digital Transformation</v>
      </c>
      <c r="M775" s="31" t="n">
        <f aca="false">IF(I775="Yes",H775*INDEX(Resources!$I$2:$I$500,MATCH(E775,Resources!$A$2:$A$500,0)),0)</f>
        <v>20150</v>
      </c>
    </row>
    <row r="776" customFormat="false" ht="15" hidden="false" customHeight="false" outlineLevel="0" collapsed="false">
      <c r="A776" s="18" t="s">
        <v>1808</v>
      </c>
      <c r="B776" s="19" t="n">
        <v>46142</v>
      </c>
      <c r="C776" s="18" t="s">
        <v>270</v>
      </c>
      <c r="D776" s="18" t="s">
        <v>872</v>
      </c>
      <c r="E776" s="18"/>
      <c r="F776" s="18" t="s">
        <v>1025</v>
      </c>
      <c r="G776" s="18" t="s">
        <v>1026</v>
      </c>
      <c r="H776" s="30" t="n">
        <v>0</v>
      </c>
      <c r="I776" s="18" t="s">
        <v>527</v>
      </c>
      <c r="J776" s="28" t="n">
        <v>4421.12</v>
      </c>
      <c r="K776" s="12" t="str">
        <f aca="false">TEXT(B776,"yyyy-mm")</f>
        <v>2026-04</v>
      </c>
      <c r="L776" s="21" t="str">
        <f aca="false">IFERROR(INDEX(Projects!$E$2:$E$500,MATCH(C776,Projects!$A$2:$A$500,0)),"")</f>
        <v>Digital Transformation</v>
      </c>
      <c r="M776" s="31" t="n">
        <f aca="false">IF(I776="Yes",H776*INDEX(Resources!$I$2:$I$500,MATCH(E776,Resources!$A$2:$A$500,0)),0)</f>
        <v>0</v>
      </c>
    </row>
    <row r="777" customFormat="false" ht="15" hidden="false" customHeight="false" outlineLevel="0" collapsed="false">
      <c r="A777" s="18" t="s">
        <v>1809</v>
      </c>
      <c r="B777" s="19" t="n">
        <v>46142</v>
      </c>
      <c r="C777" s="18" t="s">
        <v>270</v>
      </c>
      <c r="D777" s="18" t="s">
        <v>874</v>
      </c>
      <c r="E777" s="18"/>
      <c r="F777" s="18" t="s">
        <v>1028</v>
      </c>
      <c r="G777" s="18" t="s">
        <v>1026</v>
      </c>
      <c r="H777" s="30" t="n">
        <v>0</v>
      </c>
      <c r="I777" s="18" t="s">
        <v>527</v>
      </c>
      <c r="J777" s="28" t="n">
        <v>4837.91</v>
      </c>
      <c r="K777" s="12" t="str">
        <f aca="false">TEXT(B777,"yyyy-mm")</f>
        <v>2026-04</v>
      </c>
      <c r="L777" s="21" t="str">
        <f aca="false">IFERROR(INDEX(Projects!$E$2:$E$500,MATCH(C777,Projects!$A$2:$A$500,0)),"")</f>
        <v>Digital Transformation</v>
      </c>
      <c r="M777" s="31" t="n">
        <f aca="false">IF(I777="Yes",H777*INDEX(Resources!$I$2:$I$500,MATCH(E777,Resources!$A$2:$A$500,0)),0)</f>
        <v>0</v>
      </c>
    </row>
    <row r="778" customFormat="false" ht="15" hidden="false" customHeight="false" outlineLevel="0" collapsed="false">
      <c r="A778" s="18" t="s">
        <v>1810</v>
      </c>
      <c r="B778" s="19" t="n">
        <v>46142</v>
      </c>
      <c r="C778" s="18" t="s">
        <v>270</v>
      </c>
      <c r="D778" s="18" t="s">
        <v>495</v>
      </c>
      <c r="E778" s="18"/>
      <c r="F778" s="18" t="s">
        <v>1373</v>
      </c>
      <c r="G778" s="18" t="s">
        <v>1026</v>
      </c>
      <c r="H778" s="30" t="n">
        <v>0</v>
      </c>
      <c r="I778" s="18" t="s">
        <v>527</v>
      </c>
      <c r="J778" s="28" t="n">
        <v>1444.81</v>
      </c>
      <c r="K778" s="12" t="str">
        <f aca="false">TEXT(B778,"yyyy-mm")</f>
        <v>2026-04</v>
      </c>
      <c r="L778" s="21" t="str">
        <f aca="false">IFERROR(INDEX(Projects!$E$2:$E$500,MATCH(C778,Projects!$A$2:$A$500,0)),"")</f>
        <v>Digital Transformation</v>
      </c>
      <c r="M778" s="31" t="n">
        <f aca="false">IF(I778="Yes",H778*INDEX(Resources!$I$2:$I$500,MATCH(E778,Resources!$A$2:$A$500,0)),0)</f>
        <v>0</v>
      </c>
    </row>
    <row r="779" customFormat="false" ht="15" hidden="false" customHeight="false" outlineLevel="0" collapsed="false">
      <c r="A779" s="18" t="s">
        <v>1811</v>
      </c>
      <c r="B779" s="19" t="n">
        <v>46142</v>
      </c>
      <c r="C779" s="18" t="s">
        <v>270</v>
      </c>
      <c r="D779" s="18" t="s">
        <v>876</v>
      </c>
      <c r="E779" s="18"/>
      <c r="F779" s="18" t="s">
        <v>1071</v>
      </c>
      <c r="G779" s="18" t="s">
        <v>1033</v>
      </c>
      <c r="H779" s="30" t="n">
        <v>0</v>
      </c>
      <c r="I779" s="18" t="s">
        <v>527</v>
      </c>
      <c r="J779" s="28" t="n">
        <v>979.22</v>
      </c>
      <c r="K779" s="12" t="str">
        <f aca="false">TEXT(B779,"yyyy-mm")</f>
        <v>2026-04</v>
      </c>
      <c r="L779" s="21" t="str">
        <f aca="false">IFERROR(INDEX(Projects!$E$2:$E$500,MATCH(C779,Projects!$A$2:$A$500,0)),"")</f>
        <v>Digital Transformation</v>
      </c>
      <c r="M779" s="31" t="n">
        <f aca="false">IF(I779="Yes",H779*INDEX(Resources!$I$2:$I$500,MATCH(E779,Resources!$A$2:$A$500,0)),0)</f>
        <v>0</v>
      </c>
    </row>
    <row r="780" customFormat="false" ht="15" hidden="false" customHeight="false" outlineLevel="0" collapsed="false">
      <c r="A780" s="18" t="s">
        <v>1812</v>
      </c>
      <c r="B780" s="19" t="n">
        <v>46142</v>
      </c>
      <c r="C780" s="18" t="s">
        <v>272</v>
      </c>
      <c r="D780" s="18" t="s">
        <v>869</v>
      </c>
      <c r="E780" s="18" t="s">
        <v>201</v>
      </c>
      <c r="F780" s="18"/>
      <c r="G780" s="18" t="s">
        <v>1019</v>
      </c>
      <c r="H780" s="30" t="n">
        <v>30.6</v>
      </c>
      <c r="I780" s="18" t="s">
        <v>527</v>
      </c>
      <c r="J780" s="28" t="n">
        <v>3123.65</v>
      </c>
      <c r="K780" s="12" t="str">
        <f aca="false">TEXT(B780,"yyyy-mm")</f>
        <v>2026-04</v>
      </c>
      <c r="L780" s="21" t="str">
        <f aca="false">IFERROR(INDEX(Projects!$E$2:$E$500,MATCH(C780,Projects!$A$2:$A$500,0)),"")</f>
        <v>Operational Excellence</v>
      </c>
      <c r="M780" s="31" t="n">
        <f aca="false">IF(I780="Yes",H780*INDEX(Resources!$I$2:$I$500,MATCH(E780,Resources!$A$2:$A$500,0)),0)</f>
        <v>0</v>
      </c>
    </row>
    <row r="781" customFormat="false" ht="15" hidden="false" customHeight="false" outlineLevel="0" collapsed="false">
      <c r="A781" s="18" t="s">
        <v>1813</v>
      </c>
      <c r="B781" s="19" t="n">
        <v>46142</v>
      </c>
      <c r="C781" s="18" t="s">
        <v>272</v>
      </c>
      <c r="D781" s="18" t="s">
        <v>869</v>
      </c>
      <c r="E781" s="18" t="s">
        <v>373</v>
      </c>
      <c r="F781" s="18"/>
      <c r="G781" s="18" t="s">
        <v>1019</v>
      </c>
      <c r="H781" s="30" t="n">
        <v>56.4</v>
      </c>
      <c r="I781" s="18" t="s">
        <v>513</v>
      </c>
      <c r="J781" s="28" t="n">
        <v>4142.02</v>
      </c>
      <c r="K781" s="12" t="str">
        <f aca="false">TEXT(B781,"yyyy-mm")</f>
        <v>2026-04</v>
      </c>
      <c r="L781" s="21" t="str">
        <f aca="false">IFERROR(INDEX(Projects!$E$2:$E$500,MATCH(C781,Projects!$A$2:$A$500,0)),"")</f>
        <v>Operational Excellence</v>
      </c>
      <c r="M781" s="31" t="n">
        <f aca="false">IF(I781="Yes",H781*INDEX(Resources!$I$2:$I$500,MATCH(E781,Resources!$A$2:$A$500,0)),0)</f>
        <v>8460</v>
      </c>
    </row>
    <row r="782" customFormat="false" ht="15" hidden="false" customHeight="false" outlineLevel="0" collapsed="false">
      <c r="A782" s="18" t="s">
        <v>1814</v>
      </c>
      <c r="B782" s="19" t="n">
        <v>46142</v>
      </c>
      <c r="C782" s="18" t="s">
        <v>272</v>
      </c>
      <c r="D782" s="18" t="s">
        <v>869</v>
      </c>
      <c r="E782" s="18" t="s">
        <v>395</v>
      </c>
      <c r="F782" s="18"/>
      <c r="G782" s="18" t="s">
        <v>1019</v>
      </c>
      <c r="H782" s="30" t="n">
        <v>57.8</v>
      </c>
      <c r="I782" s="18" t="s">
        <v>513</v>
      </c>
      <c r="J782" s="28" t="n">
        <v>6181.71</v>
      </c>
      <c r="K782" s="12" t="str">
        <f aca="false">TEXT(B782,"yyyy-mm")</f>
        <v>2026-04</v>
      </c>
      <c r="L782" s="21" t="str">
        <f aca="false">IFERROR(INDEX(Projects!$E$2:$E$500,MATCH(C782,Projects!$A$2:$A$500,0)),"")</f>
        <v>Operational Excellence</v>
      </c>
      <c r="M782" s="31" t="n">
        <f aca="false">IF(I782="Yes",H782*INDEX(Resources!$I$2:$I$500,MATCH(E782,Resources!$A$2:$A$500,0)),0)</f>
        <v>9826</v>
      </c>
    </row>
    <row r="783" customFormat="false" ht="15" hidden="false" customHeight="false" outlineLevel="0" collapsed="false">
      <c r="A783" s="18" t="s">
        <v>1815</v>
      </c>
      <c r="B783" s="19" t="n">
        <v>46142</v>
      </c>
      <c r="C783" s="18" t="s">
        <v>272</v>
      </c>
      <c r="D783" s="18" t="s">
        <v>869</v>
      </c>
      <c r="E783" s="18" t="s">
        <v>426</v>
      </c>
      <c r="F783" s="18"/>
      <c r="G783" s="18" t="s">
        <v>1019</v>
      </c>
      <c r="H783" s="30" t="n">
        <v>51.2</v>
      </c>
      <c r="I783" s="18" t="s">
        <v>513</v>
      </c>
      <c r="J783" s="28" t="n">
        <v>3801.09</v>
      </c>
      <c r="K783" s="12" t="str">
        <f aca="false">TEXT(B783,"yyyy-mm")</f>
        <v>2026-04</v>
      </c>
      <c r="L783" s="21" t="str">
        <f aca="false">IFERROR(INDEX(Projects!$E$2:$E$500,MATCH(C783,Projects!$A$2:$A$500,0)),"")</f>
        <v>Operational Excellence</v>
      </c>
      <c r="M783" s="31" t="n">
        <f aca="false">IF(I783="Yes",H783*INDEX(Resources!$I$2:$I$500,MATCH(E783,Resources!$A$2:$A$500,0)),0)</f>
        <v>7680</v>
      </c>
    </row>
    <row r="784" customFormat="false" ht="15" hidden="false" customHeight="false" outlineLevel="0" collapsed="false">
      <c r="A784" s="18" t="s">
        <v>1816</v>
      </c>
      <c r="B784" s="19" t="n">
        <v>46142</v>
      </c>
      <c r="C784" s="18" t="s">
        <v>272</v>
      </c>
      <c r="D784" s="18" t="s">
        <v>872</v>
      </c>
      <c r="E784" s="18"/>
      <c r="F784" s="18" t="s">
        <v>353</v>
      </c>
      <c r="G784" s="18" t="s">
        <v>1026</v>
      </c>
      <c r="H784" s="30" t="n">
        <v>0</v>
      </c>
      <c r="I784" s="18" t="s">
        <v>527</v>
      </c>
      <c r="J784" s="28" t="n">
        <v>1339.66</v>
      </c>
      <c r="K784" s="12" t="str">
        <f aca="false">TEXT(B784,"yyyy-mm")</f>
        <v>2026-04</v>
      </c>
      <c r="L784" s="21" t="str">
        <f aca="false">IFERROR(INDEX(Projects!$E$2:$E$500,MATCH(C784,Projects!$A$2:$A$500,0)),"")</f>
        <v>Operational Excellence</v>
      </c>
      <c r="M784" s="31" t="n">
        <f aca="false">IF(I784="Yes",H784*INDEX(Resources!$I$2:$I$500,MATCH(E784,Resources!$A$2:$A$500,0)),0)</f>
        <v>0</v>
      </c>
    </row>
    <row r="785" customFormat="false" ht="15" hidden="false" customHeight="false" outlineLevel="0" collapsed="false">
      <c r="A785" s="18" t="s">
        <v>1817</v>
      </c>
      <c r="B785" s="19" t="n">
        <v>46142</v>
      </c>
      <c r="C785" s="18" t="s">
        <v>272</v>
      </c>
      <c r="D785" s="18" t="s">
        <v>495</v>
      </c>
      <c r="E785" s="18"/>
      <c r="F785" s="18" t="s">
        <v>1030</v>
      </c>
      <c r="G785" s="18" t="s">
        <v>1026</v>
      </c>
      <c r="H785" s="30" t="n">
        <v>0</v>
      </c>
      <c r="I785" s="18" t="s">
        <v>527</v>
      </c>
      <c r="J785" s="28" t="n">
        <v>668.07</v>
      </c>
      <c r="K785" s="12" t="str">
        <f aca="false">TEXT(B785,"yyyy-mm")</f>
        <v>2026-04</v>
      </c>
      <c r="L785" s="21" t="str">
        <f aca="false">IFERROR(INDEX(Projects!$E$2:$E$500,MATCH(C785,Projects!$A$2:$A$500,0)),"")</f>
        <v>Operational Excellence</v>
      </c>
      <c r="M785" s="31" t="n">
        <f aca="false">IF(I785="Yes",H785*INDEX(Resources!$I$2:$I$500,MATCH(E785,Resources!$A$2:$A$500,0)),0)</f>
        <v>0</v>
      </c>
    </row>
    <row r="786" customFormat="false" ht="15" hidden="false" customHeight="false" outlineLevel="0" collapsed="false">
      <c r="A786" s="18" t="s">
        <v>1818</v>
      </c>
      <c r="B786" s="19" t="n">
        <v>46142</v>
      </c>
      <c r="C786" s="18" t="s">
        <v>272</v>
      </c>
      <c r="D786" s="18" t="s">
        <v>876</v>
      </c>
      <c r="E786" s="18"/>
      <c r="F786" s="18" t="s">
        <v>1032</v>
      </c>
      <c r="G786" s="18" t="s">
        <v>1033</v>
      </c>
      <c r="H786" s="30" t="n">
        <v>0</v>
      </c>
      <c r="I786" s="18" t="s">
        <v>527</v>
      </c>
      <c r="J786" s="28" t="n">
        <v>595.4</v>
      </c>
      <c r="K786" s="12" t="str">
        <f aca="false">TEXT(B786,"yyyy-mm")</f>
        <v>2026-04</v>
      </c>
      <c r="L786" s="21" t="str">
        <f aca="false">IFERROR(INDEX(Projects!$E$2:$E$500,MATCH(C786,Projects!$A$2:$A$500,0)),"")</f>
        <v>Operational Excellence</v>
      </c>
      <c r="M786" s="31" t="n">
        <f aca="false">IF(I786="Yes",H786*INDEX(Resources!$I$2:$I$500,MATCH(E786,Resources!$A$2:$A$500,0)),0)</f>
        <v>0</v>
      </c>
    </row>
    <row r="787" customFormat="false" ht="15" hidden="false" customHeight="false" outlineLevel="0" collapsed="false">
      <c r="A787" s="18" t="s">
        <v>1819</v>
      </c>
      <c r="B787" s="19" t="n">
        <v>46142</v>
      </c>
      <c r="C787" s="18" t="s">
        <v>275</v>
      </c>
      <c r="D787" s="18" t="s">
        <v>869</v>
      </c>
      <c r="E787" s="18" t="s">
        <v>218</v>
      </c>
      <c r="F787" s="18"/>
      <c r="G787" s="18" t="s">
        <v>1019</v>
      </c>
      <c r="H787" s="30" t="n">
        <v>120.8</v>
      </c>
      <c r="I787" s="18" t="s">
        <v>513</v>
      </c>
      <c r="J787" s="28" t="n">
        <v>9035.84</v>
      </c>
      <c r="K787" s="12" t="str">
        <f aca="false">TEXT(B787,"yyyy-mm")</f>
        <v>2026-04</v>
      </c>
      <c r="L787" s="21" t="str">
        <f aca="false">IFERROR(INDEX(Projects!$E$2:$E$500,MATCH(C787,Projects!$A$2:$A$500,0)),"")</f>
        <v>Customer Experience</v>
      </c>
      <c r="M787" s="31" t="n">
        <f aca="false">IF(I787="Yes",H787*INDEX(Resources!$I$2:$I$500,MATCH(E787,Resources!$A$2:$A$500,0)),0)</f>
        <v>18120</v>
      </c>
    </row>
    <row r="788" customFormat="false" ht="15" hidden="false" customHeight="false" outlineLevel="0" collapsed="false">
      <c r="A788" s="18" t="s">
        <v>1820</v>
      </c>
      <c r="B788" s="19" t="n">
        <v>46142</v>
      </c>
      <c r="C788" s="18" t="s">
        <v>275</v>
      </c>
      <c r="D788" s="18" t="s">
        <v>869</v>
      </c>
      <c r="E788" s="18" t="s">
        <v>371</v>
      </c>
      <c r="F788" s="18"/>
      <c r="G788" s="18" t="s">
        <v>1019</v>
      </c>
      <c r="H788" s="30" t="n">
        <v>114.8</v>
      </c>
      <c r="I788" s="18" t="s">
        <v>513</v>
      </c>
      <c r="J788" s="28" t="n">
        <v>7259.95</v>
      </c>
      <c r="K788" s="12" t="str">
        <f aca="false">TEXT(B788,"yyyy-mm")</f>
        <v>2026-04</v>
      </c>
      <c r="L788" s="21" t="str">
        <f aca="false">IFERROR(INDEX(Projects!$E$2:$E$500,MATCH(C788,Projects!$A$2:$A$500,0)),"")</f>
        <v>Customer Experience</v>
      </c>
      <c r="M788" s="31" t="n">
        <f aca="false">IF(I788="Yes",H788*INDEX(Resources!$I$2:$I$500,MATCH(E788,Resources!$A$2:$A$500,0)),0)</f>
        <v>14924</v>
      </c>
    </row>
    <row r="789" customFormat="false" ht="15" hidden="false" customHeight="false" outlineLevel="0" collapsed="false">
      <c r="A789" s="18" t="s">
        <v>1821</v>
      </c>
      <c r="B789" s="19" t="n">
        <v>46142</v>
      </c>
      <c r="C789" s="18" t="s">
        <v>275</v>
      </c>
      <c r="D789" s="18" t="s">
        <v>869</v>
      </c>
      <c r="E789" s="18" t="s">
        <v>387</v>
      </c>
      <c r="F789" s="18"/>
      <c r="G789" s="18" t="s">
        <v>1019</v>
      </c>
      <c r="H789" s="30" t="n">
        <v>137.6</v>
      </c>
      <c r="I789" s="18" t="s">
        <v>513</v>
      </c>
      <c r="J789" s="28" t="n">
        <v>8655.04</v>
      </c>
      <c r="K789" s="12" t="str">
        <f aca="false">TEXT(B789,"yyyy-mm")</f>
        <v>2026-04</v>
      </c>
      <c r="L789" s="21" t="str">
        <f aca="false">IFERROR(INDEX(Projects!$E$2:$E$500,MATCH(C789,Projects!$A$2:$A$500,0)),"")</f>
        <v>Customer Experience</v>
      </c>
      <c r="M789" s="31" t="n">
        <f aca="false">IF(I789="Yes",H789*INDEX(Resources!$I$2:$I$500,MATCH(E789,Resources!$A$2:$A$500,0)),0)</f>
        <v>17888</v>
      </c>
    </row>
    <row r="790" customFormat="false" ht="15" hidden="false" customHeight="false" outlineLevel="0" collapsed="false">
      <c r="A790" s="18" t="s">
        <v>1822</v>
      </c>
      <c r="B790" s="19" t="n">
        <v>46142</v>
      </c>
      <c r="C790" s="18" t="s">
        <v>275</v>
      </c>
      <c r="D790" s="18" t="s">
        <v>869</v>
      </c>
      <c r="E790" s="18" t="s">
        <v>400</v>
      </c>
      <c r="F790" s="18"/>
      <c r="G790" s="18" t="s">
        <v>1019</v>
      </c>
      <c r="H790" s="30" t="n">
        <v>137.3</v>
      </c>
      <c r="I790" s="18" t="s">
        <v>513</v>
      </c>
      <c r="J790" s="28" t="n">
        <v>13642.13</v>
      </c>
      <c r="K790" s="12" t="str">
        <f aca="false">TEXT(B790,"yyyy-mm")</f>
        <v>2026-04</v>
      </c>
      <c r="L790" s="21" t="str">
        <f aca="false">IFERROR(INDEX(Projects!$E$2:$E$500,MATCH(C790,Projects!$A$2:$A$500,0)),"")</f>
        <v>Customer Experience</v>
      </c>
      <c r="M790" s="31" t="n">
        <f aca="false">IF(I790="Yes",H790*INDEX(Resources!$I$2:$I$500,MATCH(E790,Resources!$A$2:$A$500,0)),0)</f>
        <v>27460</v>
      </c>
    </row>
    <row r="791" customFormat="false" ht="15" hidden="false" customHeight="false" outlineLevel="0" collapsed="false">
      <c r="A791" s="18" t="s">
        <v>1823</v>
      </c>
      <c r="B791" s="19" t="n">
        <v>46142</v>
      </c>
      <c r="C791" s="18" t="s">
        <v>275</v>
      </c>
      <c r="D791" s="18" t="s">
        <v>869</v>
      </c>
      <c r="E791" s="18" t="s">
        <v>422</v>
      </c>
      <c r="F791" s="18"/>
      <c r="G791" s="18" t="s">
        <v>1019</v>
      </c>
      <c r="H791" s="30" t="n">
        <v>136.4</v>
      </c>
      <c r="I791" s="18" t="s">
        <v>513</v>
      </c>
      <c r="J791" s="28" t="n">
        <v>8118.53</v>
      </c>
      <c r="K791" s="12" t="str">
        <f aca="false">TEXT(B791,"yyyy-mm")</f>
        <v>2026-04</v>
      </c>
      <c r="L791" s="21" t="str">
        <f aca="false">IFERROR(INDEX(Projects!$E$2:$E$500,MATCH(C791,Projects!$A$2:$A$500,0)),"")</f>
        <v>Customer Experience</v>
      </c>
      <c r="M791" s="31" t="n">
        <f aca="false">IF(I791="Yes",H791*INDEX(Resources!$I$2:$I$500,MATCH(E791,Resources!$A$2:$A$500,0)),0)</f>
        <v>16368</v>
      </c>
    </row>
    <row r="792" customFormat="false" ht="15" hidden="false" customHeight="false" outlineLevel="0" collapsed="false">
      <c r="A792" s="18" t="s">
        <v>1824</v>
      </c>
      <c r="B792" s="19" t="n">
        <v>46142</v>
      </c>
      <c r="C792" s="18" t="s">
        <v>275</v>
      </c>
      <c r="D792" s="18" t="s">
        <v>872</v>
      </c>
      <c r="E792" s="18"/>
      <c r="F792" s="18" t="s">
        <v>353</v>
      </c>
      <c r="G792" s="18" t="s">
        <v>1026</v>
      </c>
      <c r="H792" s="30" t="n">
        <v>0</v>
      </c>
      <c r="I792" s="18" t="s">
        <v>527</v>
      </c>
      <c r="J792" s="28" t="n">
        <v>2174.73</v>
      </c>
      <c r="K792" s="12" t="str">
        <f aca="false">TEXT(B792,"yyyy-mm")</f>
        <v>2026-04</v>
      </c>
      <c r="L792" s="21" t="str">
        <f aca="false">IFERROR(INDEX(Projects!$E$2:$E$500,MATCH(C792,Projects!$A$2:$A$500,0)),"")</f>
        <v>Customer Experience</v>
      </c>
      <c r="M792" s="31" t="n">
        <f aca="false">IF(I792="Yes",H792*INDEX(Resources!$I$2:$I$500,MATCH(E792,Resources!$A$2:$A$500,0)),0)</f>
        <v>0</v>
      </c>
    </row>
    <row r="793" customFormat="false" ht="15" hidden="false" customHeight="false" outlineLevel="0" collapsed="false">
      <c r="A793" s="18" t="s">
        <v>1825</v>
      </c>
      <c r="B793" s="19" t="n">
        <v>46142</v>
      </c>
      <c r="C793" s="18" t="s">
        <v>275</v>
      </c>
      <c r="D793" s="18" t="s">
        <v>874</v>
      </c>
      <c r="E793" s="18"/>
      <c r="F793" s="18" t="s">
        <v>1028</v>
      </c>
      <c r="G793" s="18" t="s">
        <v>1026</v>
      </c>
      <c r="H793" s="30" t="n">
        <v>0</v>
      </c>
      <c r="I793" s="18" t="s">
        <v>527</v>
      </c>
      <c r="J793" s="28" t="n">
        <v>2947.12</v>
      </c>
      <c r="K793" s="12" t="str">
        <f aca="false">TEXT(B793,"yyyy-mm")</f>
        <v>2026-04</v>
      </c>
      <c r="L793" s="21" t="str">
        <f aca="false">IFERROR(INDEX(Projects!$E$2:$E$500,MATCH(C793,Projects!$A$2:$A$500,0)),"")</f>
        <v>Customer Experience</v>
      </c>
      <c r="M793" s="31" t="n">
        <f aca="false">IF(I793="Yes",H793*INDEX(Resources!$I$2:$I$500,MATCH(E793,Resources!$A$2:$A$500,0)),0)</f>
        <v>0</v>
      </c>
    </row>
    <row r="794" customFormat="false" ht="15" hidden="false" customHeight="false" outlineLevel="0" collapsed="false">
      <c r="A794" s="18" t="s">
        <v>1826</v>
      </c>
      <c r="B794" s="19" t="n">
        <v>46142</v>
      </c>
      <c r="C794" s="18" t="s">
        <v>275</v>
      </c>
      <c r="D794" s="18" t="s">
        <v>876</v>
      </c>
      <c r="E794" s="18"/>
      <c r="F794" s="18" t="s">
        <v>1032</v>
      </c>
      <c r="G794" s="18" t="s">
        <v>1033</v>
      </c>
      <c r="H794" s="30" t="n">
        <v>0</v>
      </c>
      <c r="I794" s="18" t="s">
        <v>527</v>
      </c>
      <c r="J794" s="28" t="n">
        <v>551.25</v>
      </c>
      <c r="K794" s="12" t="str">
        <f aca="false">TEXT(B794,"yyyy-mm")</f>
        <v>2026-04</v>
      </c>
      <c r="L794" s="21" t="str">
        <f aca="false">IFERROR(INDEX(Projects!$E$2:$E$500,MATCH(C794,Projects!$A$2:$A$500,0)),"")</f>
        <v>Customer Experience</v>
      </c>
      <c r="M794" s="31" t="n">
        <f aca="false">IF(I794="Yes",H794*INDEX(Resources!$I$2:$I$500,MATCH(E794,Resources!$A$2:$A$500,0)),0)</f>
        <v>0</v>
      </c>
    </row>
    <row r="795" customFormat="false" ht="15" hidden="false" customHeight="false" outlineLevel="0" collapsed="false">
      <c r="A795" s="18" t="s">
        <v>1827</v>
      </c>
      <c r="B795" s="19" t="n">
        <v>46142</v>
      </c>
      <c r="C795" s="18" t="s">
        <v>281</v>
      </c>
      <c r="D795" s="18" t="s">
        <v>869</v>
      </c>
      <c r="E795" s="18" t="s">
        <v>247</v>
      </c>
      <c r="F795" s="18"/>
      <c r="G795" s="18" t="s">
        <v>1019</v>
      </c>
      <c r="H795" s="30" t="n">
        <v>36.8</v>
      </c>
      <c r="I795" s="18" t="s">
        <v>513</v>
      </c>
      <c r="J795" s="28" t="n">
        <v>3238.4</v>
      </c>
      <c r="K795" s="12" t="str">
        <f aca="false">TEXT(B795,"yyyy-mm")</f>
        <v>2026-04</v>
      </c>
      <c r="L795" s="21" t="str">
        <f aca="false">IFERROR(INDEX(Projects!$E$2:$E$500,MATCH(C795,Projects!$A$2:$A$500,0)),"")</f>
        <v>Digital Transformation</v>
      </c>
      <c r="M795" s="31" t="n">
        <f aca="false">IF(I795="Yes",H795*INDEX(Resources!$I$2:$I$500,MATCH(E795,Resources!$A$2:$A$500,0)),0)</f>
        <v>6440</v>
      </c>
    </row>
    <row r="796" customFormat="false" ht="15" hidden="false" customHeight="false" outlineLevel="0" collapsed="false">
      <c r="A796" s="18" t="s">
        <v>1828</v>
      </c>
      <c r="B796" s="19" t="n">
        <v>46142</v>
      </c>
      <c r="C796" s="18" t="s">
        <v>281</v>
      </c>
      <c r="D796" s="18" t="s">
        <v>869</v>
      </c>
      <c r="E796" s="18" t="s">
        <v>371</v>
      </c>
      <c r="F796" s="18"/>
      <c r="G796" s="18" t="s">
        <v>1019</v>
      </c>
      <c r="H796" s="30" t="n">
        <v>54</v>
      </c>
      <c r="I796" s="18" t="s">
        <v>513</v>
      </c>
      <c r="J796" s="28" t="n">
        <v>3414.96</v>
      </c>
      <c r="K796" s="12" t="str">
        <f aca="false">TEXT(B796,"yyyy-mm")</f>
        <v>2026-04</v>
      </c>
      <c r="L796" s="21" t="str">
        <f aca="false">IFERROR(INDEX(Projects!$E$2:$E$500,MATCH(C796,Projects!$A$2:$A$500,0)),"")</f>
        <v>Digital Transformation</v>
      </c>
      <c r="M796" s="31" t="n">
        <f aca="false">IF(I796="Yes",H796*INDEX(Resources!$I$2:$I$500,MATCH(E796,Resources!$A$2:$A$500,0)),0)</f>
        <v>7020</v>
      </c>
    </row>
    <row r="797" customFormat="false" ht="15" hidden="false" customHeight="false" outlineLevel="0" collapsed="false">
      <c r="A797" s="18" t="s">
        <v>1829</v>
      </c>
      <c r="B797" s="19" t="n">
        <v>46142</v>
      </c>
      <c r="C797" s="18" t="s">
        <v>281</v>
      </c>
      <c r="D797" s="18" t="s">
        <v>869</v>
      </c>
      <c r="E797" s="18" t="s">
        <v>395</v>
      </c>
      <c r="F797" s="18"/>
      <c r="G797" s="18" t="s">
        <v>1019</v>
      </c>
      <c r="H797" s="30" t="n">
        <v>47.8</v>
      </c>
      <c r="I797" s="18" t="s">
        <v>513</v>
      </c>
      <c r="J797" s="28" t="n">
        <v>5112.21</v>
      </c>
      <c r="K797" s="12" t="str">
        <f aca="false">TEXT(B797,"yyyy-mm")</f>
        <v>2026-04</v>
      </c>
      <c r="L797" s="21" t="str">
        <f aca="false">IFERROR(INDEX(Projects!$E$2:$E$500,MATCH(C797,Projects!$A$2:$A$500,0)),"")</f>
        <v>Digital Transformation</v>
      </c>
      <c r="M797" s="31" t="n">
        <f aca="false">IF(I797="Yes",H797*INDEX(Resources!$I$2:$I$500,MATCH(E797,Resources!$A$2:$A$500,0)),0)</f>
        <v>8126</v>
      </c>
    </row>
    <row r="798" customFormat="false" ht="15" hidden="false" customHeight="false" outlineLevel="0" collapsed="false">
      <c r="A798" s="18" t="s">
        <v>1830</v>
      </c>
      <c r="B798" s="19" t="n">
        <v>46142</v>
      </c>
      <c r="C798" s="18" t="s">
        <v>281</v>
      </c>
      <c r="D798" s="18" t="s">
        <v>869</v>
      </c>
      <c r="E798" s="18" t="s">
        <v>417</v>
      </c>
      <c r="F798" s="18"/>
      <c r="G798" s="18" t="s">
        <v>1019</v>
      </c>
      <c r="H798" s="30" t="n">
        <v>55.1</v>
      </c>
      <c r="I798" s="18" t="s">
        <v>513</v>
      </c>
      <c r="J798" s="28" t="n">
        <v>2997.44</v>
      </c>
      <c r="K798" s="12" t="str">
        <f aca="false">TEXT(B798,"yyyy-mm")</f>
        <v>2026-04</v>
      </c>
      <c r="L798" s="21" t="str">
        <f aca="false">IFERROR(INDEX(Projects!$E$2:$E$500,MATCH(C798,Projects!$A$2:$A$500,0)),"")</f>
        <v>Digital Transformation</v>
      </c>
      <c r="M798" s="31" t="n">
        <f aca="false">IF(I798="Yes",H798*INDEX(Resources!$I$2:$I$500,MATCH(E798,Resources!$A$2:$A$500,0)),0)</f>
        <v>6061</v>
      </c>
    </row>
    <row r="799" customFormat="false" ht="15" hidden="false" customHeight="false" outlineLevel="0" collapsed="false">
      <c r="A799" s="18" t="s">
        <v>1831</v>
      </c>
      <c r="B799" s="19" t="n">
        <v>46142</v>
      </c>
      <c r="C799" s="18" t="s">
        <v>281</v>
      </c>
      <c r="D799" s="18" t="s">
        <v>869</v>
      </c>
      <c r="E799" s="18" t="s">
        <v>434</v>
      </c>
      <c r="F799" s="18"/>
      <c r="G799" s="18" t="s">
        <v>1019</v>
      </c>
      <c r="H799" s="30" t="n">
        <v>32.2</v>
      </c>
      <c r="I799" s="18" t="s">
        <v>513</v>
      </c>
      <c r="J799" s="28" t="n">
        <v>2091.71</v>
      </c>
      <c r="K799" s="12" t="str">
        <f aca="false">TEXT(B799,"yyyy-mm")</f>
        <v>2026-04</v>
      </c>
      <c r="L799" s="21" t="str">
        <f aca="false">IFERROR(INDEX(Projects!$E$2:$E$500,MATCH(C799,Projects!$A$2:$A$500,0)),"")</f>
        <v>Digital Transformation</v>
      </c>
      <c r="M799" s="31" t="n">
        <f aca="false">IF(I799="Yes",H799*INDEX(Resources!$I$2:$I$500,MATCH(E799,Resources!$A$2:$A$500,0)),0)</f>
        <v>4347</v>
      </c>
    </row>
    <row r="800" customFormat="false" ht="15" hidden="false" customHeight="false" outlineLevel="0" collapsed="false">
      <c r="A800" s="18" t="s">
        <v>1832</v>
      </c>
      <c r="B800" s="19" t="n">
        <v>46142</v>
      </c>
      <c r="C800" s="18" t="s">
        <v>281</v>
      </c>
      <c r="D800" s="18" t="s">
        <v>869</v>
      </c>
      <c r="E800" s="18" t="s">
        <v>492</v>
      </c>
      <c r="F800" s="18"/>
      <c r="G800" s="18" t="s">
        <v>1019</v>
      </c>
      <c r="H800" s="30" t="n">
        <v>17</v>
      </c>
      <c r="I800" s="18" t="s">
        <v>513</v>
      </c>
      <c r="J800" s="28" t="n">
        <v>1419.84</v>
      </c>
      <c r="K800" s="12" t="str">
        <f aca="false">TEXT(B800,"yyyy-mm")</f>
        <v>2026-04</v>
      </c>
      <c r="L800" s="21" t="str">
        <f aca="false">IFERROR(INDEX(Projects!$E$2:$E$500,MATCH(C800,Projects!$A$2:$A$500,0)),"")</f>
        <v>Digital Transformation</v>
      </c>
      <c r="M800" s="31" t="n">
        <f aca="false">IF(I800="Yes",H800*INDEX(Resources!$I$2:$I$500,MATCH(E800,Resources!$A$2:$A$500,0)),0)</f>
        <v>2975</v>
      </c>
    </row>
    <row r="801" customFormat="false" ht="15" hidden="false" customHeight="false" outlineLevel="0" collapsed="false">
      <c r="A801" s="18" t="s">
        <v>1833</v>
      </c>
      <c r="B801" s="19" t="n">
        <v>46142</v>
      </c>
      <c r="C801" s="18" t="s">
        <v>281</v>
      </c>
      <c r="D801" s="18" t="s">
        <v>872</v>
      </c>
      <c r="E801" s="18"/>
      <c r="F801" s="18" t="s">
        <v>1025</v>
      </c>
      <c r="G801" s="18" t="s">
        <v>1026</v>
      </c>
      <c r="H801" s="30" t="n">
        <v>0</v>
      </c>
      <c r="I801" s="18" t="s">
        <v>527</v>
      </c>
      <c r="J801" s="28" t="n">
        <v>3243.73</v>
      </c>
      <c r="K801" s="12" t="str">
        <f aca="false">TEXT(B801,"yyyy-mm")</f>
        <v>2026-04</v>
      </c>
      <c r="L801" s="21" t="str">
        <f aca="false">IFERROR(INDEX(Projects!$E$2:$E$500,MATCH(C801,Projects!$A$2:$A$500,0)),"")</f>
        <v>Digital Transformation</v>
      </c>
      <c r="M801" s="31" t="n">
        <f aca="false">IF(I801="Yes",H801*INDEX(Resources!$I$2:$I$500,MATCH(E801,Resources!$A$2:$A$500,0)),0)</f>
        <v>0</v>
      </c>
    </row>
    <row r="802" customFormat="false" ht="15" hidden="false" customHeight="false" outlineLevel="0" collapsed="false">
      <c r="A802" s="18" t="s">
        <v>1834</v>
      </c>
      <c r="B802" s="19" t="n">
        <v>46142</v>
      </c>
      <c r="C802" s="18" t="s">
        <v>281</v>
      </c>
      <c r="D802" s="18" t="s">
        <v>874</v>
      </c>
      <c r="E802" s="18"/>
      <c r="F802" s="18" t="s">
        <v>1028</v>
      </c>
      <c r="G802" s="18" t="s">
        <v>1026</v>
      </c>
      <c r="H802" s="30" t="n">
        <v>0</v>
      </c>
      <c r="I802" s="18" t="s">
        <v>527</v>
      </c>
      <c r="J802" s="28" t="n">
        <v>6551.51</v>
      </c>
      <c r="K802" s="12" t="str">
        <f aca="false">TEXT(B802,"yyyy-mm")</f>
        <v>2026-04</v>
      </c>
      <c r="L802" s="21" t="str">
        <f aca="false">IFERROR(INDEX(Projects!$E$2:$E$500,MATCH(C802,Projects!$A$2:$A$500,0)),"")</f>
        <v>Digital Transformation</v>
      </c>
      <c r="M802" s="31" t="n">
        <f aca="false">IF(I802="Yes",H802*INDEX(Resources!$I$2:$I$500,MATCH(E802,Resources!$A$2:$A$500,0)),0)</f>
        <v>0</v>
      </c>
    </row>
    <row r="803" customFormat="false" ht="15" hidden="false" customHeight="false" outlineLevel="0" collapsed="false">
      <c r="A803" s="18" t="s">
        <v>1835</v>
      </c>
      <c r="B803" s="19" t="n">
        <v>46142</v>
      </c>
      <c r="C803" s="18" t="s">
        <v>281</v>
      </c>
      <c r="D803" s="18" t="s">
        <v>495</v>
      </c>
      <c r="E803" s="18"/>
      <c r="F803" s="18" t="s">
        <v>1030</v>
      </c>
      <c r="G803" s="18" t="s">
        <v>1026</v>
      </c>
      <c r="H803" s="30" t="n">
        <v>0</v>
      </c>
      <c r="I803" s="18" t="s">
        <v>527</v>
      </c>
      <c r="J803" s="28" t="n">
        <v>1529.96</v>
      </c>
      <c r="K803" s="12" t="str">
        <f aca="false">TEXT(B803,"yyyy-mm")</f>
        <v>2026-04</v>
      </c>
      <c r="L803" s="21" t="str">
        <f aca="false">IFERROR(INDEX(Projects!$E$2:$E$500,MATCH(C803,Projects!$A$2:$A$500,0)),"")</f>
        <v>Digital Transformation</v>
      </c>
      <c r="M803" s="31" t="n">
        <f aca="false">IF(I803="Yes",H803*INDEX(Resources!$I$2:$I$500,MATCH(E803,Resources!$A$2:$A$500,0)),0)</f>
        <v>0</v>
      </c>
    </row>
    <row r="804" customFormat="false" ht="15" hidden="false" customHeight="false" outlineLevel="0" collapsed="false">
      <c r="A804" s="18" t="s">
        <v>1836</v>
      </c>
      <c r="B804" s="19" t="n">
        <v>46142</v>
      </c>
      <c r="C804" s="18" t="s">
        <v>281</v>
      </c>
      <c r="D804" s="18" t="s">
        <v>876</v>
      </c>
      <c r="E804" s="18"/>
      <c r="F804" s="18" t="s">
        <v>1032</v>
      </c>
      <c r="G804" s="18" t="s">
        <v>1033</v>
      </c>
      <c r="H804" s="30" t="n">
        <v>0</v>
      </c>
      <c r="I804" s="18" t="s">
        <v>527</v>
      </c>
      <c r="J804" s="28" t="n">
        <v>966.37</v>
      </c>
      <c r="K804" s="12" t="str">
        <f aca="false">TEXT(B804,"yyyy-mm")</f>
        <v>2026-04</v>
      </c>
      <c r="L804" s="21" t="str">
        <f aca="false">IFERROR(INDEX(Projects!$E$2:$E$500,MATCH(C804,Projects!$A$2:$A$500,0)),"")</f>
        <v>Digital Transformation</v>
      </c>
      <c r="M804" s="31" t="n">
        <f aca="false">IF(I804="Yes",H804*INDEX(Resources!$I$2:$I$500,MATCH(E804,Resources!$A$2:$A$500,0)),0)</f>
        <v>0</v>
      </c>
    </row>
    <row r="805" customFormat="false" ht="15" hidden="false" customHeight="false" outlineLevel="0" collapsed="false">
      <c r="A805" s="18" t="s">
        <v>1837</v>
      </c>
      <c r="B805" s="19" t="n">
        <v>46142</v>
      </c>
      <c r="C805" s="18" t="s">
        <v>283</v>
      </c>
      <c r="D805" s="18" t="s">
        <v>889</v>
      </c>
      <c r="E805" s="18"/>
      <c r="F805" s="18" t="s">
        <v>1210</v>
      </c>
      <c r="G805" s="18" t="s">
        <v>1026</v>
      </c>
      <c r="H805" s="30" t="n">
        <v>0</v>
      </c>
      <c r="I805" s="18" t="s">
        <v>527</v>
      </c>
      <c r="J805" s="28" t="n">
        <v>3450.86</v>
      </c>
      <c r="K805" s="12" t="str">
        <f aca="false">TEXT(B805,"yyyy-mm")</f>
        <v>2026-04</v>
      </c>
      <c r="L805" s="21" t="str">
        <f aca="false">IFERROR(INDEX(Projects!$E$2:$E$500,MATCH(C805,Projects!$A$2:$A$500,0)),"")</f>
        <v>Data &amp; AI</v>
      </c>
      <c r="M805" s="31" t="n">
        <f aca="false">IF(I805="Yes",H805*INDEX(Resources!$I$2:$I$500,MATCH(E805,Resources!$A$2:$A$500,0)),0)</f>
        <v>0</v>
      </c>
    </row>
    <row r="806" customFormat="false" ht="15" hidden="false" customHeight="false" outlineLevel="0" collapsed="false">
      <c r="A806" s="18" t="s">
        <v>1838</v>
      </c>
      <c r="B806" s="19" t="n">
        <v>46142</v>
      </c>
      <c r="C806" s="18" t="s">
        <v>283</v>
      </c>
      <c r="D806" s="18" t="s">
        <v>869</v>
      </c>
      <c r="E806" s="18" t="s">
        <v>226</v>
      </c>
      <c r="F806" s="18"/>
      <c r="G806" s="18" t="s">
        <v>1019</v>
      </c>
      <c r="H806" s="30" t="n">
        <v>86.9</v>
      </c>
      <c r="I806" s="18" t="s">
        <v>527</v>
      </c>
      <c r="J806" s="28" t="n">
        <v>7647.2</v>
      </c>
      <c r="K806" s="12" t="str">
        <f aca="false">TEXT(B806,"yyyy-mm")</f>
        <v>2026-04</v>
      </c>
      <c r="L806" s="21" t="str">
        <f aca="false">IFERROR(INDEX(Projects!$E$2:$E$500,MATCH(C806,Projects!$A$2:$A$500,0)),"")</f>
        <v>Data &amp; AI</v>
      </c>
      <c r="M806" s="31" t="n">
        <f aca="false">IF(I806="Yes",H806*INDEX(Resources!$I$2:$I$500,MATCH(E806,Resources!$A$2:$A$500,0)),0)</f>
        <v>0</v>
      </c>
    </row>
    <row r="807" customFormat="false" ht="15" hidden="false" customHeight="false" outlineLevel="0" collapsed="false">
      <c r="A807" s="18" t="s">
        <v>1839</v>
      </c>
      <c r="B807" s="19" t="n">
        <v>46142</v>
      </c>
      <c r="C807" s="18" t="s">
        <v>283</v>
      </c>
      <c r="D807" s="18" t="s">
        <v>869</v>
      </c>
      <c r="E807" s="18" t="s">
        <v>424</v>
      </c>
      <c r="F807" s="18"/>
      <c r="G807" s="18" t="s">
        <v>1019</v>
      </c>
      <c r="H807" s="30" t="n">
        <v>86.5</v>
      </c>
      <c r="I807" s="18" t="s">
        <v>513</v>
      </c>
      <c r="J807" s="28" t="n">
        <v>5882</v>
      </c>
      <c r="K807" s="12" t="str">
        <f aca="false">TEXT(B807,"yyyy-mm")</f>
        <v>2026-04</v>
      </c>
      <c r="L807" s="21" t="str">
        <f aca="false">IFERROR(INDEX(Projects!$E$2:$E$500,MATCH(C807,Projects!$A$2:$A$500,0)),"")</f>
        <v>Data &amp; AI</v>
      </c>
      <c r="M807" s="31" t="n">
        <f aca="false">IF(I807="Yes",H807*INDEX(Resources!$I$2:$I$500,MATCH(E807,Resources!$A$2:$A$500,0)),0)</f>
        <v>9515</v>
      </c>
    </row>
    <row r="808" customFormat="false" ht="15" hidden="false" customHeight="false" outlineLevel="0" collapsed="false">
      <c r="A808" s="18" t="s">
        <v>1840</v>
      </c>
      <c r="B808" s="19" t="n">
        <v>46142</v>
      </c>
      <c r="C808" s="18" t="s">
        <v>283</v>
      </c>
      <c r="D808" s="18" t="s">
        <v>869</v>
      </c>
      <c r="E808" s="18" t="s">
        <v>439</v>
      </c>
      <c r="F808" s="18"/>
      <c r="G808" s="18" t="s">
        <v>1019</v>
      </c>
      <c r="H808" s="30" t="n">
        <v>43.7</v>
      </c>
      <c r="I808" s="18" t="s">
        <v>513</v>
      </c>
      <c r="J808" s="28" t="n">
        <v>3548.44</v>
      </c>
      <c r="K808" s="12" t="str">
        <f aca="false">TEXT(B808,"yyyy-mm")</f>
        <v>2026-04</v>
      </c>
      <c r="L808" s="21" t="str">
        <f aca="false">IFERROR(INDEX(Projects!$E$2:$E$500,MATCH(C808,Projects!$A$2:$A$500,0)),"")</f>
        <v>Data &amp; AI</v>
      </c>
      <c r="M808" s="31" t="n">
        <f aca="false">IF(I808="Yes",H808*INDEX(Resources!$I$2:$I$500,MATCH(E808,Resources!$A$2:$A$500,0)),0)</f>
        <v>5899.5</v>
      </c>
    </row>
    <row r="809" customFormat="false" ht="15" hidden="false" customHeight="false" outlineLevel="0" collapsed="false">
      <c r="A809" s="18" t="s">
        <v>1841</v>
      </c>
      <c r="B809" s="19" t="n">
        <v>46142</v>
      </c>
      <c r="C809" s="18" t="s">
        <v>283</v>
      </c>
      <c r="D809" s="18" t="s">
        <v>869</v>
      </c>
      <c r="E809" s="18" t="s">
        <v>459</v>
      </c>
      <c r="F809" s="18"/>
      <c r="G809" s="18" t="s">
        <v>1019</v>
      </c>
      <c r="H809" s="30" t="n">
        <v>155.8</v>
      </c>
      <c r="I809" s="18" t="s">
        <v>513</v>
      </c>
      <c r="J809" s="28" t="n">
        <v>15143.76</v>
      </c>
      <c r="K809" s="12" t="str">
        <f aca="false">TEXT(B809,"yyyy-mm")</f>
        <v>2026-04</v>
      </c>
      <c r="L809" s="21" t="str">
        <f aca="false">IFERROR(INDEX(Projects!$E$2:$E$500,MATCH(C809,Projects!$A$2:$A$500,0)),"")</f>
        <v>Data &amp; AI</v>
      </c>
      <c r="M809" s="31" t="n">
        <f aca="false">IF(I809="Yes",H809*INDEX(Resources!$I$2:$I$500,MATCH(E809,Resources!$A$2:$A$500,0)),0)</f>
        <v>30381</v>
      </c>
    </row>
    <row r="810" customFormat="false" ht="15" hidden="false" customHeight="false" outlineLevel="0" collapsed="false">
      <c r="A810" s="18" t="s">
        <v>1842</v>
      </c>
      <c r="B810" s="19" t="n">
        <v>46142</v>
      </c>
      <c r="C810" s="18" t="s">
        <v>283</v>
      </c>
      <c r="D810" s="18" t="s">
        <v>869</v>
      </c>
      <c r="E810" s="18" t="s">
        <v>466</v>
      </c>
      <c r="F810" s="18"/>
      <c r="G810" s="18" t="s">
        <v>1019</v>
      </c>
      <c r="H810" s="30" t="n">
        <v>107.7</v>
      </c>
      <c r="I810" s="18" t="s">
        <v>513</v>
      </c>
      <c r="J810" s="28" t="n">
        <v>10554.6</v>
      </c>
      <c r="K810" s="12" t="str">
        <f aca="false">TEXT(B810,"yyyy-mm")</f>
        <v>2026-04</v>
      </c>
      <c r="L810" s="21" t="str">
        <f aca="false">IFERROR(INDEX(Projects!$E$2:$E$500,MATCH(C810,Projects!$A$2:$A$500,0)),"")</f>
        <v>Data &amp; AI</v>
      </c>
      <c r="M810" s="31" t="n">
        <f aca="false">IF(I810="Yes",H810*INDEX(Resources!$I$2:$I$500,MATCH(E810,Resources!$A$2:$A$500,0)),0)</f>
        <v>21540</v>
      </c>
    </row>
    <row r="811" customFormat="false" ht="15" hidden="false" customHeight="false" outlineLevel="0" collapsed="false">
      <c r="A811" s="18" t="s">
        <v>1843</v>
      </c>
      <c r="B811" s="19" t="n">
        <v>46142</v>
      </c>
      <c r="C811" s="18" t="s">
        <v>283</v>
      </c>
      <c r="D811" s="18" t="s">
        <v>872</v>
      </c>
      <c r="E811" s="18"/>
      <c r="F811" s="18" t="s">
        <v>1025</v>
      </c>
      <c r="G811" s="18" t="s">
        <v>1026</v>
      </c>
      <c r="H811" s="30" t="n">
        <v>0</v>
      </c>
      <c r="I811" s="18" t="s">
        <v>527</v>
      </c>
      <c r="J811" s="28" t="n">
        <v>2695.5</v>
      </c>
      <c r="K811" s="12" t="str">
        <f aca="false">TEXT(B811,"yyyy-mm")</f>
        <v>2026-04</v>
      </c>
      <c r="L811" s="21" t="str">
        <f aca="false">IFERROR(INDEX(Projects!$E$2:$E$500,MATCH(C811,Projects!$A$2:$A$500,0)),"")</f>
        <v>Data &amp; AI</v>
      </c>
      <c r="M811" s="31" t="n">
        <f aca="false">IF(I811="Yes",H811*INDEX(Resources!$I$2:$I$500,MATCH(E811,Resources!$A$2:$A$500,0)),0)</f>
        <v>0</v>
      </c>
    </row>
    <row r="812" customFormat="false" ht="15" hidden="false" customHeight="false" outlineLevel="0" collapsed="false">
      <c r="A812" s="18" t="s">
        <v>1844</v>
      </c>
      <c r="B812" s="19" t="n">
        <v>46142</v>
      </c>
      <c r="C812" s="18" t="s">
        <v>283</v>
      </c>
      <c r="D812" s="18" t="s">
        <v>876</v>
      </c>
      <c r="E812" s="18"/>
      <c r="F812" s="18" t="s">
        <v>1071</v>
      </c>
      <c r="G812" s="18" t="s">
        <v>1033</v>
      </c>
      <c r="H812" s="30" t="n">
        <v>0</v>
      </c>
      <c r="I812" s="18" t="s">
        <v>527</v>
      </c>
      <c r="J812" s="28" t="n">
        <v>579.72</v>
      </c>
      <c r="K812" s="12" t="str">
        <f aca="false">TEXT(B812,"yyyy-mm")</f>
        <v>2026-04</v>
      </c>
      <c r="L812" s="21" t="str">
        <f aca="false">IFERROR(INDEX(Projects!$E$2:$E$500,MATCH(C812,Projects!$A$2:$A$500,0)),"")</f>
        <v>Data &amp; AI</v>
      </c>
      <c r="M812" s="31" t="n">
        <f aca="false">IF(I812="Yes",H812*INDEX(Resources!$I$2:$I$500,MATCH(E812,Resources!$A$2:$A$500,0)),0)</f>
        <v>0</v>
      </c>
    </row>
    <row r="813" customFormat="false" ht="15" hidden="false" customHeight="false" outlineLevel="0" collapsed="false">
      <c r="A813" s="18" t="s">
        <v>1845</v>
      </c>
      <c r="B813" s="19" t="n">
        <v>46142</v>
      </c>
      <c r="C813" s="18" t="s">
        <v>285</v>
      </c>
      <c r="D813" s="18" t="s">
        <v>882</v>
      </c>
      <c r="E813" s="18"/>
      <c r="F813" s="18" t="s">
        <v>1063</v>
      </c>
      <c r="G813" s="18" t="s">
        <v>1026</v>
      </c>
      <c r="H813" s="30" t="n">
        <v>0</v>
      </c>
      <c r="I813" s="18" t="s">
        <v>527</v>
      </c>
      <c r="J813" s="28" t="n">
        <v>18097.28</v>
      </c>
      <c r="K813" s="12" t="str">
        <f aca="false">TEXT(B813,"yyyy-mm")</f>
        <v>2026-04</v>
      </c>
      <c r="L813" s="21" t="str">
        <f aca="false">IFERROR(INDEX(Projects!$E$2:$E$500,MATCH(C813,Projects!$A$2:$A$500,0)),"")</f>
        <v>Operational Excellence</v>
      </c>
      <c r="M813" s="31" t="n">
        <f aca="false">IF(I813="Yes",H813*INDEX(Resources!$I$2:$I$500,MATCH(E813,Resources!$A$2:$A$500,0)),0)</f>
        <v>0</v>
      </c>
    </row>
    <row r="814" customFormat="false" ht="15" hidden="false" customHeight="false" outlineLevel="0" collapsed="false">
      <c r="A814" s="18" t="s">
        <v>1846</v>
      </c>
      <c r="B814" s="19" t="n">
        <v>46142</v>
      </c>
      <c r="C814" s="18" t="s">
        <v>285</v>
      </c>
      <c r="D814" s="18" t="s">
        <v>869</v>
      </c>
      <c r="E814" s="18" t="s">
        <v>247</v>
      </c>
      <c r="F814" s="18"/>
      <c r="G814" s="18" t="s">
        <v>1019</v>
      </c>
      <c r="H814" s="30" t="n">
        <v>48.7</v>
      </c>
      <c r="I814" s="18" t="s">
        <v>513</v>
      </c>
      <c r="J814" s="28" t="n">
        <v>4285.6</v>
      </c>
      <c r="K814" s="12" t="str">
        <f aca="false">TEXT(B814,"yyyy-mm")</f>
        <v>2026-04</v>
      </c>
      <c r="L814" s="21" t="str">
        <f aca="false">IFERROR(INDEX(Projects!$E$2:$E$500,MATCH(C814,Projects!$A$2:$A$500,0)),"")</f>
        <v>Operational Excellence</v>
      </c>
      <c r="M814" s="31" t="n">
        <f aca="false">IF(I814="Yes",H814*INDEX(Resources!$I$2:$I$500,MATCH(E814,Resources!$A$2:$A$500,0)),0)</f>
        <v>8522.5</v>
      </c>
    </row>
    <row r="815" customFormat="false" ht="15" hidden="false" customHeight="false" outlineLevel="0" collapsed="false">
      <c r="A815" s="18" t="s">
        <v>1847</v>
      </c>
      <c r="B815" s="19" t="n">
        <v>46142</v>
      </c>
      <c r="C815" s="18" t="s">
        <v>285</v>
      </c>
      <c r="D815" s="18" t="s">
        <v>869</v>
      </c>
      <c r="E815" s="18" t="s">
        <v>368</v>
      </c>
      <c r="F815" s="18"/>
      <c r="G815" s="18" t="s">
        <v>1019</v>
      </c>
      <c r="H815" s="30" t="n">
        <v>86.4</v>
      </c>
      <c r="I815" s="18" t="s">
        <v>513</v>
      </c>
      <c r="J815" s="28" t="n">
        <v>6345.22</v>
      </c>
      <c r="K815" s="12" t="str">
        <f aca="false">TEXT(B815,"yyyy-mm")</f>
        <v>2026-04</v>
      </c>
      <c r="L815" s="21" t="str">
        <f aca="false">IFERROR(INDEX(Projects!$E$2:$E$500,MATCH(C815,Projects!$A$2:$A$500,0)),"")</f>
        <v>Operational Excellence</v>
      </c>
      <c r="M815" s="31" t="n">
        <f aca="false">IF(I815="Yes",H815*INDEX(Resources!$I$2:$I$500,MATCH(E815,Resources!$A$2:$A$500,0)),0)</f>
        <v>12960</v>
      </c>
    </row>
    <row r="816" customFormat="false" ht="15" hidden="false" customHeight="false" outlineLevel="0" collapsed="false">
      <c r="A816" s="18" t="s">
        <v>1848</v>
      </c>
      <c r="B816" s="19" t="n">
        <v>46142</v>
      </c>
      <c r="C816" s="18" t="s">
        <v>285</v>
      </c>
      <c r="D816" s="18" t="s">
        <v>869</v>
      </c>
      <c r="E816" s="18" t="s">
        <v>398</v>
      </c>
      <c r="F816" s="18"/>
      <c r="G816" s="18" t="s">
        <v>1019</v>
      </c>
      <c r="H816" s="30" t="n">
        <v>150.5</v>
      </c>
      <c r="I816" s="18" t="s">
        <v>513</v>
      </c>
      <c r="J816" s="28" t="n">
        <v>12876.78</v>
      </c>
      <c r="K816" s="12" t="str">
        <f aca="false">TEXT(B816,"yyyy-mm")</f>
        <v>2026-04</v>
      </c>
      <c r="L816" s="21" t="str">
        <f aca="false">IFERROR(INDEX(Projects!$E$2:$E$500,MATCH(C816,Projects!$A$2:$A$500,0)),"")</f>
        <v>Operational Excellence</v>
      </c>
      <c r="M816" s="31" t="n">
        <f aca="false">IF(I816="Yes",H816*INDEX(Resources!$I$2:$I$500,MATCH(E816,Resources!$A$2:$A$500,0)),0)</f>
        <v>25585</v>
      </c>
    </row>
    <row r="817" customFormat="false" ht="15" hidden="false" customHeight="false" outlineLevel="0" collapsed="false">
      <c r="A817" s="18" t="s">
        <v>1849</v>
      </c>
      <c r="B817" s="19" t="n">
        <v>46142</v>
      </c>
      <c r="C817" s="18" t="s">
        <v>285</v>
      </c>
      <c r="D817" s="18" t="s">
        <v>869</v>
      </c>
      <c r="E817" s="18" t="s">
        <v>414</v>
      </c>
      <c r="F817" s="18"/>
      <c r="G817" s="18" t="s">
        <v>1019</v>
      </c>
      <c r="H817" s="30" t="n">
        <v>94</v>
      </c>
      <c r="I817" s="18" t="s">
        <v>513</v>
      </c>
      <c r="J817" s="28" t="n">
        <v>5594.88</v>
      </c>
      <c r="K817" s="12" t="str">
        <f aca="false">TEXT(B817,"yyyy-mm")</f>
        <v>2026-04</v>
      </c>
      <c r="L817" s="21" t="str">
        <f aca="false">IFERROR(INDEX(Projects!$E$2:$E$500,MATCH(C817,Projects!$A$2:$A$500,0)),"")</f>
        <v>Operational Excellence</v>
      </c>
      <c r="M817" s="31" t="n">
        <f aca="false">IF(I817="Yes",H817*INDEX(Resources!$I$2:$I$500,MATCH(E817,Resources!$A$2:$A$500,0)),0)</f>
        <v>11280</v>
      </c>
    </row>
    <row r="818" customFormat="false" ht="15" hidden="false" customHeight="false" outlineLevel="0" collapsed="false">
      <c r="A818" s="18" t="s">
        <v>1850</v>
      </c>
      <c r="B818" s="19" t="n">
        <v>46142</v>
      </c>
      <c r="C818" s="18" t="s">
        <v>285</v>
      </c>
      <c r="D818" s="18" t="s">
        <v>872</v>
      </c>
      <c r="E818" s="18"/>
      <c r="F818" s="18" t="s">
        <v>353</v>
      </c>
      <c r="G818" s="18" t="s">
        <v>1026</v>
      </c>
      <c r="H818" s="30" t="n">
        <v>0</v>
      </c>
      <c r="I818" s="18" t="s">
        <v>527</v>
      </c>
      <c r="J818" s="28" t="n">
        <v>1320.69</v>
      </c>
      <c r="K818" s="12" t="str">
        <f aca="false">TEXT(B818,"yyyy-mm")</f>
        <v>2026-04</v>
      </c>
      <c r="L818" s="21" t="str">
        <f aca="false">IFERROR(INDEX(Projects!$E$2:$E$500,MATCH(C818,Projects!$A$2:$A$500,0)),"")</f>
        <v>Operational Excellence</v>
      </c>
      <c r="M818" s="31" t="n">
        <f aca="false">IF(I818="Yes",H818*INDEX(Resources!$I$2:$I$500,MATCH(E818,Resources!$A$2:$A$500,0)),0)</f>
        <v>0</v>
      </c>
    </row>
    <row r="819" customFormat="false" ht="15" hidden="false" customHeight="false" outlineLevel="0" collapsed="false">
      <c r="A819" s="18" t="s">
        <v>1851</v>
      </c>
      <c r="B819" s="19" t="n">
        <v>46142</v>
      </c>
      <c r="C819" s="18" t="s">
        <v>285</v>
      </c>
      <c r="D819" s="18" t="s">
        <v>495</v>
      </c>
      <c r="E819" s="18"/>
      <c r="F819" s="18" t="s">
        <v>1030</v>
      </c>
      <c r="G819" s="18" t="s">
        <v>1026</v>
      </c>
      <c r="H819" s="30" t="n">
        <v>0</v>
      </c>
      <c r="I819" s="18" t="s">
        <v>527</v>
      </c>
      <c r="J819" s="28" t="n">
        <v>738.27</v>
      </c>
      <c r="K819" s="12" t="str">
        <f aca="false">TEXT(B819,"yyyy-mm")</f>
        <v>2026-04</v>
      </c>
      <c r="L819" s="21" t="str">
        <f aca="false">IFERROR(INDEX(Projects!$E$2:$E$500,MATCH(C819,Projects!$A$2:$A$500,0)),"")</f>
        <v>Operational Excellence</v>
      </c>
      <c r="M819" s="31" t="n">
        <f aca="false">IF(I819="Yes",H819*INDEX(Resources!$I$2:$I$500,MATCH(E819,Resources!$A$2:$A$500,0)),0)</f>
        <v>0</v>
      </c>
    </row>
    <row r="820" customFormat="false" ht="15" hidden="false" customHeight="false" outlineLevel="0" collapsed="false">
      <c r="A820" s="18" t="s">
        <v>1852</v>
      </c>
      <c r="B820" s="19" t="n">
        <v>46142</v>
      </c>
      <c r="C820" s="18" t="s">
        <v>285</v>
      </c>
      <c r="D820" s="18" t="s">
        <v>876</v>
      </c>
      <c r="E820" s="18"/>
      <c r="F820" s="18" t="s">
        <v>1032</v>
      </c>
      <c r="G820" s="18" t="s">
        <v>1033</v>
      </c>
      <c r="H820" s="30" t="n">
        <v>0</v>
      </c>
      <c r="I820" s="18" t="s">
        <v>527</v>
      </c>
      <c r="J820" s="28" t="n">
        <v>688.27</v>
      </c>
      <c r="K820" s="12" t="str">
        <f aca="false">TEXT(B820,"yyyy-mm")</f>
        <v>2026-04</v>
      </c>
      <c r="L820" s="21" t="str">
        <f aca="false">IFERROR(INDEX(Projects!$E$2:$E$500,MATCH(C820,Projects!$A$2:$A$500,0)),"")</f>
        <v>Operational Excellence</v>
      </c>
      <c r="M820" s="31" t="n">
        <f aca="false">IF(I820="Yes",H820*INDEX(Resources!$I$2:$I$500,MATCH(E820,Resources!$A$2:$A$500,0)),0)</f>
        <v>0</v>
      </c>
    </row>
    <row r="821" customFormat="false" ht="15" hidden="false" customHeight="false" outlineLevel="0" collapsed="false">
      <c r="A821" s="18" t="s">
        <v>1853</v>
      </c>
      <c r="B821" s="19" t="n">
        <v>46173</v>
      </c>
      <c r="C821" s="18" t="s">
        <v>197</v>
      </c>
      <c r="D821" s="18" t="s">
        <v>869</v>
      </c>
      <c r="E821" s="18" t="s">
        <v>201</v>
      </c>
      <c r="F821" s="18"/>
      <c r="G821" s="18" t="s">
        <v>1019</v>
      </c>
      <c r="H821" s="30" t="n">
        <v>78</v>
      </c>
      <c r="I821" s="18" t="s">
        <v>513</v>
      </c>
      <c r="J821" s="28" t="n">
        <v>7962.24</v>
      </c>
      <c r="K821" s="12" t="str">
        <f aca="false">TEXT(B821,"yyyy-mm")</f>
        <v>2026-05</v>
      </c>
      <c r="L821" s="21" t="str">
        <f aca="false">IFERROR(INDEX(Projects!$E$2:$E$500,MATCH(C821,Projects!$A$2:$A$500,0)),"")</f>
        <v>Customer Experience</v>
      </c>
      <c r="M821" s="31" t="n">
        <f aca="false">IF(I821="Yes",H821*INDEX(Resources!$I$2:$I$500,MATCH(E821,Resources!$A$2:$A$500,0)),0)</f>
        <v>15990</v>
      </c>
    </row>
    <row r="822" customFormat="false" ht="15" hidden="false" customHeight="false" outlineLevel="0" collapsed="false">
      <c r="A822" s="18" t="s">
        <v>1854</v>
      </c>
      <c r="B822" s="19" t="n">
        <v>46173</v>
      </c>
      <c r="C822" s="18" t="s">
        <v>197</v>
      </c>
      <c r="D822" s="18" t="s">
        <v>869</v>
      </c>
      <c r="E822" s="18" t="s">
        <v>363</v>
      </c>
      <c r="F822" s="18"/>
      <c r="G822" s="18" t="s">
        <v>1019</v>
      </c>
      <c r="H822" s="30" t="n">
        <v>52.7</v>
      </c>
      <c r="I822" s="18" t="s">
        <v>513</v>
      </c>
      <c r="J822" s="28" t="n">
        <v>4156.98</v>
      </c>
      <c r="K822" s="12" t="str">
        <f aca="false">TEXT(B822,"yyyy-mm")</f>
        <v>2026-05</v>
      </c>
      <c r="L822" s="21" t="str">
        <f aca="false">IFERROR(INDEX(Projects!$E$2:$E$500,MATCH(C822,Projects!$A$2:$A$500,0)),"")</f>
        <v>Customer Experience</v>
      </c>
      <c r="M822" s="31" t="n">
        <f aca="false">IF(I822="Yes",H822*INDEX(Resources!$I$2:$I$500,MATCH(E822,Resources!$A$2:$A$500,0)),0)</f>
        <v>8432</v>
      </c>
    </row>
    <row r="823" customFormat="false" ht="15" hidden="false" customHeight="false" outlineLevel="0" collapsed="false">
      <c r="A823" s="18" t="s">
        <v>1855</v>
      </c>
      <c r="B823" s="19" t="n">
        <v>46173</v>
      </c>
      <c r="C823" s="18" t="s">
        <v>197</v>
      </c>
      <c r="D823" s="18" t="s">
        <v>869</v>
      </c>
      <c r="E823" s="18" t="s">
        <v>379</v>
      </c>
      <c r="F823" s="18"/>
      <c r="G823" s="18" t="s">
        <v>1019</v>
      </c>
      <c r="H823" s="30" t="n">
        <v>80.2</v>
      </c>
      <c r="I823" s="18" t="s">
        <v>513</v>
      </c>
      <c r="J823" s="28" t="n">
        <v>6884.37</v>
      </c>
      <c r="K823" s="12" t="str">
        <f aca="false">TEXT(B823,"yyyy-mm")</f>
        <v>2026-05</v>
      </c>
      <c r="L823" s="21" t="str">
        <f aca="false">IFERROR(INDEX(Projects!$E$2:$E$500,MATCH(C823,Projects!$A$2:$A$500,0)),"")</f>
        <v>Customer Experience</v>
      </c>
      <c r="M823" s="31" t="n">
        <f aca="false">IF(I823="Yes",H823*INDEX(Resources!$I$2:$I$500,MATCH(E823,Resources!$A$2:$A$500,0)),0)</f>
        <v>14035</v>
      </c>
    </row>
    <row r="824" customFormat="false" ht="15" hidden="false" customHeight="false" outlineLevel="0" collapsed="false">
      <c r="A824" s="18" t="s">
        <v>1856</v>
      </c>
      <c r="B824" s="19" t="n">
        <v>46173</v>
      </c>
      <c r="C824" s="18" t="s">
        <v>197</v>
      </c>
      <c r="D824" s="18" t="s">
        <v>869</v>
      </c>
      <c r="E824" s="18" t="s">
        <v>389</v>
      </c>
      <c r="F824" s="18"/>
      <c r="G824" s="18" t="s">
        <v>1019</v>
      </c>
      <c r="H824" s="30" t="n">
        <v>121.5</v>
      </c>
      <c r="I824" s="18" t="s">
        <v>513</v>
      </c>
      <c r="J824" s="28" t="n">
        <v>12966.48</v>
      </c>
      <c r="K824" s="12" t="str">
        <f aca="false">TEXT(B824,"yyyy-mm")</f>
        <v>2026-05</v>
      </c>
      <c r="L824" s="21" t="str">
        <f aca="false">IFERROR(INDEX(Projects!$E$2:$E$500,MATCH(C824,Projects!$A$2:$A$500,0)),"")</f>
        <v>Customer Experience</v>
      </c>
      <c r="M824" s="31" t="n">
        <f aca="false">IF(I824="Yes",H824*INDEX(Resources!$I$2:$I$500,MATCH(E824,Resources!$A$2:$A$500,0)),0)</f>
        <v>26122.5</v>
      </c>
    </row>
    <row r="825" customFormat="false" ht="15" hidden="false" customHeight="false" outlineLevel="0" collapsed="false">
      <c r="A825" s="18" t="s">
        <v>1857</v>
      </c>
      <c r="B825" s="19" t="n">
        <v>46173</v>
      </c>
      <c r="C825" s="18" t="s">
        <v>197</v>
      </c>
      <c r="D825" s="18" t="s">
        <v>869</v>
      </c>
      <c r="E825" s="18" t="s">
        <v>409</v>
      </c>
      <c r="F825" s="18"/>
      <c r="G825" s="18" t="s">
        <v>1019</v>
      </c>
      <c r="H825" s="30" t="n">
        <v>174.6</v>
      </c>
      <c r="I825" s="18" t="s">
        <v>513</v>
      </c>
      <c r="J825" s="28" t="n">
        <v>12962.3</v>
      </c>
      <c r="K825" s="12" t="str">
        <f aca="false">TEXT(B825,"yyyy-mm")</f>
        <v>2026-05</v>
      </c>
      <c r="L825" s="21" t="str">
        <f aca="false">IFERROR(INDEX(Projects!$E$2:$E$500,MATCH(C825,Projects!$A$2:$A$500,0)),"")</f>
        <v>Customer Experience</v>
      </c>
      <c r="M825" s="31" t="n">
        <f aca="false">IF(I825="Yes",H825*INDEX(Resources!$I$2:$I$500,MATCH(E825,Resources!$A$2:$A$500,0)),0)</f>
        <v>26190</v>
      </c>
    </row>
    <row r="826" customFormat="false" ht="15" hidden="false" customHeight="false" outlineLevel="0" collapsed="false">
      <c r="A826" s="18" t="s">
        <v>1858</v>
      </c>
      <c r="B826" s="19" t="n">
        <v>46173</v>
      </c>
      <c r="C826" s="18" t="s">
        <v>197</v>
      </c>
      <c r="D826" s="18" t="s">
        <v>869</v>
      </c>
      <c r="E826" s="18" t="s">
        <v>434</v>
      </c>
      <c r="F826" s="18"/>
      <c r="G826" s="18" t="s">
        <v>1019</v>
      </c>
      <c r="H826" s="30" t="n">
        <v>90.9</v>
      </c>
      <c r="I826" s="18" t="s">
        <v>513</v>
      </c>
      <c r="J826" s="28" t="n">
        <v>5904.86</v>
      </c>
      <c r="K826" s="12" t="str">
        <f aca="false">TEXT(B826,"yyyy-mm")</f>
        <v>2026-05</v>
      </c>
      <c r="L826" s="21" t="str">
        <f aca="false">IFERROR(INDEX(Projects!$E$2:$E$500,MATCH(C826,Projects!$A$2:$A$500,0)),"")</f>
        <v>Customer Experience</v>
      </c>
      <c r="M826" s="31" t="n">
        <f aca="false">IF(I826="Yes",H826*INDEX(Resources!$I$2:$I$500,MATCH(E826,Resources!$A$2:$A$500,0)),0)</f>
        <v>12271.5</v>
      </c>
    </row>
    <row r="827" customFormat="false" ht="15" hidden="false" customHeight="false" outlineLevel="0" collapsed="false">
      <c r="A827" s="18" t="s">
        <v>1859</v>
      </c>
      <c r="B827" s="19" t="n">
        <v>46173</v>
      </c>
      <c r="C827" s="18" t="s">
        <v>197</v>
      </c>
      <c r="D827" s="18" t="s">
        <v>872</v>
      </c>
      <c r="E827" s="18"/>
      <c r="F827" s="18" t="s">
        <v>1059</v>
      </c>
      <c r="G827" s="18" t="s">
        <v>1026</v>
      </c>
      <c r="H827" s="30" t="n">
        <v>0</v>
      </c>
      <c r="I827" s="18" t="s">
        <v>527</v>
      </c>
      <c r="J827" s="28" t="n">
        <v>3012.36</v>
      </c>
      <c r="K827" s="12" t="str">
        <f aca="false">TEXT(B827,"yyyy-mm")</f>
        <v>2026-05</v>
      </c>
      <c r="L827" s="21" t="str">
        <f aca="false">IFERROR(INDEX(Projects!$E$2:$E$500,MATCH(C827,Projects!$A$2:$A$500,0)),"")</f>
        <v>Customer Experience</v>
      </c>
      <c r="M827" s="31" t="n">
        <f aca="false">IF(I827="Yes",H827*INDEX(Resources!$I$2:$I$500,MATCH(E827,Resources!$A$2:$A$500,0)),0)</f>
        <v>0</v>
      </c>
    </row>
    <row r="828" customFormat="false" ht="15" hidden="false" customHeight="false" outlineLevel="0" collapsed="false">
      <c r="A828" s="18" t="s">
        <v>1860</v>
      </c>
      <c r="B828" s="19" t="n">
        <v>46173</v>
      </c>
      <c r="C828" s="18" t="s">
        <v>197</v>
      </c>
      <c r="D828" s="18" t="s">
        <v>874</v>
      </c>
      <c r="E828" s="18"/>
      <c r="F828" s="18" t="s">
        <v>1224</v>
      </c>
      <c r="G828" s="18" t="s">
        <v>1026</v>
      </c>
      <c r="H828" s="30" t="n">
        <v>0</v>
      </c>
      <c r="I828" s="18" t="s">
        <v>527</v>
      </c>
      <c r="J828" s="28" t="n">
        <v>4070.36</v>
      </c>
      <c r="K828" s="12" t="str">
        <f aca="false">TEXT(B828,"yyyy-mm")</f>
        <v>2026-05</v>
      </c>
      <c r="L828" s="21" t="str">
        <f aca="false">IFERROR(INDEX(Projects!$E$2:$E$500,MATCH(C828,Projects!$A$2:$A$500,0)),"")</f>
        <v>Customer Experience</v>
      </c>
      <c r="M828" s="31" t="n">
        <f aca="false">IF(I828="Yes",H828*INDEX(Resources!$I$2:$I$500,MATCH(E828,Resources!$A$2:$A$500,0)),0)</f>
        <v>0</v>
      </c>
    </row>
    <row r="829" customFormat="false" ht="15" hidden="false" customHeight="false" outlineLevel="0" collapsed="false">
      <c r="A829" s="18" t="s">
        <v>1861</v>
      </c>
      <c r="B829" s="19" t="n">
        <v>46173</v>
      </c>
      <c r="C829" s="18" t="s">
        <v>197</v>
      </c>
      <c r="D829" s="18" t="s">
        <v>876</v>
      </c>
      <c r="E829" s="18"/>
      <c r="F829" s="18" t="s">
        <v>1032</v>
      </c>
      <c r="G829" s="18" t="s">
        <v>1033</v>
      </c>
      <c r="H829" s="30" t="n">
        <v>0</v>
      </c>
      <c r="I829" s="18" t="s">
        <v>527</v>
      </c>
      <c r="J829" s="28" t="n">
        <v>1083.87</v>
      </c>
      <c r="K829" s="12" t="str">
        <f aca="false">TEXT(B829,"yyyy-mm")</f>
        <v>2026-05</v>
      </c>
      <c r="L829" s="21" t="str">
        <f aca="false">IFERROR(INDEX(Projects!$E$2:$E$500,MATCH(C829,Projects!$A$2:$A$500,0)),"")</f>
        <v>Customer Experience</v>
      </c>
      <c r="M829" s="31" t="n">
        <f aca="false">IF(I829="Yes",H829*INDEX(Resources!$I$2:$I$500,MATCH(E829,Resources!$A$2:$A$500,0)),0)</f>
        <v>0</v>
      </c>
    </row>
    <row r="830" customFormat="false" ht="15" hidden="false" customHeight="false" outlineLevel="0" collapsed="false">
      <c r="A830" s="18" t="s">
        <v>1862</v>
      </c>
      <c r="B830" s="19" t="n">
        <v>46173</v>
      </c>
      <c r="C830" s="18" t="s">
        <v>207</v>
      </c>
      <c r="D830" s="18" t="s">
        <v>869</v>
      </c>
      <c r="E830" s="18" t="s">
        <v>211</v>
      </c>
      <c r="F830" s="18"/>
      <c r="G830" s="18" t="s">
        <v>1019</v>
      </c>
      <c r="H830" s="30" t="n">
        <v>57.4</v>
      </c>
      <c r="I830" s="18" t="s">
        <v>513</v>
      </c>
      <c r="J830" s="28" t="n">
        <v>5859.39</v>
      </c>
      <c r="K830" s="12" t="str">
        <f aca="false">TEXT(B830,"yyyy-mm")</f>
        <v>2026-05</v>
      </c>
      <c r="L830" s="21" t="str">
        <f aca="false">IFERROR(INDEX(Projects!$E$2:$E$500,MATCH(C830,Projects!$A$2:$A$500,0)),"")</f>
        <v>Operational Excellence</v>
      </c>
      <c r="M830" s="31" t="n">
        <f aca="false">IF(I830="Yes",H830*INDEX(Resources!$I$2:$I$500,MATCH(E830,Resources!$A$2:$A$500,0)),0)</f>
        <v>11767</v>
      </c>
    </row>
    <row r="831" customFormat="false" ht="15" hidden="false" customHeight="false" outlineLevel="0" collapsed="false">
      <c r="A831" s="18" t="s">
        <v>1863</v>
      </c>
      <c r="B831" s="19" t="n">
        <v>46173</v>
      </c>
      <c r="C831" s="18" t="s">
        <v>207</v>
      </c>
      <c r="D831" s="18" t="s">
        <v>869</v>
      </c>
      <c r="E831" s="18" t="s">
        <v>368</v>
      </c>
      <c r="F831" s="18"/>
      <c r="G831" s="18" t="s">
        <v>1019</v>
      </c>
      <c r="H831" s="30" t="n">
        <v>117.5</v>
      </c>
      <c r="I831" s="18" t="s">
        <v>513</v>
      </c>
      <c r="J831" s="28" t="n">
        <v>8629.2</v>
      </c>
      <c r="K831" s="12" t="str">
        <f aca="false">TEXT(B831,"yyyy-mm")</f>
        <v>2026-05</v>
      </c>
      <c r="L831" s="21" t="str">
        <f aca="false">IFERROR(INDEX(Projects!$E$2:$E$500,MATCH(C831,Projects!$A$2:$A$500,0)),"")</f>
        <v>Operational Excellence</v>
      </c>
      <c r="M831" s="31" t="n">
        <f aca="false">IF(I831="Yes",H831*INDEX(Resources!$I$2:$I$500,MATCH(E831,Resources!$A$2:$A$500,0)),0)</f>
        <v>17625</v>
      </c>
    </row>
    <row r="832" customFormat="false" ht="15" hidden="false" customHeight="false" outlineLevel="0" collapsed="false">
      <c r="A832" s="18" t="s">
        <v>1864</v>
      </c>
      <c r="B832" s="19" t="n">
        <v>46173</v>
      </c>
      <c r="C832" s="18" t="s">
        <v>207</v>
      </c>
      <c r="D832" s="18" t="s">
        <v>869</v>
      </c>
      <c r="E832" s="18" t="s">
        <v>393</v>
      </c>
      <c r="F832" s="18"/>
      <c r="G832" s="18" t="s">
        <v>1019</v>
      </c>
      <c r="H832" s="30" t="n">
        <v>119</v>
      </c>
      <c r="I832" s="18" t="s">
        <v>513</v>
      </c>
      <c r="J832" s="28" t="n">
        <v>11823.84</v>
      </c>
      <c r="K832" s="12" t="str">
        <f aca="false">TEXT(B832,"yyyy-mm")</f>
        <v>2026-05</v>
      </c>
      <c r="L832" s="21" t="str">
        <f aca="false">IFERROR(INDEX(Projects!$E$2:$E$500,MATCH(C832,Projects!$A$2:$A$500,0)),"")</f>
        <v>Operational Excellence</v>
      </c>
      <c r="M832" s="31" t="n">
        <f aca="false">IF(I832="Yes",H832*INDEX(Resources!$I$2:$I$500,MATCH(E832,Resources!$A$2:$A$500,0)),0)</f>
        <v>23800</v>
      </c>
    </row>
    <row r="833" customFormat="false" ht="15" hidden="false" customHeight="false" outlineLevel="0" collapsed="false">
      <c r="A833" s="18" t="s">
        <v>1865</v>
      </c>
      <c r="B833" s="19" t="n">
        <v>46173</v>
      </c>
      <c r="C833" s="18" t="s">
        <v>207</v>
      </c>
      <c r="D833" s="18" t="s">
        <v>869</v>
      </c>
      <c r="E833" s="18" t="s">
        <v>412</v>
      </c>
      <c r="F833" s="18"/>
      <c r="G833" s="18" t="s">
        <v>1019</v>
      </c>
      <c r="H833" s="30" t="n">
        <v>165.3</v>
      </c>
      <c r="I833" s="18" t="s">
        <v>513</v>
      </c>
      <c r="J833" s="28" t="n">
        <v>9838.66</v>
      </c>
      <c r="K833" s="12" t="str">
        <f aca="false">TEXT(B833,"yyyy-mm")</f>
        <v>2026-05</v>
      </c>
      <c r="L833" s="21" t="str">
        <f aca="false">IFERROR(INDEX(Projects!$E$2:$E$500,MATCH(C833,Projects!$A$2:$A$500,0)),"")</f>
        <v>Operational Excellence</v>
      </c>
      <c r="M833" s="31" t="n">
        <f aca="false">IF(I833="Yes",H833*INDEX(Resources!$I$2:$I$500,MATCH(E833,Resources!$A$2:$A$500,0)),0)</f>
        <v>19836</v>
      </c>
    </row>
    <row r="834" customFormat="false" ht="15" hidden="false" customHeight="false" outlineLevel="0" collapsed="false">
      <c r="A834" s="18" t="s">
        <v>1866</v>
      </c>
      <c r="B834" s="19" t="n">
        <v>46173</v>
      </c>
      <c r="C834" s="18" t="s">
        <v>207</v>
      </c>
      <c r="D834" s="18" t="s">
        <v>872</v>
      </c>
      <c r="E834" s="18"/>
      <c r="F834" s="18" t="s">
        <v>353</v>
      </c>
      <c r="G834" s="18" t="s">
        <v>1026</v>
      </c>
      <c r="H834" s="30" t="n">
        <v>0</v>
      </c>
      <c r="I834" s="18" t="s">
        <v>527</v>
      </c>
      <c r="J834" s="28" t="n">
        <v>1721.8</v>
      </c>
      <c r="K834" s="12" t="str">
        <f aca="false">TEXT(B834,"yyyy-mm")</f>
        <v>2026-05</v>
      </c>
      <c r="L834" s="21" t="str">
        <f aca="false">IFERROR(INDEX(Projects!$E$2:$E$500,MATCH(C834,Projects!$A$2:$A$500,0)),"")</f>
        <v>Operational Excellence</v>
      </c>
      <c r="M834" s="31" t="n">
        <f aca="false">IF(I834="Yes",H834*INDEX(Resources!$I$2:$I$500,MATCH(E834,Resources!$A$2:$A$500,0)),0)</f>
        <v>0</v>
      </c>
    </row>
    <row r="835" customFormat="false" ht="15" hidden="false" customHeight="false" outlineLevel="0" collapsed="false">
      <c r="A835" s="18" t="s">
        <v>1867</v>
      </c>
      <c r="B835" s="19" t="n">
        <v>46173</v>
      </c>
      <c r="C835" s="18" t="s">
        <v>207</v>
      </c>
      <c r="D835" s="18" t="s">
        <v>495</v>
      </c>
      <c r="E835" s="18"/>
      <c r="F835" s="18" t="s">
        <v>1373</v>
      </c>
      <c r="G835" s="18" t="s">
        <v>1026</v>
      </c>
      <c r="H835" s="30" t="n">
        <v>0</v>
      </c>
      <c r="I835" s="18" t="s">
        <v>527</v>
      </c>
      <c r="J835" s="28" t="n">
        <v>981.29</v>
      </c>
      <c r="K835" s="12" t="str">
        <f aca="false">TEXT(B835,"yyyy-mm")</f>
        <v>2026-05</v>
      </c>
      <c r="L835" s="21" t="str">
        <f aca="false">IFERROR(INDEX(Projects!$E$2:$E$500,MATCH(C835,Projects!$A$2:$A$500,0)),"")</f>
        <v>Operational Excellence</v>
      </c>
      <c r="M835" s="31" t="n">
        <f aca="false">IF(I835="Yes",H835*INDEX(Resources!$I$2:$I$500,MATCH(E835,Resources!$A$2:$A$500,0)),0)</f>
        <v>0</v>
      </c>
    </row>
    <row r="836" customFormat="false" ht="15" hidden="false" customHeight="false" outlineLevel="0" collapsed="false">
      <c r="A836" s="18" t="s">
        <v>1868</v>
      </c>
      <c r="B836" s="19" t="n">
        <v>46173</v>
      </c>
      <c r="C836" s="18" t="s">
        <v>207</v>
      </c>
      <c r="D836" s="18" t="s">
        <v>876</v>
      </c>
      <c r="E836" s="18"/>
      <c r="F836" s="18" t="s">
        <v>1071</v>
      </c>
      <c r="G836" s="18" t="s">
        <v>1033</v>
      </c>
      <c r="H836" s="30" t="n">
        <v>0</v>
      </c>
      <c r="I836" s="18" t="s">
        <v>527</v>
      </c>
      <c r="J836" s="28" t="n">
        <v>669.35</v>
      </c>
      <c r="K836" s="12" t="str">
        <f aca="false">TEXT(B836,"yyyy-mm")</f>
        <v>2026-05</v>
      </c>
      <c r="L836" s="21" t="str">
        <f aca="false">IFERROR(INDEX(Projects!$E$2:$E$500,MATCH(C836,Projects!$A$2:$A$500,0)),"")</f>
        <v>Operational Excellence</v>
      </c>
      <c r="M836" s="31" t="n">
        <f aca="false">IF(I836="Yes",H836*INDEX(Resources!$I$2:$I$500,MATCH(E836,Resources!$A$2:$A$500,0)),0)</f>
        <v>0</v>
      </c>
    </row>
    <row r="837" customFormat="false" ht="15" hidden="false" customHeight="false" outlineLevel="0" collapsed="false">
      <c r="A837" s="18" t="s">
        <v>1869</v>
      </c>
      <c r="B837" s="19" t="n">
        <v>46173</v>
      </c>
      <c r="C837" s="18" t="s">
        <v>215</v>
      </c>
      <c r="D837" s="18" t="s">
        <v>889</v>
      </c>
      <c r="E837" s="18"/>
      <c r="F837" s="18" t="s">
        <v>1035</v>
      </c>
      <c r="G837" s="18" t="s">
        <v>1026</v>
      </c>
      <c r="H837" s="30" t="n">
        <v>0</v>
      </c>
      <c r="I837" s="18" t="s">
        <v>527</v>
      </c>
      <c r="J837" s="28" t="n">
        <v>4292.58</v>
      </c>
      <c r="K837" s="12" t="str">
        <f aca="false">TEXT(B837,"yyyy-mm")</f>
        <v>2026-05</v>
      </c>
      <c r="L837" s="21" t="str">
        <f aca="false">IFERROR(INDEX(Projects!$E$2:$E$500,MATCH(C837,Projects!$A$2:$A$500,0)),"")</f>
        <v>Data &amp; AI</v>
      </c>
      <c r="M837" s="31" t="n">
        <f aca="false">IF(I837="Yes",H837*INDEX(Resources!$I$2:$I$500,MATCH(E837,Resources!$A$2:$A$500,0)),0)</f>
        <v>0</v>
      </c>
    </row>
    <row r="838" customFormat="false" ht="15" hidden="false" customHeight="false" outlineLevel="0" collapsed="false">
      <c r="A838" s="18" t="s">
        <v>1870</v>
      </c>
      <c r="B838" s="19" t="n">
        <v>46173</v>
      </c>
      <c r="C838" s="18" t="s">
        <v>215</v>
      </c>
      <c r="D838" s="18" t="s">
        <v>869</v>
      </c>
      <c r="E838" s="18" t="s">
        <v>218</v>
      </c>
      <c r="F838" s="18"/>
      <c r="G838" s="18" t="s">
        <v>1019</v>
      </c>
      <c r="H838" s="30" t="n">
        <v>42.1</v>
      </c>
      <c r="I838" s="18" t="s">
        <v>527</v>
      </c>
      <c r="J838" s="28" t="n">
        <v>3149.08</v>
      </c>
      <c r="K838" s="12" t="str">
        <f aca="false">TEXT(B838,"yyyy-mm")</f>
        <v>2026-05</v>
      </c>
      <c r="L838" s="21" t="str">
        <f aca="false">IFERROR(INDEX(Projects!$E$2:$E$500,MATCH(C838,Projects!$A$2:$A$500,0)),"")</f>
        <v>Data &amp; AI</v>
      </c>
      <c r="M838" s="31" t="n">
        <f aca="false">IF(I838="Yes",H838*INDEX(Resources!$I$2:$I$500,MATCH(E838,Resources!$A$2:$A$500,0)),0)</f>
        <v>0</v>
      </c>
    </row>
    <row r="839" customFormat="false" ht="15" hidden="false" customHeight="false" outlineLevel="0" collapsed="false">
      <c r="A839" s="18" t="s">
        <v>1871</v>
      </c>
      <c r="B839" s="19" t="n">
        <v>46173</v>
      </c>
      <c r="C839" s="18" t="s">
        <v>215</v>
      </c>
      <c r="D839" s="18" t="s">
        <v>869</v>
      </c>
      <c r="E839" s="18" t="s">
        <v>357</v>
      </c>
      <c r="F839" s="18"/>
      <c r="G839" s="18" t="s">
        <v>1019</v>
      </c>
      <c r="H839" s="30" t="n">
        <v>12.2</v>
      </c>
      <c r="I839" s="18" t="s">
        <v>513</v>
      </c>
      <c r="J839" s="28" t="n">
        <v>1475.71</v>
      </c>
      <c r="K839" s="12" t="str">
        <f aca="false">TEXT(B839,"yyyy-mm")</f>
        <v>2026-05</v>
      </c>
      <c r="L839" s="21" t="str">
        <f aca="false">IFERROR(INDEX(Projects!$E$2:$E$500,MATCH(C839,Projects!$A$2:$A$500,0)),"")</f>
        <v>Data &amp; AI</v>
      </c>
      <c r="M839" s="31" t="n">
        <f aca="false">IF(I839="Yes",H839*INDEX(Resources!$I$2:$I$500,MATCH(E839,Resources!$A$2:$A$500,0)),0)</f>
        <v>2989</v>
      </c>
    </row>
    <row r="840" customFormat="false" ht="15" hidden="false" customHeight="false" outlineLevel="0" collapsed="false">
      <c r="A840" s="18" t="s">
        <v>1872</v>
      </c>
      <c r="B840" s="19" t="n">
        <v>46173</v>
      </c>
      <c r="C840" s="18" t="s">
        <v>215</v>
      </c>
      <c r="D840" s="18" t="s">
        <v>869</v>
      </c>
      <c r="E840" s="18" t="s">
        <v>414</v>
      </c>
      <c r="F840" s="18"/>
      <c r="G840" s="18" t="s">
        <v>1019</v>
      </c>
      <c r="H840" s="30" t="n">
        <v>90.7</v>
      </c>
      <c r="I840" s="18" t="s">
        <v>513</v>
      </c>
      <c r="J840" s="28" t="n">
        <v>5398.46</v>
      </c>
      <c r="K840" s="12" t="str">
        <f aca="false">TEXT(B840,"yyyy-mm")</f>
        <v>2026-05</v>
      </c>
      <c r="L840" s="21" t="str">
        <f aca="false">IFERROR(INDEX(Projects!$E$2:$E$500,MATCH(C840,Projects!$A$2:$A$500,0)),"")</f>
        <v>Data &amp; AI</v>
      </c>
      <c r="M840" s="31" t="n">
        <f aca="false">IF(I840="Yes",H840*INDEX(Resources!$I$2:$I$500,MATCH(E840,Resources!$A$2:$A$500,0)),0)</f>
        <v>10884</v>
      </c>
    </row>
    <row r="841" customFormat="false" ht="15" hidden="false" customHeight="false" outlineLevel="0" collapsed="false">
      <c r="A841" s="18" t="s">
        <v>1873</v>
      </c>
      <c r="B841" s="19" t="n">
        <v>46173</v>
      </c>
      <c r="C841" s="18" t="s">
        <v>215</v>
      </c>
      <c r="D841" s="18" t="s">
        <v>869</v>
      </c>
      <c r="E841" s="18" t="s">
        <v>442</v>
      </c>
      <c r="F841" s="18"/>
      <c r="G841" s="18" t="s">
        <v>1019</v>
      </c>
      <c r="H841" s="30" t="n">
        <v>95.9</v>
      </c>
      <c r="I841" s="18" t="s">
        <v>513</v>
      </c>
      <c r="J841" s="28" t="n">
        <v>6713</v>
      </c>
      <c r="K841" s="12" t="str">
        <f aca="false">TEXT(B841,"yyyy-mm")</f>
        <v>2026-05</v>
      </c>
      <c r="L841" s="21" t="str">
        <f aca="false">IFERROR(INDEX(Projects!$E$2:$E$500,MATCH(C841,Projects!$A$2:$A$500,0)),"")</f>
        <v>Data &amp; AI</v>
      </c>
      <c r="M841" s="31" t="n">
        <f aca="false">IF(I841="Yes",H841*INDEX(Resources!$I$2:$I$500,MATCH(E841,Resources!$A$2:$A$500,0)),0)</f>
        <v>11028.5</v>
      </c>
    </row>
    <row r="842" customFormat="false" ht="15" hidden="false" customHeight="false" outlineLevel="0" collapsed="false">
      <c r="A842" s="18" t="s">
        <v>1874</v>
      </c>
      <c r="B842" s="19" t="n">
        <v>46173</v>
      </c>
      <c r="C842" s="18" t="s">
        <v>215</v>
      </c>
      <c r="D842" s="18" t="s">
        <v>869</v>
      </c>
      <c r="E842" s="18" t="s">
        <v>450</v>
      </c>
      <c r="F842" s="18"/>
      <c r="G842" s="18" t="s">
        <v>1019</v>
      </c>
      <c r="H842" s="30" t="n">
        <v>195.7</v>
      </c>
      <c r="I842" s="18" t="s">
        <v>513</v>
      </c>
      <c r="J842" s="28" t="n">
        <v>20431.08</v>
      </c>
      <c r="K842" s="12" t="str">
        <f aca="false">TEXT(B842,"yyyy-mm")</f>
        <v>2026-05</v>
      </c>
      <c r="L842" s="21" t="str">
        <f aca="false">IFERROR(INDEX(Projects!$E$2:$E$500,MATCH(C842,Projects!$A$2:$A$500,0)),"")</f>
        <v>Data &amp; AI</v>
      </c>
      <c r="M842" s="31" t="n">
        <f aca="false">IF(I842="Yes",H842*INDEX(Resources!$I$2:$I$500,MATCH(E842,Resources!$A$2:$A$500,0)),0)</f>
        <v>41097</v>
      </c>
    </row>
    <row r="843" customFormat="false" ht="15" hidden="false" customHeight="false" outlineLevel="0" collapsed="false">
      <c r="A843" s="18" t="s">
        <v>1875</v>
      </c>
      <c r="B843" s="19" t="n">
        <v>46173</v>
      </c>
      <c r="C843" s="18" t="s">
        <v>215</v>
      </c>
      <c r="D843" s="18" t="s">
        <v>869</v>
      </c>
      <c r="E843" s="18" t="s">
        <v>462</v>
      </c>
      <c r="F843" s="18"/>
      <c r="G843" s="18" t="s">
        <v>1019</v>
      </c>
      <c r="H843" s="30" t="n">
        <v>95.3</v>
      </c>
      <c r="I843" s="18" t="s">
        <v>513</v>
      </c>
      <c r="J843" s="28" t="n">
        <v>10833.7</v>
      </c>
      <c r="K843" s="12" t="str">
        <f aca="false">TEXT(B843,"yyyy-mm")</f>
        <v>2026-05</v>
      </c>
      <c r="L843" s="21" t="str">
        <f aca="false">IFERROR(INDEX(Projects!$E$2:$E$500,MATCH(C843,Projects!$A$2:$A$500,0)),"")</f>
        <v>Data &amp; AI</v>
      </c>
      <c r="M843" s="31" t="n">
        <f aca="false">IF(I843="Yes",H843*INDEX(Resources!$I$2:$I$500,MATCH(E843,Resources!$A$2:$A$500,0)),0)</f>
        <v>21919</v>
      </c>
    </row>
    <row r="844" customFormat="false" ht="15" hidden="false" customHeight="false" outlineLevel="0" collapsed="false">
      <c r="A844" s="18" t="s">
        <v>1876</v>
      </c>
      <c r="B844" s="19" t="n">
        <v>46173</v>
      </c>
      <c r="C844" s="18" t="s">
        <v>215</v>
      </c>
      <c r="D844" s="18" t="s">
        <v>872</v>
      </c>
      <c r="E844" s="18"/>
      <c r="F844" s="18" t="s">
        <v>1059</v>
      </c>
      <c r="G844" s="18" t="s">
        <v>1026</v>
      </c>
      <c r="H844" s="30" t="n">
        <v>0</v>
      </c>
      <c r="I844" s="18" t="s">
        <v>527</v>
      </c>
      <c r="J844" s="28" t="n">
        <v>2400.03</v>
      </c>
      <c r="K844" s="12" t="str">
        <f aca="false">TEXT(B844,"yyyy-mm")</f>
        <v>2026-05</v>
      </c>
      <c r="L844" s="21" t="str">
        <f aca="false">IFERROR(INDEX(Projects!$E$2:$E$500,MATCH(C844,Projects!$A$2:$A$500,0)),"")</f>
        <v>Data &amp; AI</v>
      </c>
      <c r="M844" s="31" t="n">
        <f aca="false">IF(I844="Yes",H844*INDEX(Resources!$I$2:$I$500,MATCH(E844,Resources!$A$2:$A$500,0)),0)</f>
        <v>0</v>
      </c>
    </row>
    <row r="845" customFormat="false" ht="15" hidden="false" customHeight="false" outlineLevel="0" collapsed="false">
      <c r="A845" s="18" t="s">
        <v>1877</v>
      </c>
      <c r="B845" s="19" t="n">
        <v>46173</v>
      </c>
      <c r="C845" s="18" t="s">
        <v>215</v>
      </c>
      <c r="D845" s="18" t="s">
        <v>876</v>
      </c>
      <c r="E845" s="18"/>
      <c r="F845" s="18" t="s">
        <v>1032</v>
      </c>
      <c r="G845" s="18" t="s">
        <v>1033</v>
      </c>
      <c r="H845" s="30" t="n">
        <v>0</v>
      </c>
      <c r="I845" s="18" t="s">
        <v>527</v>
      </c>
      <c r="J845" s="28" t="n">
        <v>569.99</v>
      </c>
      <c r="K845" s="12" t="str">
        <f aca="false">TEXT(B845,"yyyy-mm")</f>
        <v>2026-05</v>
      </c>
      <c r="L845" s="21" t="str">
        <f aca="false">IFERROR(INDEX(Projects!$E$2:$E$500,MATCH(C845,Projects!$A$2:$A$500,0)),"")</f>
        <v>Data &amp; AI</v>
      </c>
      <c r="M845" s="31" t="n">
        <f aca="false">IF(I845="Yes",H845*INDEX(Resources!$I$2:$I$500,MATCH(E845,Resources!$A$2:$A$500,0)),0)</f>
        <v>0</v>
      </c>
    </row>
    <row r="846" customFormat="false" ht="15" hidden="false" customHeight="false" outlineLevel="0" collapsed="false">
      <c r="A846" s="18" t="s">
        <v>1878</v>
      </c>
      <c r="B846" s="19" t="n">
        <v>46173</v>
      </c>
      <c r="C846" s="18" t="s">
        <v>222</v>
      </c>
      <c r="D846" s="18" t="s">
        <v>889</v>
      </c>
      <c r="E846" s="18"/>
      <c r="F846" s="18" t="s">
        <v>1035</v>
      </c>
      <c r="G846" s="18" t="s">
        <v>1026</v>
      </c>
      <c r="H846" s="30" t="n">
        <v>0</v>
      </c>
      <c r="I846" s="18" t="s">
        <v>527</v>
      </c>
      <c r="J846" s="28" t="n">
        <v>6512.9</v>
      </c>
      <c r="K846" s="12" t="str">
        <f aca="false">TEXT(B846,"yyyy-mm")</f>
        <v>2026-05</v>
      </c>
      <c r="L846" s="21" t="str">
        <f aca="false">IFERROR(INDEX(Projects!$E$2:$E$500,MATCH(C846,Projects!$A$2:$A$500,0)),"")</f>
        <v>Cloud &amp; Infrastructure</v>
      </c>
      <c r="M846" s="31" t="n">
        <f aca="false">IF(I846="Yes",H846*INDEX(Resources!$I$2:$I$500,MATCH(E846,Resources!$A$2:$A$500,0)),0)</f>
        <v>0</v>
      </c>
    </row>
    <row r="847" customFormat="false" ht="15" hidden="false" customHeight="false" outlineLevel="0" collapsed="false">
      <c r="A847" s="18" t="s">
        <v>1879</v>
      </c>
      <c r="B847" s="19" t="n">
        <v>46173</v>
      </c>
      <c r="C847" s="18" t="s">
        <v>222</v>
      </c>
      <c r="D847" s="18" t="s">
        <v>882</v>
      </c>
      <c r="E847" s="18"/>
      <c r="F847" s="18" t="s">
        <v>1063</v>
      </c>
      <c r="G847" s="18" t="s">
        <v>1026</v>
      </c>
      <c r="H847" s="30" t="n">
        <v>0</v>
      </c>
      <c r="I847" s="18" t="s">
        <v>527</v>
      </c>
      <c r="J847" s="28" t="n">
        <v>32528.39</v>
      </c>
      <c r="K847" s="12" t="str">
        <f aca="false">TEXT(B847,"yyyy-mm")</f>
        <v>2026-05</v>
      </c>
      <c r="L847" s="21" t="str">
        <f aca="false">IFERROR(INDEX(Projects!$E$2:$E$500,MATCH(C847,Projects!$A$2:$A$500,0)),"")</f>
        <v>Cloud &amp; Infrastructure</v>
      </c>
      <c r="M847" s="31" t="n">
        <f aca="false">IF(I847="Yes",H847*INDEX(Resources!$I$2:$I$500,MATCH(E847,Resources!$A$2:$A$500,0)),0)</f>
        <v>0</v>
      </c>
    </row>
    <row r="848" customFormat="false" ht="15" hidden="false" customHeight="false" outlineLevel="0" collapsed="false">
      <c r="A848" s="18" t="s">
        <v>1880</v>
      </c>
      <c r="B848" s="19" t="n">
        <v>46173</v>
      </c>
      <c r="C848" s="18" t="s">
        <v>222</v>
      </c>
      <c r="D848" s="18" t="s">
        <v>869</v>
      </c>
      <c r="E848" s="18" t="s">
        <v>226</v>
      </c>
      <c r="F848" s="18"/>
      <c r="G848" s="18" t="s">
        <v>1019</v>
      </c>
      <c r="H848" s="30" t="n">
        <v>42.4</v>
      </c>
      <c r="I848" s="18" t="s">
        <v>513</v>
      </c>
      <c r="J848" s="28" t="n">
        <v>3731.2</v>
      </c>
      <c r="K848" s="12" t="str">
        <f aca="false">TEXT(B848,"yyyy-mm")</f>
        <v>2026-05</v>
      </c>
      <c r="L848" s="21" t="str">
        <f aca="false">IFERROR(INDEX(Projects!$E$2:$E$500,MATCH(C848,Projects!$A$2:$A$500,0)),"")</f>
        <v>Cloud &amp; Infrastructure</v>
      </c>
      <c r="M848" s="31" t="n">
        <f aca="false">IF(I848="Yes",H848*INDEX(Resources!$I$2:$I$500,MATCH(E848,Resources!$A$2:$A$500,0)),0)</f>
        <v>7420</v>
      </c>
    </row>
    <row r="849" customFormat="false" ht="15" hidden="false" customHeight="false" outlineLevel="0" collapsed="false">
      <c r="A849" s="18" t="s">
        <v>1881</v>
      </c>
      <c r="B849" s="19" t="n">
        <v>46173</v>
      </c>
      <c r="C849" s="18" t="s">
        <v>222</v>
      </c>
      <c r="D849" s="18" t="s">
        <v>869</v>
      </c>
      <c r="E849" s="18" t="s">
        <v>348</v>
      </c>
      <c r="F849" s="18"/>
      <c r="G849" s="18" t="s">
        <v>1019</v>
      </c>
      <c r="H849" s="30" t="n">
        <v>40.1</v>
      </c>
      <c r="I849" s="18" t="s">
        <v>513</v>
      </c>
      <c r="J849" s="28" t="n">
        <v>5209.79</v>
      </c>
      <c r="K849" s="12" t="str">
        <f aca="false">TEXT(B849,"yyyy-mm")</f>
        <v>2026-05</v>
      </c>
      <c r="L849" s="21" t="str">
        <f aca="false">IFERROR(INDEX(Projects!$E$2:$E$500,MATCH(C849,Projects!$A$2:$A$500,0)),"")</f>
        <v>Cloud &amp; Infrastructure</v>
      </c>
      <c r="M849" s="31" t="n">
        <f aca="false">IF(I849="Yes",H849*INDEX(Resources!$I$2:$I$500,MATCH(E849,Resources!$A$2:$A$500,0)),0)</f>
        <v>10426</v>
      </c>
    </row>
    <row r="850" customFormat="false" ht="15" hidden="false" customHeight="false" outlineLevel="0" collapsed="false">
      <c r="A850" s="18" t="s">
        <v>1882</v>
      </c>
      <c r="B850" s="19" t="n">
        <v>46173</v>
      </c>
      <c r="C850" s="18" t="s">
        <v>222</v>
      </c>
      <c r="D850" s="18" t="s">
        <v>869</v>
      </c>
      <c r="E850" s="18" t="s">
        <v>395</v>
      </c>
      <c r="F850" s="18"/>
      <c r="G850" s="18" t="s">
        <v>1019</v>
      </c>
      <c r="H850" s="30" t="n">
        <v>79.8</v>
      </c>
      <c r="I850" s="18" t="s">
        <v>513</v>
      </c>
      <c r="J850" s="28" t="n">
        <v>8534.61</v>
      </c>
      <c r="K850" s="12" t="str">
        <f aca="false">TEXT(B850,"yyyy-mm")</f>
        <v>2026-05</v>
      </c>
      <c r="L850" s="21" t="str">
        <f aca="false">IFERROR(INDEX(Projects!$E$2:$E$500,MATCH(C850,Projects!$A$2:$A$500,0)),"")</f>
        <v>Cloud &amp; Infrastructure</v>
      </c>
      <c r="M850" s="31" t="n">
        <f aca="false">IF(I850="Yes",H850*INDEX(Resources!$I$2:$I$500,MATCH(E850,Resources!$A$2:$A$500,0)),0)</f>
        <v>13566</v>
      </c>
    </row>
    <row r="851" customFormat="false" ht="15" hidden="false" customHeight="false" outlineLevel="0" collapsed="false">
      <c r="A851" s="18" t="s">
        <v>1883</v>
      </c>
      <c r="B851" s="19" t="n">
        <v>46173</v>
      </c>
      <c r="C851" s="18" t="s">
        <v>222</v>
      </c>
      <c r="D851" s="18" t="s">
        <v>869</v>
      </c>
      <c r="E851" s="18" t="s">
        <v>470</v>
      </c>
      <c r="F851" s="18"/>
      <c r="G851" s="18" t="s">
        <v>1019</v>
      </c>
      <c r="H851" s="30" t="n">
        <v>179.4</v>
      </c>
      <c r="I851" s="18" t="s">
        <v>513</v>
      </c>
      <c r="J851" s="28" t="n">
        <v>19561.78</v>
      </c>
      <c r="K851" s="12" t="str">
        <f aca="false">TEXT(B851,"yyyy-mm")</f>
        <v>2026-05</v>
      </c>
      <c r="L851" s="21" t="str">
        <f aca="false">IFERROR(INDEX(Projects!$E$2:$E$500,MATCH(C851,Projects!$A$2:$A$500,0)),"")</f>
        <v>Cloud &amp; Infrastructure</v>
      </c>
      <c r="M851" s="31" t="n">
        <f aca="false">IF(I851="Yes",H851*INDEX(Resources!$I$2:$I$500,MATCH(E851,Resources!$A$2:$A$500,0)),0)</f>
        <v>39468</v>
      </c>
    </row>
    <row r="852" customFormat="false" ht="15" hidden="false" customHeight="false" outlineLevel="0" collapsed="false">
      <c r="A852" s="18" t="s">
        <v>1884</v>
      </c>
      <c r="B852" s="19" t="n">
        <v>46173</v>
      </c>
      <c r="C852" s="18" t="s">
        <v>222</v>
      </c>
      <c r="D852" s="18" t="s">
        <v>869</v>
      </c>
      <c r="E852" s="18" t="s">
        <v>483</v>
      </c>
      <c r="F852" s="18"/>
      <c r="G852" s="18" t="s">
        <v>1019</v>
      </c>
      <c r="H852" s="30" t="n">
        <v>89.4</v>
      </c>
      <c r="I852" s="18" t="s">
        <v>513</v>
      </c>
      <c r="J852" s="28" t="n">
        <v>8918.54</v>
      </c>
      <c r="K852" s="12" t="str">
        <f aca="false">TEXT(B852,"yyyy-mm")</f>
        <v>2026-05</v>
      </c>
      <c r="L852" s="21" t="str">
        <f aca="false">IFERROR(INDEX(Projects!$E$2:$E$500,MATCH(C852,Projects!$A$2:$A$500,0)),"")</f>
        <v>Cloud &amp; Infrastructure</v>
      </c>
      <c r="M852" s="31" t="n">
        <f aca="false">IF(I852="Yes",H852*INDEX(Resources!$I$2:$I$500,MATCH(E852,Resources!$A$2:$A$500,0)),0)</f>
        <v>18327</v>
      </c>
    </row>
    <row r="853" customFormat="false" ht="15" hidden="false" customHeight="false" outlineLevel="0" collapsed="false">
      <c r="A853" s="18" t="s">
        <v>1885</v>
      </c>
      <c r="B853" s="19" t="n">
        <v>46173</v>
      </c>
      <c r="C853" s="18" t="s">
        <v>222</v>
      </c>
      <c r="D853" s="18" t="s">
        <v>872</v>
      </c>
      <c r="E853" s="18"/>
      <c r="F853" s="18" t="s">
        <v>353</v>
      </c>
      <c r="G853" s="18" t="s">
        <v>1026</v>
      </c>
      <c r="H853" s="30" t="n">
        <v>0</v>
      </c>
      <c r="I853" s="18" t="s">
        <v>527</v>
      </c>
      <c r="J853" s="28" t="n">
        <v>2547.56</v>
      </c>
      <c r="K853" s="12" t="str">
        <f aca="false">TEXT(B853,"yyyy-mm")</f>
        <v>2026-05</v>
      </c>
      <c r="L853" s="21" t="str">
        <f aca="false">IFERROR(INDEX(Projects!$E$2:$E$500,MATCH(C853,Projects!$A$2:$A$500,0)),"")</f>
        <v>Cloud &amp; Infrastructure</v>
      </c>
      <c r="M853" s="31" t="n">
        <f aca="false">IF(I853="Yes",H853*INDEX(Resources!$I$2:$I$500,MATCH(E853,Resources!$A$2:$A$500,0)),0)</f>
        <v>0</v>
      </c>
    </row>
    <row r="854" customFormat="false" ht="15" hidden="false" customHeight="false" outlineLevel="0" collapsed="false">
      <c r="A854" s="18" t="s">
        <v>1886</v>
      </c>
      <c r="B854" s="19" t="n">
        <v>46173</v>
      </c>
      <c r="C854" s="18" t="s">
        <v>222</v>
      </c>
      <c r="D854" s="18" t="s">
        <v>876</v>
      </c>
      <c r="E854" s="18"/>
      <c r="F854" s="18" t="s">
        <v>1032</v>
      </c>
      <c r="G854" s="18" t="s">
        <v>1033</v>
      </c>
      <c r="H854" s="30" t="n">
        <v>0</v>
      </c>
      <c r="I854" s="18" t="s">
        <v>527</v>
      </c>
      <c r="J854" s="28" t="n">
        <v>804.24</v>
      </c>
      <c r="K854" s="12" t="str">
        <f aca="false">TEXT(B854,"yyyy-mm")</f>
        <v>2026-05</v>
      </c>
      <c r="L854" s="21" t="str">
        <f aca="false">IFERROR(INDEX(Projects!$E$2:$E$500,MATCH(C854,Projects!$A$2:$A$500,0)),"")</f>
        <v>Cloud &amp; Infrastructure</v>
      </c>
      <c r="M854" s="31" t="n">
        <f aca="false">IF(I854="Yes",H854*INDEX(Resources!$I$2:$I$500,MATCH(E854,Resources!$A$2:$A$500,0)),0)</f>
        <v>0</v>
      </c>
    </row>
    <row r="855" customFormat="false" ht="15" hidden="false" customHeight="false" outlineLevel="0" collapsed="false">
      <c r="A855" s="18" t="s">
        <v>1887</v>
      </c>
      <c r="B855" s="19" t="n">
        <v>46173</v>
      </c>
      <c r="C855" s="18" t="s">
        <v>228</v>
      </c>
      <c r="D855" s="18" t="s">
        <v>889</v>
      </c>
      <c r="E855" s="18"/>
      <c r="F855" s="18" t="s">
        <v>1035</v>
      </c>
      <c r="G855" s="18" t="s">
        <v>1026</v>
      </c>
      <c r="H855" s="30" t="n">
        <v>0</v>
      </c>
      <c r="I855" s="18" t="s">
        <v>527</v>
      </c>
      <c r="J855" s="28" t="n">
        <v>2812.33</v>
      </c>
      <c r="K855" s="12" t="str">
        <f aca="false">TEXT(B855,"yyyy-mm")</f>
        <v>2026-05</v>
      </c>
      <c r="L855" s="21" t="str">
        <f aca="false">IFERROR(INDEX(Projects!$E$2:$E$500,MATCH(C855,Projects!$A$2:$A$500,0)),"")</f>
        <v>Data &amp; AI</v>
      </c>
      <c r="M855" s="31" t="n">
        <f aca="false">IF(I855="Yes",H855*INDEX(Resources!$I$2:$I$500,MATCH(E855,Resources!$A$2:$A$500,0)),0)</f>
        <v>0</v>
      </c>
    </row>
    <row r="856" customFormat="false" ht="15" hidden="false" customHeight="false" outlineLevel="0" collapsed="false">
      <c r="A856" s="18" t="s">
        <v>1888</v>
      </c>
      <c r="B856" s="19" t="n">
        <v>46173</v>
      </c>
      <c r="C856" s="18" t="s">
        <v>228</v>
      </c>
      <c r="D856" s="18" t="s">
        <v>869</v>
      </c>
      <c r="E856" s="18" t="s">
        <v>231</v>
      </c>
      <c r="F856" s="18"/>
      <c r="G856" s="18" t="s">
        <v>1019</v>
      </c>
      <c r="H856" s="30" t="n">
        <v>54.8</v>
      </c>
      <c r="I856" s="18" t="s">
        <v>513</v>
      </c>
      <c r="J856" s="28" t="n">
        <v>5593.98</v>
      </c>
      <c r="K856" s="12" t="str">
        <f aca="false">TEXT(B856,"yyyy-mm")</f>
        <v>2026-05</v>
      </c>
      <c r="L856" s="21" t="str">
        <f aca="false">IFERROR(INDEX(Projects!$E$2:$E$500,MATCH(C856,Projects!$A$2:$A$500,0)),"")</f>
        <v>Data &amp; AI</v>
      </c>
      <c r="M856" s="31" t="n">
        <f aca="false">IF(I856="Yes",H856*INDEX(Resources!$I$2:$I$500,MATCH(E856,Resources!$A$2:$A$500,0)),0)</f>
        <v>11234</v>
      </c>
    </row>
    <row r="857" customFormat="false" ht="15" hidden="false" customHeight="false" outlineLevel="0" collapsed="false">
      <c r="A857" s="18" t="s">
        <v>1889</v>
      </c>
      <c r="B857" s="19" t="n">
        <v>46173</v>
      </c>
      <c r="C857" s="18" t="s">
        <v>228</v>
      </c>
      <c r="D857" s="18" t="s">
        <v>869</v>
      </c>
      <c r="E857" s="18" t="s">
        <v>354</v>
      </c>
      <c r="F857" s="18"/>
      <c r="G857" s="18" t="s">
        <v>1019</v>
      </c>
      <c r="H857" s="30" t="n">
        <v>60.9</v>
      </c>
      <c r="I857" s="18" t="s">
        <v>513</v>
      </c>
      <c r="J857" s="28" t="n">
        <v>7912.13</v>
      </c>
      <c r="K857" s="12" t="str">
        <f aca="false">TEXT(B857,"yyyy-mm")</f>
        <v>2026-05</v>
      </c>
      <c r="L857" s="21" t="str">
        <f aca="false">IFERROR(INDEX(Projects!$E$2:$E$500,MATCH(C857,Projects!$A$2:$A$500,0)),"")</f>
        <v>Data &amp; AI</v>
      </c>
      <c r="M857" s="31" t="n">
        <f aca="false">IF(I857="Yes",H857*INDEX(Resources!$I$2:$I$500,MATCH(E857,Resources!$A$2:$A$500,0)),0)</f>
        <v>15834</v>
      </c>
    </row>
    <row r="858" customFormat="false" ht="15" hidden="false" customHeight="false" outlineLevel="0" collapsed="false">
      <c r="A858" s="18" t="s">
        <v>1890</v>
      </c>
      <c r="B858" s="19" t="n">
        <v>46173</v>
      </c>
      <c r="C858" s="18" t="s">
        <v>228</v>
      </c>
      <c r="D858" s="18" t="s">
        <v>869</v>
      </c>
      <c r="E858" s="18" t="s">
        <v>417</v>
      </c>
      <c r="F858" s="18"/>
      <c r="G858" s="18" t="s">
        <v>1019</v>
      </c>
      <c r="H858" s="30" t="n">
        <v>102.3</v>
      </c>
      <c r="I858" s="18" t="s">
        <v>513</v>
      </c>
      <c r="J858" s="28" t="n">
        <v>5565.12</v>
      </c>
      <c r="K858" s="12" t="str">
        <f aca="false">TEXT(B858,"yyyy-mm")</f>
        <v>2026-05</v>
      </c>
      <c r="L858" s="21" t="str">
        <f aca="false">IFERROR(INDEX(Projects!$E$2:$E$500,MATCH(C858,Projects!$A$2:$A$500,0)),"")</f>
        <v>Data &amp; AI</v>
      </c>
      <c r="M858" s="31" t="n">
        <f aca="false">IF(I858="Yes",H858*INDEX(Resources!$I$2:$I$500,MATCH(E858,Resources!$A$2:$A$500,0)),0)</f>
        <v>11253</v>
      </c>
    </row>
    <row r="859" customFormat="false" ht="15" hidden="false" customHeight="false" outlineLevel="0" collapsed="false">
      <c r="A859" s="18" t="s">
        <v>1891</v>
      </c>
      <c r="B859" s="19" t="n">
        <v>46173</v>
      </c>
      <c r="C859" s="18" t="s">
        <v>228</v>
      </c>
      <c r="D859" s="18" t="s">
        <v>869</v>
      </c>
      <c r="E859" s="18" t="s">
        <v>454</v>
      </c>
      <c r="F859" s="18"/>
      <c r="G859" s="18" t="s">
        <v>1019</v>
      </c>
      <c r="H859" s="30" t="n">
        <v>194.8</v>
      </c>
      <c r="I859" s="18" t="s">
        <v>513</v>
      </c>
      <c r="J859" s="28" t="n">
        <v>14902.2</v>
      </c>
      <c r="K859" s="12" t="str">
        <f aca="false">TEXT(B859,"yyyy-mm")</f>
        <v>2026-05</v>
      </c>
      <c r="L859" s="21" t="str">
        <f aca="false">IFERROR(INDEX(Projects!$E$2:$E$500,MATCH(C859,Projects!$A$2:$A$500,0)),"")</f>
        <v>Data &amp; AI</v>
      </c>
      <c r="M859" s="31" t="n">
        <f aca="false">IF(I859="Yes",H859*INDEX(Resources!$I$2:$I$500,MATCH(E859,Resources!$A$2:$A$500,0)),0)</f>
        <v>30194</v>
      </c>
    </row>
    <row r="860" customFormat="false" ht="15" hidden="false" customHeight="false" outlineLevel="0" collapsed="false">
      <c r="A860" s="18" t="s">
        <v>1892</v>
      </c>
      <c r="B860" s="19" t="n">
        <v>46173</v>
      </c>
      <c r="C860" s="18" t="s">
        <v>228</v>
      </c>
      <c r="D860" s="18" t="s">
        <v>869</v>
      </c>
      <c r="E860" s="18" t="s">
        <v>462</v>
      </c>
      <c r="F860" s="18"/>
      <c r="G860" s="18" t="s">
        <v>1019</v>
      </c>
      <c r="H860" s="30" t="n">
        <v>67.3</v>
      </c>
      <c r="I860" s="18" t="s">
        <v>513</v>
      </c>
      <c r="J860" s="28" t="n">
        <v>7650.66</v>
      </c>
      <c r="K860" s="12" t="str">
        <f aca="false">TEXT(B860,"yyyy-mm")</f>
        <v>2026-05</v>
      </c>
      <c r="L860" s="21" t="str">
        <f aca="false">IFERROR(INDEX(Projects!$E$2:$E$500,MATCH(C860,Projects!$A$2:$A$500,0)),"")</f>
        <v>Data &amp; AI</v>
      </c>
      <c r="M860" s="31" t="n">
        <f aca="false">IF(I860="Yes",H860*INDEX(Resources!$I$2:$I$500,MATCH(E860,Resources!$A$2:$A$500,0)),0)</f>
        <v>15479</v>
      </c>
    </row>
    <row r="861" customFormat="false" ht="15" hidden="false" customHeight="false" outlineLevel="0" collapsed="false">
      <c r="A861" s="18" t="s">
        <v>1893</v>
      </c>
      <c r="B861" s="19" t="n">
        <v>46173</v>
      </c>
      <c r="C861" s="18" t="s">
        <v>228</v>
      </c>
      <c r="D861" s="18" t="s">
        <v>872</v>
      </c>
      <c r="E861" s="18"/>
      <c r="F861" s="18" t="s">
        <v>1059</v>
      </c>
      <c r="G861" s="18" t="s">
        <v>1026</v>
      </c>
      <c r="H861" s="30" t="n">
        <v>0</v>
      </c>
      <c r="I861" s="18" t="s">
        <v>527</v>
      </c>
      <c r="J861" s="28" t="n">
        <v>1912.15</v>
      </c>
      <c r="K861" s="12" t="str">
        <f aca="false">TEXT(B861,"yyyy-mm")</f>
        <v>2026-05</v>
      </c>
      <c r="L861" s="21" t="str">
        <f aca="false">IFERROR(INDEX(Projects!$E$2:$E$500,MATCH(C861,Projects!$A$2:$A$500,0)),"")</f>
        <v>Data &amp; AI</v>
      </c>
      <c r="M861" s="31" t="n">
        <f aca="false">IF(I861="Yes",H861*INDEX(Resources!$I$2:$I$500,MATCH(E861,Resources!$A$2:$A$500,0)),0)</f>
        <v>0</v>
      </c>
    </row>
    <row r="862" customFormat="false" ht="15" hidden="false" customHeight="false" outlineLevel="0" collapsed="false">
      <c r="A862" s="18" t="s">
        <v>1894</v>
      </c>
      <c r="B862" s="19" t="n">
        <v>46173</v>
      </c>
      <c r="C862" s="18" t="s">
        <v>228</v>
      </c>
      <c r="D862" s="18" t="s">
        <v>876</v>
      </c>
      <c r="E862" s="18"/>
      <c r="F862" s="18" t="s">
        <v>1032</v>
      </c>
      <c r="G862" s="18" t="s">
        <v>1033</v>
      </c>
      <c r="H862" s="30" t="n">
        <v>0</v>
      </c>
      <c r="I862" s="18" t="s">
        <v>527</v>
      </c>
      <c r="J862" s="28" t="n">
        <v>509.26</v>
      </c>
      <c r="K862" s="12" t="str">
        <f aca="false">TEXT(B862,"yyyy-mm")</f>
        <v>2026-05</v>
      </c>
      <c r="L862" s="21" t="str">
        <f aca="false">IFERROR(INDEX(Projects!$E$2:$E$500,MATCH(C862,Projects!$A$2:$A$500,0)),"")</f>
        <v>Data &amp; AI</v>
      </c>
      <c r="M862" s="31" t="n">
        <f aca="false">IF(I862="Yes",H862*INDEX(Resources!$I$2:$I$500,MATCH(E862,Resources!$A$2:$A$500,0)),0)</f>
        <v>0</v>
      </c>
    </row>
    <row r="863" customFormat="false" ht="15" hidden="false" customHeight="false" outlineLevel="0" collapsed="false">
      <c r="A863" s="18" t="s">
        <v>1895</v>
      </c>
      <c r="B863" s="19" t="n">
        <v>46173</v>
      </c>
      <c r="C863" s="18" t="s">
        <v>233</v>
      </c>
      <c r="D863" s="18" t="s">
        <v>869</v>
      </c>
      <c r="E863" s="18" t="s">
        <v>237</v>
      </c>
      <c r="F863" s="18"/>
      <c r="G863" s="18" t="s">
        <v>1019</v>
      </c>
      <c r="H863" s="30" t="n">
        <v>107.6</v>
      </c>
      <c r="I863" s="18" t="s">
        <v>513</v>
      </c>
      <c r="J863" s="28" t="n">
        <v>8048.48</v>
      </c>
      <c r="K863" s="12" t="str">
        <f aca="false">TEXT(B863,"yyyy-mm")</f>
        <v>2026-05</v>
      </c>
      <c r="L863" s="21" t="str">
        <f aca="false">IFERROR(INDEX(Projects!$E$2:$E$500,MATCH(C863,Projects!$A$2:$A$500,0)),"")</f>
        <v>Customer Experience</v>
      </c>
      <c r="M863" s="31" t="n">
        <f aca="false">IF(I863="Yes",H863*INDEX(Resources!$I$2:$I$500,MATCH(E863,Resources!$A$2:$A$500,0)),0)</f>
        <v>16140</v>
      </c>
    </row>
    <row r="864" customFormat="false" ht="15" hidden="false" customHeight="false" outlineLevel="0" collapsed="false">
      <c r="A864" s="18" t="s">
        <v>1896</v>
      </c>
      <c r="B864" s="19" t="n">
        <v>46173</v>
      </c>
      <c r="C864" s="18" t="s">
        <v>233</v>
      </c>
      <c r="D864" s="18" t="s">
        <v>869</v>
      </c>
      <c r="E864" s="18" t="s">
        <v>398</v>
      </c>
      <c r="F864" s="18"/>
      <c r="G864" s="18" t="s">
        <v>1019</v>
      </c>
      <c r="H864" s="30" t="n">
        <v>161</v>
      </c>
      <c r="I864" s="18" t="s">
        <v>513</v>
      </c>
      <c r="J864" s="28" t="n">
        <v>13775.16</v>
      </c>
      <c r="K864" s="12" t="str">
        <f aca="false">TEXT(B864,"yyyy-mm")</f>
        <v>2026-05</v>
      </c>
      <c r="L864" s="21" t="str">
        <f aca="false">IFERROR(INDEX(Projects!$E$2:$E$500,MATCH(C864,Projects!$A$2:$A$500,0)),"")</f>
        <v>Customer Experience</v>
      </c>
      <c r="M864" s="31" t="n">
        <f aca="false">IF(I864="Yes",H864*INDEX(Resources!$I$2:$I$500,MATCH(E864,Resources!$A$2:$A$500,0)),0)</f>
        <v>27370</v>
      </c>
    </row>
    <row r="865" customFormat="false" ht="15" hidden="false" customHeight="false" outlineLevel="0" collapsed="false">
      <c r="A865" s="18" t="s">
        <v>1897</v>
      </c>
      <c r="B865" s="19" t="n">
        <v>46173</v>
      </c>
      <c r="C865" s="18" t="s">
        <v>233</v>
      </c>
      <c r="D865" s="18" t="s">
        <v>869</v>
      </c>
      <c r="E865" s="18" t="s">
        <v>420</v>
      </c>
      <c r="F865" s="18"/>
      <c r="G865" s="18" t="s">
        <v>1019</v>
      </c>
      <c r="H865" s="30" t="n">
        <v>220.4</v>
      </c>
      <c r="I865" s="18" t="s">
        <v>513</v>
      </c>
      <c r="J865" s="28" t="n">
        <v>13118.21</v>
      </c>
      <c r="K865" s="12" t="str">
        <f aca="false">TEXT(B865,"yyyy-mm")</f>
        <v>2026-05</v>
      </c>
      <c r="L865" s="21" t="str">
        <f aca="false">IFERROR(INDEX(Projects!$E$2:$E$500,MATCH(C865,Projects!$A$2:$A$500,0)),"")</f>
        <v>Customer Experience</v>
      </c>
      <c r="M865" s="31" t="n">
        <f aca="false">IF(I865="Yes",H865*INDEX(Resources!$I$2:$I$500,MATCH(E865,Resources!$A$2:$A$500,0)),0)</f>
        <v>26448</v>
      </c>
    </row>
    <row r="866" customFormat="false" ht="15" hidden="false" customHeight="false" outlineLevel="0" collapsed="false">
      <c r="A866" s="18" t="s">
        <v>1898</v>
      </c>
      <c r="B866" s="19" t="n">
        <v>46173</v>
      </c>
      <c r="C866" s="18" t="s">
        <v>233</v>
      </c>
      <c r="D866" s="18" t="s">
        <v>869</v>
      </c>
      <c r="E866" s="18" t="s">
        <v>444</v>
      </c>
      <c r="F866" s="18"/>
      <c r="G866" s="18" t="s">
        <v>1019</v>
      </c>
      <c r="H866" s="30" t="n">
        <v>110.6</v>
      </c>
      <c r="I866" s="18" t="s">
        <v>513</v>
      </c>
      <c r="J866" s="28" t="n">
        <v>5760.05</v>
      </c>
      <c r="K866" s="12" t="str">
        <f aca="false">TEXT(B866,"yyyy-mm")</f>
        <v>2026-05</v>
      </c>
      <c r="L866" s="21" t="str">
        <f aca="false">IFERROR(INDEX(Projects!$E$2:$E$500,MATCH(C866,Projects!$A$2:$A$500,0)),"")</f>
        <v>Customer Experience</v>
      </c>
      <c r="M866" s="31" t="n">
        <f aca="false">IF(I866="Yes",H866*INDEX(Resources!$I$2:$I$500,MATCH(E866,Resources!$A$2:$A$500,0)),0)</f>
        <v>11613</v>
      </c>
    </row>
    <row r="867" customFormat="false" ht="15" hidden="false" customHeight="false" outlineLevel="0" collapsed="false">
      <c r="A867" s="18" t="s">
        <v>1899</v>
      </c>
      <c r="B867" s="19" t="n">
        <v>46173</v>
      </c>
      <c r="C867" s="18" t="s">
        <v>233</v>
      </c>
      <c r="D867" s="18" t="s">
        <v>872</v>
      </c>
      <c r="E867" s="18"/>
      <c r="F867" s="18" t="s">
        <v>353</v>
      </c>
      <c r="G867" s="18" t="s">
        <v>1026</v>
      </c>
      <c r="H867" s="30" t="n">
        <v>0</v>
      </c>
      <c r="I867" s="18" t="s">
        <v>527</v>
      </c>
      <c r="J867" s="28" t="n">
        <v>2309.86</v>
      </c>
      <c r="K867" s="12" t="str">
        <f aca="false">TEXT(B867,"yyyy-mm")</f>
        <v>2026-05</v>
      </c>
      <c r="L867" s="21" t="str">
        <f aca="false">IFERROR(INDEX(Projects!$E$2:$E$500,MATCH(C867,Projects!$A$2:$A$500,0)),"")</f>
        <v>Customer Experience</v>
      </c>
      <c r="M867" s="31" t="n">
        <f aca="false">IF(I867="Yes",H867*INDEX(Resources!$I$2:$I$500,MATCH(E867,Resources!$A$2:$A$500,0)),0)</f>
        <v>0</v>
      </c>
    </row>
    <row r="868" customFormat="false" ht="15" hidden="false" customHeight="false" outlineLevel="0" collapsed="false">
      <c r="A868" s="18" t="s">
        <v>1900</v>
      </c>
      <c r="B868" s="19" t="n">
        <v>46173</v>
      </c>
      <c r="C868" s="18" t="s">
        <v>233</v>
      </c>
      <c r="D868" s="18" t="s">
        <v>874</v>
      </c>
      <c r="E868" s="18"/>
      <c r="F868" s="18" t="s">
        <v>1028</v>
      </c>
      <c r="G868" s="18" t="s">
        <v>1026</v>
      </c>
      <c r="H868" s="30" t="n">
        <v>0</v>
      </c>
      <c r="I868" s="18" t="s">
        <v>527</v>
      </c>
      <c r="J868" s="28" t="n">
        <v>3935.2</v>
      </c>
      <c r="K868" s="12" t="str">
        <f aca="false">TEXT(B868,"yyyy-mm")</f>
        <v>2026-05</v>
      </c>
      <c r="L868" s="21" t="str">
        <f aca="false">IFERROR(INDEX(Projects!$E$2:$E$500,MATCH(C868,Projects!$A$2:$A$500,0)),"")</f>
        <v>Customer Experience</v>
      </c>
      <c r="M868" s="31" t="n">
        <f aca="false">IF(I868="Yes",H868*INDEX(Resources!$I$2:$I$500,MATCH(E868,Resources!$A$2:$A$500,0)),0)</f>
        <v>0</v>
      </c>
    </row>
    <row r="869" customFormat="false" ht="15" hidden="false" customHeight="false" outlineLevel="0" collapsed="false">
      <c r="A869" s="18" t="s">
        <v>1901</v>
      </c>
      <c r="B869" s="19" t="n">
        <v>46173</v>
      </c>
      <c r="C869" s="18" t="s">
        <v>233</v>
      </c>
      <c r="D869" s="18" t="s">
        <v>876</v>
      </c>
      <c r="E869" s="18"/>
      <c r="F869" s="18" t="s">
        <v>1071</v>
      </c>
      <c r="G869" s="18" t="s">
        <v>1033</v>
      </c>
      <c r="H869" s="30" t="n">
        <v>0</v>
      </c>
      <c r="I869" s="18" t="s">
        <v>527</v>
      </c>
      <c r="J869" s="28" t="n">
        <v>722.09</v>
      </c>
      <c r="K869" s="12" t="str">
        <f aca="false">TEXT(B869,"yyyy-mm")</f>
        <v>2026-05</v>
      </c>
      <c r="L869" s="21" t="str">
        <f aca="false">IFERROR(INDEX(Projects!$E$2:$E$500,MATCH(C869,Projects!$A$2:$A$500,0)),"")</f>
        <v>Customer Experience</v>
      </c>
      <c r="M869" s="31" t="n">
        <f aca="false">IF(I869="Yes",H869*INDEX(Resources!$I$2:$I$500,MATCH(E869,Resources!$A$2:$A$500,0)),0)</f>
        <v>0</v>
      </c>
    </row>
    <row r="870" customFormat="false" ht="15" hidden="false" customHeight="false" outlineLevel="0" collapsed="false">
      <c r="A870" s="18" t="s">
        <v>1902</v>
      </c>
      <c r="B870" s="19" t="n">
        <v>46173</v>
      </c>
      <c r="C870" s="18" t="s">
        <v>239</v>
      </c>
      <c r="D870" s="18" t="s">
        <v>869</v>
      </c>
      <c r="E870" s="18" t="s">
        <v>242</v>
      </c>
      <c r="F870" s="18"/>
      <c r="G870" s="18" t="s">
        <v>1019</v>
      </c>
      <c r="H870" s="30" t="n">
        <v>81.1</v>
      </c>
      <c r="I870" s="18" t="s">
        <v>513</v>
      </c>
      <c r="J870" s="28" t="n">
        <v>7707.74</v>
      </c>
      <c r="K870" s="12" t="str">
        <f aca="false">TEXT(B870,"yyyy-mm")</f>
        <v>2026-05</v>
      </c>
      <c r="L870" s="21" t="str">
        <f aca="false">IFERROR(INDEX(Projects!$E$2:$E$500,MATCH(C870,Projects!$A$2:$A$500,0)),"")</f>
        <v>Digital Transformation</v>
      </c>
      <c r="M870" s="31" t="n">
        <f aca="false">IF(I870="Yes",H870*INDEX(Resources!$I$2:$I$500,MATCH(E870,Resources!$A$2:$A$500,0)),0)</f>
        <v>15409</v>
      </c>
    </row>
    <row r="871" customFormat="false" ht="15" hidden="false" customHeight="false" outlineLevel="0" collapsed="false">
      <c r="A871" s="18" t="s">
        <v>1903</v>
      </c>
      <c r="B871" s="19" t="n">
        <v>46173</v>
      </c>
      <c r="C871" s="18" t="s">
        <v>239</v>
      </c>
      <c r="D871" s="18" t="s">
        <v>869</v>
      </c>
      <c r="E871" s="18" t="s">
        <v>360</v>
      </c>
      <c r="F871" s="18"/>
      <c r="G871" s="18" t="s">
        <v>1019</v>
      </c>
      <c r="H871" s="30" t="n">
        <v>88.4</v>
      </c>
      <c r="I871" s="18" t="s">
        <v>513</v>
      </c>
      <c r="J871" s="28" t="n">
        <v>9207.74</v>
      </c>
      <c r="K871" s="12" t="str">
        <f aca="false">TEXT(B871,"yyyy-mm")</f>
        <v>2026-05</v>
      </c>
      <c r="L871" s="21" t="str">
        <f aca="false">IFERROR(INDEX(Projects!$E$2:$E$500,MATCH(C871,Projects!$A$2:$A$500,0)),"")</f>
        <v>Digital Transformation</v>
      </c>
      <c r="M871" s="31" t="n">
        <f aca="false">IF(I871="Yes",H871*INDEX(Resources!$I$2:$I$500,MATCH(E871,Resources!$A$2:$A$500,0)),0)</f>
        <v>18564</v>
      </c>
    </row>
    <row r="872" customFormat="false" ht="15" hidden="false" customHeight="false" outlineLevel="0" collapsed="false">
      <c r="A872" s="18" t="s">
        <v>1904</v>
      </c>
      <c r="B872" s="19" t="n">
        <v>46173</v>
      </c>
      <c r="C872" s="18" t="s">
        <v>239</v>
      </c>
      <c r="D872" s="18" t="s">
        <v>869</v>
      </c>
      <c r="E872" s="18" t="s">
        <v>371</v>
      </c>
      <c r="F872" s="18"/>
      <c r="G872" s="18" t="s">
        <v>1019</v>
      </c>
      <c r="H872" s="30" t="n">
        <v>87.5</v>
      </c>
      <c r="I872" s="18" t="s">
        <v>513</v>
      </c>
      <c r="J872" s="28" t="n">
        <v>5533.5</v>
      </c>
      <c r="K872" s="12" t="str">
        <f aca="false">TEXT(B872,"yyyy-mm")</f>
        <v>2026-05</v>
      </c>
      <c r="L872" s="21" t="str">
        <f aca="false">IFERROR(INDEX(Projects!$E$2:$E$500,MATCH(C872,Projects!$A$2:$A$500,0)),"")</f>
        <v>Digital Transformation</v>
      </c>
      <c r="M872" s="31" t="n">
        <f aca="false">IF(I872="Yes",H872*INDEX(Resources!$I$2:$I$500,MATCH(E872,Resources!$A$2:$A$500,0)),0)</f>
        <v>11375</v>
      </c>
    </row>
    <row r="873" customFormat="false" ht="15" hidden="false" customHeight="false" outlineLevel="0" collapsed="false">
      <c r="A873" s="18" t="s">
        <v>1905</v>
      </c>
      <c r="B873" s="19" t="n">
        <v>46173</v>
      </c>
      <c r="C873" s="18" t="s">
        <v>239</v>
      </c>
      <c r="D873" s="18" t="s">
        <v>869</v>
      </c>
      <c r="E873" s="18" t="s">
        <v>400</v>
      </c>
      <c r="F873" s="18"/>
      <c r="G873" s="18" t="s">
        <v>1019</v>
      </c>
      <c r="H873" s="30" t="n">
        <v>130.1</v>
      </c>
      <c r="I873" s="18" t="s">
        <v>513</v>
      </c>
      <c r="J873" s="28" t="n">
        <v>12926.74</v>
      </c>
      <c r="K873" s="12" t="str">
        <f aca="false">TEXT(B873,"yyyy-mm")</f>
        <v>2026-05</v>
      </c>
      <c r="L873" s="21" t="str">
        <f aca="false">IFERROR(INDEX(Projects!$E$2:$E$500,MATCH(C873,Projects!$A$2:$A$500,0)),"")</f>
        <v>Digital Transformation</v>
      </c>
      <c r="M873" s="31" t="n">
        <f aca="false">IF(I873="Yes",H873*INDEX(Resources!$I$2:$I$500,MATCH(E873,Resources!$A$2:$A$500,0)),0)</f>
        <v>26020</v>
      </c>
    </row>
    <row r="874" customFormat="false" ht="15" hidden="false" customHeight="false" outlineLevel="0" collapsed="false">
      <c r="A874" s="18" t="s">
        <v>1906</v>
      </c>
      <c r="B874" s="19" t="n">
        <v>46173</v>
      </c>
      <c r="C874" s="18" t="s">
        <v>239</v>
      </c>
      <c r="D874" s="18" t="s">
        <v>869</v>
      </c>
      <c r="E874" s="18" t="s">
        <v>422</v>
      </c>
      <c r="F874" s="18"/>
      <c r="G874" s="18" t="s">
        <v>1019</v>
      </c>
      <c r="H874" s="30" t="n">
        <v>76.3</v>
      </c>
      <c r="I874" s="18" t="s">
        <v>513</v>
      </c>
      <c r="J874" s="28" t="n">
        <v>4541.38</v>
      </c>
      <c r="K874" s="12" t="str">
        <f aca="false">TEXT(B874,"yyyy-mm")</f>
        <v>2026-05</v>
      </c>
      <c r="L874" s="21" t="str">
        <f aca="false">IFERROR(INDEX(Projects!$E$2:$E$500,MATCH(C874,Projects!$A$2:$A$500,0)),"")</f>
        <v>Digital Transformation</v>
      </c>
      <c r="M874" s="31" t="n">
        <f aca="false">IF(I874="Yes",H874*INDEX(Resources!$I$2:$I$500,MATCH(E874,Resources!$A$2:$A$500,0)),0)</f>
        <v>9156</v>
      </c>
    </row>
    <row r="875" customFormat="false" ht="15" hidden="false" customHeight="false" outlineLevel="0" collapsed="false">
      <c r="A875" s="18" t="s">
        <v>1907</v>
      </c>
      <c r="B875" s="19" t="n">
        <v>46173</v>
      </c>
      <c r="C875" s="18" t="s">
        <v>239</v>
      </c>
      <c r="D875" s="18" t="s">
        <v>872</v>
      </c>
      <c r="E875" s="18"/>
      <c r="F875" s="18" t="s">
        <v>1059</v>
      </c>
      <c r="G875" s="18" t="s">
        <v>1026</v>
      </c>
      <c r="H875" s="30" t="n">
        <v>0</v>
      </c>
      <c r="I875" s="18" t="s">
        <v>527</v>
      </c>
      <c r="J875" s="28" t="n">
        <v>3499.65</v>
      </c>
      <c r="K875" s="12" t="str">
        <f aca="false">TEXT(B875,"yyyy-mm")</f>
        <v>2026-05</v>
      </c>
      <c r="L875" s="21" t="str">
        <f aca="false">IFERROR(INDEX(Projects!$E$2:$E$500,MATCH(C875,Projects!$A$2:$A$500,0)),"")</f>
        <v>Digital Transformation</v>
      </c>
      <c r="M875" s="31" t="n">
        <f aca="false">IF(I875="Yes",H875*INDEX(Resources!$I$2:$I$500,MATCH(E875,Resources!$A$2:$A$500,0)),0)</f>
        <v>0</v>
      </c>
    </row>
    <row r="876" customFormat="false" ht="15" hidden="false" customHeight="false" outlineLevel="0" collapsed="false">
      <c r="A876" s="18" t="s">
        <v>1908</v>
      </c>
      <c r="B876" s="19" t="n">
        <v>46173</v>
      </c>
      <c r="C876" s="18" t="s">
        <v>239</v>
      </c>
      <c r="D876" s="18" t="s">
        <v>874</v>
      </c>
      <c r="E876" s="18"/>
      <c r="F876" s="18" t="s">
        <v>1028</v>
      </c>
      <c r="G876" s="18" t="s">
        <v>1026</v>
      </c>
      <c r="H876" s="30" t="n">
        <v>0</v>
      </c>
      <c r="I876" s="18" t="s">
        <v>527</v>
      </c>
      <c r="J876" s="28" t="n">
        <v>4659.88</v>
      </c>
      <c r="K876" s="12" t="str">
        <f aca="false">TEXT(B876,"yyyy-mm")</f>
        <v>2026-05</v>
      </c>
      <c r="L876" s="21" t="str">
        <f aca="false">IFERROR(INDEX(Projects!$E$2:$E$500,MATCH(C876,Projects!$A$2:$A$500,0)),"")</f>
        <v>Digital Transformation</v>
      </c>
      <c r="M876" s="31" t="n">
        <f aca="false">IF(I876="Yes",H876*INDEX(Resources!$I$2:$I$500,MATCH(E876,Resources!$A$2:$A$500,0)),0)</f>
        <v>0</v>
      </c>
    </row>
    <row r="877" customFormat="false" ht="15" hidden="false" customHeight="false" outlineLevel="0" collapsed="false">
      <c r="A877" s="18" t="s">
        <v>1909</v>
      </c>
      <c r="B877" s="19" t="n">
        <v>46173</v>
      </c>
      <c r="C877" s="18" t="s">
        <v>239</v>
      </c>
      <c r="D877" s="18" t="s">
        <v>495</v>
      </c>
      <c r="E877" s="18"/>
      <c r="F877" s="18" t="s">
        <v>1373</v>
      </c>
      <c r="G877" s="18" t="s">
        <v>1026</v>
      </c>
      <c r="H877" s="30" t="n">
        <v>0</v>
      </c>
      <c r="I877" s="18" t="s">
        <v>527</v>
      </c>
      <c r="J877" s="28" t="n">
        <v>1321.27</v>
      </c>
      <c r="K877" s="12" t="str">
        <f aca="false">TEXT(B877,"yyyy-mm")</f>
        <v>2026-05</v>
      </c>
      <c r="L877" s="21" t="str">
        <f aca="false">IFERROR(INDEX(Projects!$E$2:$E$500,MATCH(C877,Projects!$A$2:$A$500,0)),"")</f>
        <v>Digital Transformation</v>
      </c>
      <c r="M877" s="31" t="n">
        <f aca="false">IF(I877="Yes",H877*INDEX(Resources!$I$2:$I$500,MATCH(E877,Resources!$A$2:$A$500,0)),0)</f>
        <v>0</v>
      </c>
    </row>
    <row r="878" customFormat="false" ht="15" hidden="false" customHeight="false" outlineLevel="0" collapsed="false">
      <c r="A878" s="18" t="s">
        <v>1910</v>
      </c>
      <c r="B878" s="19" t="n">
        <v>46173</v>
      </c>
      <c r="C878" s="18" t="s">
        <v>239</v>
      </c>
      <c r="D878" s="18" t="s">
        <v>876</v>
      </c>
      <c r="E878" s="18"/>
      <c r="F878" s="18" t="s">
        <v>1071</v>
      </c>
      <c r="G878" s="18" t="s">
        <v>1033</v>
      </c>
      <c r="H878" s="30" t="n">
        <v>0</v>
      </c>
      <c r="I878" s="18" t="s">
        <v>527</v>
      </c>
      <c r="J878" s="28" t="n">
        <v>853.98</v>
      </c>
      <c r="K878" s="12" t="str">
        <f aca="false">TEXT(B878,"yyyy-mm")</f>
        <v>2026-05</v>
      </c>
      <c r="L878" s="21" t="str">
        <f aca="false">IFERROR(INDEX(Projects!$E$2:$E$500,MATCH(C878,Projects!$A$2:$A$500,0)),"")</f>
        <v>Digital Transformation</v>
      </c>
      <c r="M878" s="31" t="n">
        <f aca="false">IF(I878="Yes",H878*INDEX(Resources!$I$2:$I$500,MATCH(E878,Resources!$A$2:$A$500,0)),0)</f>
        <v>0</v>
      </c>
    </row>
    <row r="879" customFormat="false" ht="15" hidden="false" customHeight="false" outlineLevel="0" collapsed="false">
      <c r="A879" s="18" t="s">
        <v>1911</v>
      </c>
      <c r="B879" s="19" t="n">
        <v>46173</v>
      </c>
      <c r="C879" s="18" t="s">
        <v>244</v>
      </c>
      <c r="D879" s="18" t="s">
        <v>889</v>
      </c>
      <c r="E879" s="18"/>
      <c r="F879" s="18" t="s">
        <v>474</v>
      </c>
      <c r="G879" s="18" t="s">
        <v>1026</v>
      </c>
      <c r="H879" s="30" t="n">
        <v>0</v>
      </c>
      <c r="I879" s="18" t="s">
        <v>527</v>
      </c>
      <c r="J879" s="28" t="n">
        <v>4892.07</v>
      </c>
      <c r="K879" s="12" t="str">
        <f aca="false">TEXT(B879,"yyyy-mm")</f>
        <v>2026-05</v>
      </c>
      <c r="L879" s="21" t="str">
        <f aca="false">IFERROR(INDEX(Projects!$E$2:$E$500,MATCH(C879,Projects!$A$2:$A$500,0)),"")</f>
        <v>Cloud &amp; Infrastructure</v>
      </c>
      <c r="M879" s="31" t="n">
        <f aca="false">IF(I879="Yes",H879*INDEX(Resources!$I$2:$I$500,MATCH(E879,Resources!$A$2:$A$500,0)),0)</f>
        <v>0</v>
      </c>
    </row>
    <row r="880" customFormat="false" ht="15" hidden="false" customHeight="false" outlineLevel="0" collapsed="false">
      <c r="A880" s="18" t="s">
        <v>1912</v>
      </c>
      <c r="B880" s="19" t="n">
        <v>46173</v>
      </c>
      <c r="C880" s="18" t="s">
        <v>244</v>
      </c>
      <c r="D880" s="18" t="s">
        <v>869</v>
      </c>
      <c r="E880" s="18" t="s">
        <v>247</v>
      </c>
      <c r="F880" s="18"/>
      <c r="G880" s="18" t="s">
        <v>1019</v>
      </c>
      <c r="H880" s="30" t="n">
        <v>51.4</v>
      </c>
      <c r="I880" s="18" t="s">
        <v>527</v>
      </c>
      <c r="J880" s="28" t="n">
        <v>4523.2</v>
      </c>
      <c r="K880" s="12" t="str">
        <f aca="false">TEXT(B880,"yyyy-mm")</f>
        <v>2026-05</v>
      </c>
      <c r="L880" s="21" t="str">
        <f aca="false">IFERROR(INDEX(Projects!$E$2:$E$500,MATCH(C880,Projects!$A$2:$A$500,0)),"")</f>
        <v>Cloud &amp; Infrastructure</v>
      </c>
      <c r="M880" s="31" t="n">
        <f aca="false">IF(I880="Yes",H880*INDEX(Resources!$I$2:$I$500,MATCH(E880,Resources!$A$2:$A$500,0)),0)</f>
        <v>0</v>
      </c>
    </row>
    <row r="881" customFormat="false" ht="15" hidden="false" customHeight="false" outlineLevel="0" collapsed="false">
      <c r="A881" s="18" t="s">
        <v>1913</v>
      </c>
      <c r="B881" s="19" t="n">
        <v>46173</v>
      </c>
      <c r="C881" s="18" t="s">
        <v>244</v>
      </c>
      <c r="D881" s="18" t="s">
        <v>869</v>
      </c>
      <c r="E881" s="18" t="s">
        <v>354</v>
      </c>
      <c r="F881" s="18"/>
      <c r="G881" s="18" t="s">
        <v>1019</v>
      </c>
      <c r="H881" s="30" t="n">
        <v>53</v>
      </c>
      <c r="I881" s="18" t="s">
        <v>513</v>
      </c>
      <c r="J881" s="28" t="n">
        <v>6885.76</v>
      </c>
      <c r="K881" s="12" t="str">
        <f aca="false">TEXT(B881,"yyyy-mm")</f>
        <v>2026-05</v>
      </c>
      <c r="L881" s="21" t="str">
        <f aca="false">IFERROR(INDEX(Projects!$E$2:$E$500,MATCH(C881,Projects!$A$2:$A$500,0)),"")</f>
        <v>Cloud &amp; Infrastructure</v>
      </c>
      <c r="M881" s="31" t="n">
        <f aca="false">IF(I881="Yes",H881*INDEX(Resources!$I$2:$I$500,MATCH(E881,Resources!$A$2:$A$500,0)),0)</f>
        <v>13780</v>
      </c>
    </row>
    <row r="882" customFormat="false" ht="15" hidden="false" customHeight="false" outlineLevel="0" collapsed="false">
      <c r="A882" s="18" t="s">
        <v>1914</v>
      </c>
      <c r="B882" s="19" t="n">
        <v>46173</v>
      </c>
      <c r="C882" s="18" t="s">
        <v>244</v>
      </c>
      <c r="D882" s="18" t="s">
        <v>869</v>
      </c>
      <c r="E882" s="18" t="s">
        <v>405</v>
      </c>
      <c r="F882" s="18"/>
      <c r="G882" s="18" t="s">
        <v>1019</v>
      </c>
      <c r="H882" s="30" t="n">
        <v>92.7</v>
      </c>
      <c r="I882" s="18" t="s">
        <v>513</v>
      </c>
      <c r="J882" s="28" t="n">
        <v>9210.67</v>
      </c>
      <c r="K882" s="12" t="str">
        <f aca="false">TEXT(B882,"yyyy-mm")</f>
        <v>2026-05</v>
      </c>
      <c r="L882" s="21" t="str">
        <f aca="false">IFERROR(INDEX(Projects!$E$2:$E$500,MATCH(C882,Projects!$A$2:$A$500,0)),"")</f>
        <v>Cloud &amp; Infrastructure</v>
      </c>
      <c r="M882" s="31" t="n">
        <f aca="false">IF(I882="Yes",H882*INDEX(Resources!$I$2:$I$500,MATCH(E882,Resources!$A$2:$A$500,0)),0)</f>
        <v>18540</v>
      </c>
    </row>
    <row r="883" customFormat="false" ht="15" hidden="false" customHeight="false" outlineLevel="0" collapsed="false">
      <c r="A883" s="18" t="s">
        <v>1915</v>
      </c>
      <c r="B883" s="19" t="n">
        <v>46173</v>
      </c>
      <c r="C883" s="18" t="s">
        <v>244</v>
      </c>
      <c r="D883" s="18" t="s">
        <v>869</v>
      </c>
      <c r="E883" s="18" t="s">
        <v>475</v>
      </c>
      <c r="F883" s="18"/>
      <c r="G883" s="18" t="s">
        <v>1019</v>
      </c>
      <c r="H883" s="30" t="n">
        <v>155.5</v>
      </c>
      <c r="I883" s="18" t="s">
        <v>513</v>
      </c>
      <c r="J883" s="28" t="n">
        <v>18271.25</v>
      </c>
      <c r="K883" s="12" t="str">
        <f aca="false">TEXT(B883,"yyyy-mm")</f>
        <v>2026-05</v>
      </c>
      <c r="L883" s="21" t="str">
        <f aca="false">IFERROR(INDEX(Projects!$E$2:$E$500,MATCH(C883,Projects!$A$2:$A$500,0)),"")</f>
        <v>Cloud &amp; Infrastructure</v>
      </c>
      <c r="M883" s="31" t="n">
        <f aca="false">IF(I883="Yes",H883*INDEX(Resources!$I$2:$I$500,MATCH(E883,Resources!$A$2:$A$500,0)),0)</f>
        <v>29545</v>
      </c>
    </row>
    <row r="884" customFormat="false" ht="15" hidden="false" customHeight="false" outlineLevel="0" collapsed="false">
      <c r="A884" s="18" t="s">
        <v>1916</v>
      </c>
      <c r="B884" s="19" t="n">
        <v>46173</v>
      </c>
      <c r="C884" s="18" t="s">
        <v>244</v>
      </c>
      <c r="D884" s="18" t="s">
        <v>869</v>
      </c>
      <c r="E884" s="18" t="s">
        <v>487</v>
      </c>
      <c r="F884" s="18"/>
      <c r="G884" s="18" t="s">
        <v>1019</v>
      </c>
      <c r="H884" s="30" t="n">
        <v>97.1</v>
      </c>
      <c r="I884" s="18" t="s">
        <v>513</v>
      </c>
      <c r="J884" s="28" t="n">
        <v>7766.06</v>
      </c>
      <c r="K884" s="12" t="str">
        <f aca="false">TEXT(B884,"yyyy-mm")</f>
        <v>2026-05</v>
      </c>
      <c r="L884" s="21" t="str">
        <f aca="false">IFERROR(INDEX(Projects!$E$2:$E$500,MATCH(C884,Projects!$A$2:$A$500,0)),"")</f>
        <v>Cloud &amp; Infrastructure</v>
      </c>
      <c r="M884" s="31" t="n">
        <f aca="false">IF(I884="Yes",H884*INDEX(Resources!$I$2:$I$500,MATCH(E884,Resources!$A$2:$A$500,0)),0)</f>
        <v>16021.5</v>
      </c>
    </row>
    <row r="885" customFormat="false" ht="15" hidden="false" customHeight="false" outlineLevel="0" collapsed="false">
      <c r="A885" s="18" t="s">
        <v>1917</v>
      </c>
      <c r="B885" s="19" t="n">
        <v>46173</v>
      </c>
      <c r="C885" s="18" t="s">
        <v>244</v>
      </c>
      <c r="D885" s="18" t="s">
        <v>872</v>
      </c>
      <c r="E885" s="18"/>
      <c r="F885" s="18" t="s">
        <v>1025</v>
      </c>
      <c r="G885" s="18" t="s">
        <v>1026</v>
      </c>
      <c r="H885" s="30" t="n">
        <v>0</v>
      </c>
      <c r="I885" s="18" t="s">
        <v>527</v>
      </c>
      <c r="J885" s="28" t="n">
        <v>2223.17</v>
      </c>
      <c r="K885" s="12" t="str">
        <f aca="false">TEXT(B885,"yyyy-mm")</f>
        <v>2026-05</v>
      </c>
      <c r="L885" s="21" t="str">
        <f aca="false">IFERROR(INDEX(Projects!$E$2:$E$500,MATCH(C885,Projects!$A$2:$A$500,0)),"")</f>
        <v>Cloud &amp; Infrastructure</v>
      </c>
      <c r="M885" s="31" t="n">
        <f aca="false">IF(I885="Yes",H885*INDEX(Resources!$I$2:$I$500,MATCH(E885,Resources!$A$2:$A$500,0)),0)</f>
        <v>0</v>
      </c>
    </row>
    <row r="886" customFormat="false" ht="15" hidden="false" customHeight="false" outlineLevel="0" collapsed="false">
      <c r="A886" s="18" t="s">
        <v>1918</v>
      </c>
      <c r="B886" s="19" t="n">
        <v>46173</v>
      </c>
      <c r="C886" s="18" t="s">
        <v>244</v>
      </c>
      <c r="D886" s="18" t="s">
        <v>876</v>
      </c>
      <c r="E886" s="18"/>
      <c r="F886" s="18" t="s">
        <v>1032</v>
      </c>
      <c r="G886" s="18" t="s">
        <v>1033</v>
      </c>
      <c r="H886" s="30" t="n">
        <v>0</v>
      </c>
      <c r="I886" s="18" t="s">
        <v>527</v>
      </c>
      <c r="J886" s="28" t="n">
        <v>912.66</v>
      </c>
      <c r="K886" s="12" t="str">
        <f aca="false">TEXT(B886,"yyyy-mm")</f>
        <v>2026-05</v>
      </c>
      <c r="L886" s="21" t="str">
        <f aca="false">IFERROR(INDEX(Projects!$E$2:$E$500,MATCH(C886,Projects!$A$2:$A$500,0)),"")</f>
        <v>Cloud &amp; Infrastructure</v>
      </c>
      <c r="M886" s="31" t="n">
        <f aca="false">IF(I886="Yes",H886*INDEX(Resources!$I$2:$I$500,MATCH(E886,Resources!$A$2:$A$500,0)),0)</f>
        <v>0</v>
      </c>
    </row>
    <row r="887" customFormat="false" ht="15" hidden="false" customHeight="false" outlineLevel="0" collapsed="false">
      <c r="A887" s="18" t="s">
        <v>1919</v>
      </c>
      <c r="B887" s="19" t="n">
        <v>46173</v>
      </c>
      <c r="C887" s="18" t="s">
        <v>249</v>
      </c>
      <c r="D887" s="18" t="s">
        <v>869</v>
      </c>
      <c r="E887" s="18" t="s">
        <v>218</v>
      </c>
      <c r="F887" s="18"/>
      <c r="G887" s="18" t="s">
        <v>1019</v>
      </c>
      <c r="H887" s="30" t="n">
        <v>75.2</v>
      </c>
      <c r="I887" s="18" t="s">
        <v>513</v>
      </c>
      <c r="J887" s="28" t="n">
        <v>5624.96</v>
      </c>
      <c r="K887" s="12" t="str">
        <f aca="false">TEXT(B887,"yyyy-mm")</f>
        <v>2026-05</v>
      </c>
      <c r="L887" s="21" t="str">
        <f aca="false">IFERROR(INDEX(Projects!$E$2:$E$500,MATCH(C887,Projects!$A$2:$A$500,0)),"")</f>
        <v>Operational Excellence</v>
      </c>
      <c r="M887" s="31" t="n">
        <f aca="false">IF(I887="Yes",H887*INDEX(Resources!$I$2:$I$500,MATCH(E887,Resources!$A$2:$A$500,0)),0)</f>
        <v>11280</v>
      </c>
    </row>
    <row r="888" customFormat="false" ht="15" hidden="false" customHeight="false" outlineLevel="0" collapsed="false">
      <c r="A888" s="18" t="s">
        <v>1920</v>
      </c>
      <c r="B888" s="19" t="n">
        <v>46173</v>
      </c>
      <c r="C888" s="18" t="s">
        <v>249</v>
      </c>
      <c r="D888" s="18" t="s">
        <v>869</v>
      </c>
      <c r="E888" s="18" t="s">
        <v>373</v>
      </c>
      <c r="F888" s="18"/>
      <c r="G888" s="18" t="s">
        <v>1019</v>
      </c>
      <c r="H888" s="30" t="n">
        <v>82.6</v>
      </c>
      <c r="I888" s="18" t="s">
        <v>513</v>
      </c>
      <c r="J888" s="28" t="n">
        <v>6066.14</v>
      </c>
      <c r="K888" s="12" t="str">
        <f aca="false">TEXT(B888,"yyyy-mm")</f>
        <v>2026-05</v>
      </c>
      <c r="L888" s="21" t="str">
        <f aca="false">IFERROR(INDEX(Projects!$E$2:$E$500,MATCH(C888,Projects!$A$2:$A$500,0)),"")</f>
        <v>Operational Excellence</v>
      </c>
      <c r="M888" s="31" t="n">
        <f aca="false">IF(I888="Yes",H888*INDEX(Resources!$I$2:$I$500,MATCH(E888,Resources!$A$2:$A$500,0)),0)</f>
        <v>12390</v>
      </c>
    </row>
    <row r="889" customFormat="false" ht="15" hidden="false" customHeight="false" outlineLevel="0" collapsed="false">
      <c r="A889" s="18" t="s">
        <v>1921</v>
      </c>
      <c r="B889" s="19" t="n">
        <v>46173</v>
      </c>
      <c r="C889" s="18" t="s">
        <v>249</v>
      </c>
      <c r="D889" s="18" t="s">
        <v>869</v>
      </c>
      <c r="E889" s="18" t="s">
        <v>403</v>
      </c>
      <c r="F889" s="18"/>
      <c r="G889" s="18" t="s">
        <v>1019</v>
      </c>
      <c r="H889" s="30" t="n">
        <v>127.4</v>
      </c>
      <c r="I889" s="18" t="s">
        <v>513</v>
      </c>
      <c r="J889" s="28" t="n">
        <v>10900.34</v>
      </c>
      <c r="K889" s="12" t="str">
        <f aca="false">TEXT(B889,"yyyy-mm")</f>
        <v>2026-05</v>
      </c>
      <c r="L889" s="21" t="str">
        <f aca="false">IFERROR(INDEX(Projects!$E$2:$E$500,MATCH(C889,Projects!$A$2:$A$500,0)),"")</f>
        <v>Operational Excellence</v>
      </c>
      <c r="M889" s="31" t="n">
        <f aca="false">IF(I889="Yes",H889*INDEX(Resources!$I$2:$I$500,MATCH(E889,Resources!$A$2:$A$500,0)),0)</f>
        <v>21658</v>
      </c>
    </row>
    <row r="890" customFormat="false" ht="15" hidden="false" customHeight="false" outlineLevel="0" collapsed="false">
      <c r="A890" s="18" t="s">
        <v>1922</v>
      </c>
      <c r="B890" s="19" t="n">
        <v>46173</v>
      </c>
      <c r="C890" s="18" t="s">
        <v>249</v>
      </c>
      <c r="D890" s="18" t="s">
        <v>869</v>
      </c>
      <c r="E890" s="18" t="s">
        <v>424</v>
      </c>
      <c r="F890" s="18"/>
      <c r="G890" s="18" t="s">
        <v>1019</v>
      </c>
      <c r="H890" s="30" t="n">
        <v>119.3</v>
      </c>
      <c r="I890" s="18" t="s">
        <v>513</v>
      </c>
      <c r="J890" s="28" t="n">
        <v>8112.4</v>
      </c>
      <c r="K890" s="12" t="str">
        <f aca="false">TEXT(B890,"yyyy-mm")</f>
        <v>2026-05</v>
      </c>
      <c r="L890" s="21" t="str">
        <f aca="false">IFERROR(INDEX(Projects!$E$2:$E$500,MATCH(C890,Projects!$A$2:$A$500,0)),"")</f>
        <v>Operational Excellence</v>
      </c>
      <c r="M890" s="31" t="n">
        <f aca="false">IF(I890="Yes",H890*INDEX(Resources!$I$2:$I$500,MATCH(E890,Resources!$A$2:$A$500,0)),0)</f>
        <v>13123</v>
      </c>
    </row>
    <row r="891" customFormat="false" ht="15" hidden="false" customHeight="false" outlineLevel="0" collapsed="false">
      <c r="A891" s="18" t="s">
        <v>1923</v>
      </c>
      <c r="B891" s="19" t="n">
        <v>46173</v>
      </c>
      <c r="C891" s="18" t="s">
        <v>249</v>
      </c>
      <c r="D891" s="18" t="s">
        <v>872</v>
      </c>
      <c r="E891" s="18"/>
      <c r="F891" s="18" t="s">
        <v>1924</v>
      </c>
      <c r="G891" s="18" t="s">
        <v>1026</v>
      </c>
      <c r="H891" s="30" t="n">
        <v>0</v>
      </c>
      <c r="I891" s="18" t="s">
        <v>527</v>
      </c>
      <c r="J891" s="28" t="n">
        <v>1334.56</v>
      </c>
      <c r="K891" s="12" t="str">
        <f aca="false">TEXT(B891,"yyyy-mm")</f>
        <v>2026-05</v>
      </c>
      <c r="L891" s="21" t="str">
        <f aca="false">IFERROR(INDEX(Projects!$E$2:$E$500,MATCH(C891,Projects!$A$2:$A$500,0)),"")</f>
        <v>Operational Excellence</v>
      </c>
      <c r="M891" s="31" t="n">
        <f aca="false">IF(I891="Yes",H891*INDEX(Resources!$I$2:$I$500,MATCH(E891,Resources!$A$2:$A$500,0)),0)</f>
        <v>0</v>
      </c>
    </row>
    <row r="892" customFormat="false" ht="15" hidden="false" customHeight="false" outlineLevel="0" collapsed="false">
      <c r="A892" s="18" t="s">
        <v>1925</v>
      </c>
      <c r="B892" s="19" t="n">
        <v>46173</v>
      </c>
      <c r="C892" s="18" t="s">
        <v>249</v>
      </c>
      <c r="D892" s="18" t="s">
        <v>495</v>
      </c>
      <c r="E892" s="18"/>
      <c r="F892" s="18" t="s">
        <v>1373</v>
      </c>
      <c r="G892" s="18" t="s">
        <v>1026</v>
      </c>
      <c r="H892" s="30" t="n">
        <v>0</v>
      </c>
      <c r="I892" s="18" t="s">
        <v>527</v>
      </c>
      <c r="J892" s="28" t="n">
        <v>931.6</v>
      </c>
      <c r="K892" s="12" t="str">
        <f aca="false">TEXT(B892,"yyyy-mm")</f>
        <v>2026-05</v>
      </c>
      <c r="L892" s="21" t="str">
        <f aca="false">IFERROR(INDEX(Projects!$E$2:$E$500,MATCH(C892,Projects!$A$2:$A$500,0)),"")</f>
        <v>Operational Excellence</v>
      </c>
      <c r="M892" s="31" t="n">
        <f aca="false">IF(I892="Yes",H892*INDEX(Resources!$I$2:$I$500,MATCH(E892,Resources!$A$2:$A$500,0)),0)</f>
        <v>0</v>
      </c>
    </row>
    <row r="893" customFormat="false" ht="15" hidden="false" customHeight="false" outlineLevel="0" collapsed="false">
      <c r="A893" s="18" t="s">
        <v>1926</v>
      </c>
      <c r="B893" s="19" t="n">
        <v>46173</v>
      </c>
      <c r="C893" s="18" t="s">
        <v>249</v>
      </c>
      <c r="D893" s="18" t="s">
        <v>876</v>
      </c>
      <c r="E893" s="18"/>
      <c r="F893" s="18" t="s">
        <v>1071</v>
      </c>
      <c r="G893" s="18" t="s">
        <v>1033</v>
      </c>
      <c r="H893" s="30" t="n">
        <v>0</v>
      </c>
      <c r="I893" s="18" t="s">
        <v>527</v>
      </c>
      <c r="J893" s="28" t="n">
        <v>653.79</v>
      </c>
      <c r="K893" s="12" t="str">
        <f aca="false">TEXT(B893,"yyyy-mm")</f>
        <v>2026-05</v>
      </c>
      <c r="L893" s="21" t="str">
        <f aca="false">IFERROR(INDEX(Projects!$E$2:$E$500,MATCH(C893,Projects!$A$2:$A$500,0)),"")</f>
        <v>Operational Excellence</v>
      </c>
      <c r="M893" s="31" t="n">
        <f aca="false">IF(I893="Yes",H893*INDEX(Resources!$I$2:$I$500,MATCH(E893,Resources!$A$2:$A$500,0)),0)</f>
        <v>0</v>
      </c>
    </row>
    <row r="894" customFormat="false" ht="15" hidden="false" customHeight="false" outlineLevel="0" collapsed="false">
      <c r="A894" s="18" t="s">
        <v>1927</v>
      </c>
      <c r="B894" s="19" t="n">
        <v>46173</v>
      </c>
      <c r="C894" s="18" t="s">
        <v>253</v>
      </c>
      <c r="D894" s="18" t="s">
        <v>869</v>
      </c>
      <c r="E894" s="18" t="s">
        <v>231</v>
      </c>
      <c r="F894" s="18"/>
      <c r="G894" s="18" t="s">
        <v>1019</v>
      </c>
      <c r="H894" s="30" t="n">
        <v>113.9</v>
      </c>
      <c r="I894" s="18" t="s">
        <v>513</v>
      </c>
      <c r="J894" s="28" t="n">
        <v>11626.91</v>
      </c>
      <c r="K894" s="12" t="str">
        <f aca="false">TEXT(B894,"yyyy-mm")</f>
        <v>2026-05</v>
      </c>
      <c r="L894" s="21" t="str">
        <f aca="false">IFERROR(INDEX(Projects!$E$2:$E$500,MATCH(C894,Projects!$A$2:$A$500,0)),"")</f>
        <v>Customer Experience</v>
      </c>
      <c r="M894" s="31" t="n">
        <f aca="false">IF(I894="Yes",H894*INDEX(Resources!$I$2:$I$500,MATCH(E894,Resources!$A$2:$A$500,0)),0)</f>
        <v>23349.5</v>
      </c>
    </row>
    <row r="895" customFormat="false" ht="15" hidden="false" customHeight="false" outlineLevel="0" collapsed="false">
      <c r="A895" s="18" t="s">
        <v>1928</v>
      </c>
      <c r="B895" s="19" t="n">
        <v>46173</v>
      </c>
      <c r="C895" s="18" t="s">
        <v>253</v>
      </c>
      <c r="D895" s="18" t="s">
        <v>869</v>
      </c>
      <c r="E895" s="18" t="s">
        <v>407</v>
      </c>
      <c r="F895" s="18"/>
      <c r="G895" s="18" t="s">
        <v>1019</v>
      </c>
      <c r="H895" s="30" t="n">
        <v>190.9</v>
      </c>
      <c r="I895" s="18" t="s">
        <v>513</v>
      </c>
      <c r="J895" s="28" t="n">
        <v>16333.4</v>
      </c>
      <c r="K895" s="12" t="str">
        <f aca="false">TEXT(B895,"yyyy-mm")</f>
        <v>2026-05</v>
      </c>
      <c r="L895" s="21" t="str">
        <f aca="false">IFERROR(INDEX(Projects!$E$2:$E$500,MATCH(C895,Projects!$A$2:$A$500,0)),"")</f>
        <v>Customer Experience</v>
      </c>
      <c r="M895" s="31" t="n">
        <f aca="false">IF(I895="Yes",H895*INDEX(Resources!$I$2:$I$500,MATCH(E895,Resources!$A$2:$A$500,0)),0)</f>
        <v>32453</v>
      </c>
    </row>
    <row r="896" customFormat="false" ht="15" hidden="false" customHeight="false" outlineLevel="0" collapsed="false">
      <c r="A896" s="18" t="s">
        <v>1929</v>
      </c>
      <c r="B896" s="19" t="n">
        <v>46173</v>
      </c>
      <c r="C896" s="18" t="s">
        <v>253</v>
      </c>
      <c r="D896" s="18" t="s">
        <v>869</v>
      </c>
      <c r="E896" s="18" t="s">
        <v>426</v>
      </c>
      <c r="F896" s="18"/>
      <c r="G896" s="18" t="s">
        <v>1019</v>
      </c>
      <c r="H896" s="30" t="n">
        <v>111.4</v>
      </c>
      <c r="I896" s="18" t="s">
        <v>513</v>
      </c>
      <c r="J896" s="28" t="n">
        <v>8270.34</v>
      </c>
      <c r="K896" s="12" t="str">
        <f aca="false">TEXT(B896,"yyyy-mm")</f>
        <v>2026-05</v>
      </c>
      <c r="L896" s="21" t="str">
        <f aca="false">IFERROR(INDEX(Projects!$E$2:$E$500,MATCH(C896,Projects!$A$2:$A$500,0)),"")</f>
        <v>Customer Experience</v>
      </c>
      <c r="M896" s="31" t="n">
        <f aca="false">IF(I896="Yes",H896*INDEX(Resources!$I$2:$I$500,MATCH(E896,Resources!$A$2:$A$500,0)),0)</f>
        <v>16710</v>
      </c>
    </row>
    <row r="897" customFormat="false" ht="15" hidden="false" customHeight="false" outlineLevel="0" collapsed="false">
      <c r="A897" s="18" t="s">
        <v>1930</v>
      </c>
      <c r="B897" s="19" t="n">
        <v>46173</v>
      </c>
      <c r="C897" s="18" t="s">
        <v>253</v>
      </c>
      <c r="D897" s="18" t="s">
        <v>869</v>
      </c>
      <c r="E897" s="18" t="s">
        <v>446</v>
      </c>
      <c r="F897" s="18"/>
      <c r="G897" s="18" t="s">
        <v>1019</v>
      </c>
      <c r="H897" s="30" t="n">
        <v>99.2</v>
      </c>
      <c r="I897" s="18" t="s">
        <v>513</v>
      </c>
      <c r="J897" s="28" t="n">
        <v>5555.2</v>
      </c>
      <c r="K897" s="12" t="str">
        <f aca="false">TEXT(B897,"yyyy-mm")</f>
        <v>2026-05</v>
      </c>
      <c r="L897" s="21" t="str">
        <f aca="false">IFERROR(INDEX(Projects!$E$2:$E$500,MATCH(C897,Projects!$A$2:$A$500,0)),"")</f>
        <v>Customer Experience</v>
      </c>
      <c r="M897" s="31" t="n">
        <f aca="false">IF(I897="Yes",H897*INDEX(Resources!$I$2:$I$500,MATCH(E897,Resources!$A$2:$A$500,0)),0)</f>
        <v>11408</v>
      </c>
    </row>
    <row r="898" customFormat="false" ht="15" hidden="false" customHeight="false" outlineLevel="0" collapsed="false">
      <c r="A898" s="18" t="s">
        <v>1931</v>
      </c>
      <c r="B898" s="19" t="n">
        <v>46173</v>
      </c>
      <c r="C898" s="18" t="s">
        <v>253</v>
      </c>
      <c r="D898" s="18" t="s">
        <v>872</v>
      </c>
      <c r="E898" s="18"/>
      <c r="F898" s="18" t="s">
        <v>1025</v>
      </c>
      <c r="G898" s="18" t="s">
        <v>1026</v>
      </c>
      <c r="H898" s="30" t="n">
        <v>0</v>
      </c>
      <c r="I898" s="18" t="s">
        <v>527</v>
      </c>
      <c r="J898" s="28" t="n">
        <v>3050.81</v>
      </c>
      <c r="K898" s="12" t="str">
        <f aca="false">TEXT(B898,"yyyy-mm")</f>
        <v>2026-05</v>
      </c>
      <c r="L898" s="21" t="str">
        <f aca="false">IFERROR(INDEX(Projects!$E$2:$E$500,MATCH(C898,Projects!$A$2:$A$500,0)),"")</f>
        <v>Customer Experience</v>
      </c>
      <c r="M898" s="31" t="n">
        <f aca="false">IF(I898="Yes",H898*INDEX(Resources!$I$2:$I$500,MATCH(E898,Resources!$A$2:$A$500,0)),0)</f>
        <v>0</v>
      </c>
    </row>
    <row r="899" customFormat="false" ht="15" hidden="false" customHeight="false" outlineLevel="0" collapsed="false">
      <c r="A899" s="18" t="s">
        <v>1932</v>
      </c>
      <c r="B899" s="19" t="n">
        <v>46173</v>
      </c>
      <c r="C899" s="18" t="s">
        <v>253</v>
      </c>
      <c r="D899" s="18" t="s">
        <v>874</v>
      </c>
      <c r="E899" s="18"/>
      <c r="F899" s="18" t="s">
        <v>1224</v>
      </c>
      <c r="G899" s="18" t="s">
        <v>1026</v>
      </c>
      <c r="H899" s="30" t="n">
        <v>0</v>
      </c>
      <c r="I899" s="18" t="s">
        <v>527</v>
      </c>
      <c r="J899" s="28" t="n">
        <v>3686.91</v>
      </c>
      <c r="K899" s="12" t="str">
        <f aca="false">TEXT(B899,"yyyy-mm")</f>
        <v>2026-05</v>
      </c>
      <c r="L899" s="21" t="str">
        <f aca="false">IFERROR(INDEX(Projects!$E$2:$E$500,MATCH(C899,Projects!$A$2:$A$500,0)),"")</f>
        <v>Customer Experience</v>
      </c>
      <c r="M899" s="31" t="n">
        <f aca="false">IF(I899="Yes",H899*INDEX(Resources!$I$2:$I$500,MATCH(E899,Resources!$A$2:$A$500,0)),0)</f>
        <v>0</v>
      </c>
    </row>
    <row r="900" customFormat="false" ht="15" hidden="false" customHeight="false" outlineLevel="0" collapsed="false">
      <c r="A900" s="18" t="s">
        <v>1933</v>
      </c>
      <c r="B900" s="19" t="n">
        <v>46173</v>
      </c>
      <c r="C900" s="18" t="s">
        <v>253</v>
      </c>
      <c r="D900" s="18" t="s">
        <v>876</v>
      </c>
      <c r="E900" s="18"/>
      <c r="F900" s="18" t="s">
        <v>1071</v>
      </c>
      <c r="G900" s="18" t="s">
        <v>1033</v>
      </c>
      <c r="H900" s="30" t="n">
        <v>0</v>
      </c>
      <c r="I900" s="18" t="s">
        <v>527</v>
      </c>
      <c r="J900" s="28" t="n">
        <v>947.92</v>
      </c>
      <c r="K900" s="12" t="str">
        <f aca="false">TEXT(B900,"yyyy-mm")</f>
        <v>2026-05</v>
      </c>
      <c r="L900" s="21" t="str">
        <f aca="false">IFERROR(INDEX(Projects!$E$2:$E$500,MATCH(C900,Projects!$A$2:$A$500,0)),"")</f>
        <v>Customer Experience</v>
      </c>
      <c r="M900" s="31" t="n">
        <f aca="false">IF(I900="Yes",H900*INDEX(Resources!$I$2:$I$500,MATCH(E900,Resources!$A$2:$A$500,0)),0)</f>
        <v>0</v>
      </c>
    </row>
    <row r="901" customFormat="false" ht="15" hidden="false" customHeight="false" outlineLevel="0" collapsed="false">
      <c r="A901" s="18" t="s">
        <v>1934</v>
      </c>
      <c r="B901" s="19" t="n">
        <v>46173</v>
      </c>
      <c r="C901" s="18" t="s">
        <v>257</v>
      </c>
      <c r="D901" s="18" t="s">
        <v>889</v>
      </c>
      <c r="E901" s="18"/>
      <c r="F901" s="18" t="s">
        <v>474</v>
      </c>
      <c r="G901" s="18" t="s">
        <v>1026</v>
      </c>
      <c r="H901" s="30" t="n">
        <v>0</v>
      </c>
      <c r="I901" s="18" t="s">
        <v>527</v>
      </c>
      <c r="J901" s="28" t="n">
        <v>2999.18</v>
      </c>
      <c r="K901" s="12" t="str">
        <f aca="false">TEXT(B901,"yyyy-mm")</f>
        <v>2026-05</v>
      </c>
      <c r="L901" s="21" t="str">
        <f aca="false">IFERROR(INDEX(Projects!$E$2:$E$500,MATCH(C901,Projects!$A$2:$A$500,0)),"")</f>
        <v>Data &amp; AI</v>
      </c>
      <c r="M901" s="31" t="n">
        <f aca="false">IF(I901="Yes",H901*INDEX(Resources!$I$2:$I$500,MATCH(E901,Resources!$A$2:$A$500,0)),0)</f>
        <v>0</v>
      </c>
    </row>
    <row r="902" customFormat="false" ht="15" hidden="false" customHeight="false" outlineLevel="0" collapsed="false">
      <c r="A902" s="18" t="s">
        <v>1935</v>
      </c>
      <c r="B902" s="19" t="n">
        <v>46173</v>
      </c>
      <c r="C902" s="18" t="s">
        <v>257</v>
      </c>
      <c r="D902" s="18" t="s">
        <v>869</v>
      </c>
      <c r="E902" s="18" t="s">
        <v>226</v>
      </c>
      <c r="F902" s="18"/>
      <c r="G902" s="18" t="s">
        <v>1019</v>
      </c>
      <c r="H902" s="30" t="n">
        <v>41.2</v>
      </c>
      <c r="I902" s="18" t="s">
        <v>527</v>
      </c>
      <c r="J902" s="28" t="n">
        <v>3625.6</v>
      </c>
      <c r="K902" s="12" t="str">
        <f aca="false">TEXT(B902,"yyyy-mm")</f>
        <v>2026-05</v>
      </c>
      <c r="L902" s="21" t="str">
        <f aca="false">IFERROR(INDEX(Projects!$E$2:$E$500,MATCH(C902,Projects!$A$2:$A$500,0)),"")</f>
        <v>Data &amp; AI</v>
      </c>
      <c r="M902" s="31" t="n">
        <f aca="false">IF(I902="Yes",H902*INDEX(Resources!$I$2:$I$500,MATCH(E902,Resources!$A$2:$A$500,0)),0)</f>
        <v>0</v>
      </c>
    </row>
    <row r="903" customFormat="false" ht="15" hidden="false" customHeight="false" outlineLevel="0" collapsed="false">
      <c r="A903" s="18" t="s">
        <v>1936</v>
      </c>
      <c r="B903" s="19" t="n">
        <v>46173</v>
      </c>
      <c r="C903" s="18" t="s">
        <v>257</v>
      </c>
      <c r="D903" s="18" t="s">
        <v>869</v>
      </c>
      <c r="E903" s="18" t="s">
        <v>357</v>
      </c>
      <c r="F903" s="18"/>
      <c r="G903" s="18" t="s">
        <v>1019</v>
      </c>
      <c r="H903" s="30" t="n">
        <v>45.6</v>
      </c>
      <c r="I903" s="18" t="s">
        <v>513</v>
      </c>
      <c r="J903" s="28" t="n">
        <v>5515.78</v>
      </c>
      <c r="K903" s="12" t="str">
        <f aca="false">TEXT(B903,"yyyy-mm")</f>
        <v>2026-05</v>
      </c>
      <c r="L903" s="21" t="str">
        <f aca="false">IFERROR(INDEX(Projects!$E$2:$E$500,MATCH(C903,Projects!$A$2:$A$500,0)),"")</f>
        <v>Data &amp; AI</v>
      </c>
      <c r="M903" s="31" t="n">
        <f aca="false">IF(I903="Yes",H903*INDEX(Resources!$I$2:$I$500,MATCH(E903,Resources!$A$2:$A$500,0)),0)</f>
        <v>11172</v>
      </c>
    </row>
    <row r="904" customFormat="false" ht="15" hidden="false" customHeight="false" outlineLevel="0" collapsed="false">
      <c r="A904" s="18" t="s">
        <v>1937</v>
      </c>
      <c r="B904" s="19" t="n">
        <v>46173</v>
      </c>
      <c r="C904" s="18" t="s">
        <v>257</v>
      </c>
      <c r="D904" s="18" t="s">
        <v>869</v>
      </c>
      <c r="E904" s="18" t="s">
        <v>428</v>
      </c>
      <c r="F904" s="18"/>
      <c r="G904" s="18" t="s">
        <v>1019</v>
      </c>
      <c r="H904" s="30" t="n">
        <v>80</v>
      </c>
      <c r="I904" s="18" t="s">
        <v>513</v>
      </c>
      <c r="J904" s="28" t="n">
        <v>4352</v>
      </c>
      <c r="K904" s="12" t="str">
        <f aca="false">TEXT(B904,"yyyy-mm")</f>
        <v>2026-05</v>
      </c>
      <c r="L904" s="21" t="str">
        <f aca="false">IFERROR(INDEX(Projects!$E$2:$E$500,MATCH(C904,Projects!$A$2:$A$500,0)),"")</f>
        <v>Data &amp; AI</v>
      </c>
      <c r="M904" s="31" t="n">
        <f aca="false">IF(I904="Yes",H904*INDEX(Resources!$I$2:$I$500,MATCH(E904,Resources!$A$2:$A$500,0)),0)</f>
        <v>8800</v>
      </c>
    </row>
    <row r="905" customFormat="false" ht="15" hidden="false" customHeight="false" outlineLevel="0" collapsed="false">
      <c r="A905" s="18" t="s">
        <v>1938</v>
      </c>
      <c r="B905" s="19" t="n">
        <v>46173</v>
      </c>
      <c r="C905" s="18" t="s">
        <v>257</v>
      </c>
      <c r="D905" s="18" t="s">
        <v>869</v>
      </c>
      <c r="E905" s="18" t="s">
        <v>457</v>
      </c>
      <c r="F905" s="18"/>
      <c r="G905" s="18" t="s">
        <v>1019</v>
      </c>
      <c r="H905" s="30" t="n">
        <v>108.5</v>
      </c>
      <c r="I905" s="18" t="s">
        <v>513</v>
      </c>
      <c r="J905" s="28" t="n">
        <v>11327.4</v>
      </c>
      <c r="K905" s="12" t="str">
        <f aca="false">TEXT(B905,"yyyy-mm")</f>
        <v>2026-05</v>
      </c>
      <c r="L905" s="21" t="str">
        <f aca="false">IFERROR(INDEX(Projects!$E$2:$E$500,MATCH(C905,Projects!$A$2:$A$500,0)),"")</f>
        <v>Data &amp; AI</v>
      </c>
      <c r="M905" s="31" t="n">
        <f aca="false">IF(I905="Yes",H905*INDEX(Resources!$I$2:$I$500,MATCH(E905,Resources!$A$2:$A$500,0)),0)</f>
        <v>22785</v>
      </c>
    </row>
    <row r="906" customFormat="false" ht="15" hidden="false" customHeight="false" outlineLevel="0" collapsed="false">
      <c r="A906" s="18" t="s">
        <v>1939</v>
      </c>
      <c r="B906" s="19" t="n">
        <v>46173</v>
      </c>
      <c r="C906" s="18" t="s">
        <v>257</v>
      </c>
      <c r="D906" s="18" t="s">
        <v>869</v>
      </c>
      <c r="E906" s="18" t="s">
        <v>466</v>
      </c>
      <c r="F906" s="18"/>
      <c r="G906" s="18" t="s">
        <v>1019</v>
      </c>
      <c r="H906" s="30" t="n">
        <v>77.8</v>
      </c>
      <c r="I906" s="18" t="s">
        <v>513</v>
      </c>
      <c r="J906" s="28" t="n">
        <v>7624.4</v>
      </c>
      <c r="K906" s="12" t="str">
        <f aca="false">TEXT(B906,"yyyy-mm")</f>
        <v>2026-05</v>
      </c>
      <c r="L906" s="21" t="str">
        <f aca="false">IFERROR(INDEX(Projects!$E$2:$E$500,MATCH(C906,Projects!$A$2:$A$500,0)),"")</f>
        <v>Data &amp; AI</v>
      </c>
      <c r="M906" s="31" t="n">
        <f aca="false">IF(I906="Yes",H906*INDEX(Resources!$I$2:$I$500,MATCH(E906,Resources!$A$2:$A$500,0)),0)</f>
        <v>15560</v>
      </c>
    </row>
    <row r="907" customFormat="false" ht="15" hidden="false" customHeight="false" outlineLevel="0" collapsed="false">
      <c r="A907" s="18" t="s">
        <v>1940</v>
      </c>
      <c r="B907" s="19" t="n">
        <v>46173</v>
      </c>
      <c r="C907" s="18" t="s">
        <v>257</v>
      </c>
      <c r="D907" s="18" t="s">
        <v>872</v>
      </c>
      <c r="E907" s="18"/>
      <c r="F907" s="18" t="s">
        <v>1059</v>
      </c>
      <c r="G907" s="18" t="s">
        <v>1026</v>
      </c>
      <c r="H907" s="30" t="n">
        <v>0</v>
      </c>
      <c r="I907" s="18" t="s">
        <v>527</v>
      </c>
      <c r="J907" s="28" t="n">
        <v>1933.27</v>
      </c>
      <c r="K907" s="12" t="str">
        <f aca="false">TEXT(B907,"yyyy-mm")</f>
        <v>2026-05</v>
      </c>
      <c r="L907" s="21" t="str">
        <f aca="false">IFERROR(INDEX(Projects!$E$2:$E$500,MATCH(C907,Projects!$A$2:$A$500,0)),"")</f>
        <v>Data &amp; AI</v>
      </c>
      <c r="M907" s="31" t="n">
        <f aca="false">IF(I907="Yes",H907*INDEX(Resources!$I$2:$I$500,MATCH(E907,Resources!$A$2:$A$500,0)),0)</f>
        <v>0</v>
      </c>
    </row>
    <row r="908" customFormat="false" ht="15" hidden="false" customHeight="false" outlineLevel="0" collapsed="false">
      <c r="A908" s="18" t="s">
        <v>1941</v>
      </c>
      <c r="B908" s="19" t="n">
        <v>46173</v>
      </c>
      <c r="C908" s="18" t="s">
        <v>257</v>
      </c>
      <c r="D908" s="18" t="s">
        <v>876</v>
      </c>
      <c r="E908" s="18"/>
      <c r="F908" s="18" t="s">
        <v>1032</v>
      </c>
      <c r="G908" s="18" t="s">
        <v>1033</v>
      </c>
      <c r="H908" s="30" t="n">
        <v>0</v>
      </c>
      <c r="I908" s="18" t="s">
        <v>527</v>
      </c>
      <c r="J908" s="28" t="n">
        <v>451.66</v>
      </c>
      <c r="K908" s="12" t="str">
        <f aca="false">TEXT(B908,"yyyy-mm")</f>
        <v>2026-05</v>
      </c>
      <c r="L908" s="21" t="str">
        <f aca="false">IFERROR(INDEX(Projects!$E$2:$E$500,MATCH(C908,Projects!$A$2:$A$500,0)),"")</f>
        <v>Data &amp; AI</v>
      </c>
      <c r="M908" s="31" t="n">
        <f aca="false">IF(I908="Yes",H908*INDEX(Resources!$I$2:$I$500,MATCH(E908,Resources!$A$2:$A$500,0)),0)</f>
        <v>0</v>
      </c>
    </row>
    <row r="909" customFormat="false" ht="15" hidden="false" customHeight="false" outlineLevel="0" collapsed="false">
      <c r="A909" s="18" t="s">
        <v>1942</v>
      </c>
      <c r="B909" s="19" t="n">
        <v>46173</v>
      </c>
      <c r="C909" s="18" t="s">
        <v>265</v>
      </c>
      <c r="D909" s="18" t="s">
        <v>869</v>
      </c>
      <c r="E909" s="18" t="s">
        <v>211</v>
      </c>
      <c r="F909" s="18"/>
      <c r="G909" s="18" t="s">
        <v>1019</v>
      </c>
      <c r="H909" s="30" t="n">
        <v>114.4</v>
      </c>
      <c r="I909" s="18" t="s">
        <v>513</v>
      </c>
      <c r="J909" s="28" t="n">
        <v>11677.95</v>
      </c>
      <c r="K909" s="12" t="str">
        <f aca="false">TEXT(B909,"yyyy-mm")</f>
        <v>2026-05</v>
      </c>
      <c r="L909" s="21" t="str">
        <f aca="false">IFERROR(INDEX(Projects!$E$2:$E$500,MATCH(C909,Projects!$A$2:$A$500,0)),"")</f>
        <v>Digital Transformation</v>
      </c>
      <c r="M909" s="31" t="n">
        <f aca="false">IF(I909="Yes",H909*INDEX(Resources!$I$2:$I$500,MATCH(E909,Resources!$A$2:$A$500,0)),0)</f>
        <v>23452</v>
      </c>
    </row>
    <row r="910" customFormat="false" ht="15" hidden="false" customHeight="false" outlineLevel="0" collapsed="false">
      <c r="A910" s="18" t="s">
        <v>1943</v>
      </c>
      <c r="B910" s="19" t="n">
        <v>46173</v>
      </c>
      <c r="C910" s="18" t="s">
        <v>265</v>
      </c>
      <c r="D910" s="18" t="s">
        <v>869</v>
      </c>
      <c r="E910" s="18" t="s">
        <v>375</v>
      </c>
      <c r="F910" s="18"/>
      <c r="G910" s="18" t="s">
        <v>1019</v>
      </c>
      <c r="H910" s="30" t="n">
        <v>163.6</v>
      </c>
      <c r="I910" s="18" t="s">
        <v>513</v>
      </c>
      <c r="J910" s="28" t="n">
        <v>11820.1</v>
      </c>
      <c r="K910" s="12" t="str">
        <f aca="false">TEXT(B910,"yyyy-mm")</f>
        <v>2026-05</v>
      </c>
      <c r="L910" s="21" t="str">
        <f aca="false">IFERROR(INDEX(Projects!$E$2:$E$500,MATCH(C910,Projects!$A$2:$A$500,0)),"")</f>
        <v>Digital Transformation</v>
      </c>
      <c r="M910" s="31" t="n">
        <f aca="false">IF(I910="Yes",H910*INDEX(Resources!$I$2:$I$500,MATCH(E910,Resources!$A$2:$A$500,0)),0)</f>
        <v>19632</v>
      </c>
    </row>
    <row r="911" customFormat="false" ht="15" hidden="false" customHeight="false" outlineLevel="0" collapsed="false">
      <c r="A911" s="18" t="s">
        <v>1944</v>
      </c>
      <c r="B911" s="19" t="n">
        <v>46173</v>
      </c>
      <c r="C911" s="18" t="s">
        <v>265</v>
      </c>
      <c r="D911" s="18" t="s">
        <v>869</v>
      </c>
      <c r="E911" s="18" t="s">
        <v>403</v>
      </c>
      <c r="F911" s="18"/>
      <c r="G911" s="18" t="s">
        <v>1019</v>
      </c>
      <c r="H911" s="30" t="n">
        <v>166.8</v>
      </c>
      <c r="I911" s="18" t="s">
        <v>513</v>
      </c>
      <c r="J911" s="28" t="n">
        <v>14271.41</v>
      </c>
      <c r="K911" s="12" t="str">
        <f aca="false">TEXT(B911,"yyyy-mm")</f>
        <v>2026-05</v>
      </c>
      <c r="L911" s="21" t="str">
        <f aca="false">IFERROR(INDEX(Projects!$E$2:$E$500,MATCH(C911,Projects!$A$2:$A$500,0)),"")</f>
        <v>Digital Transformation</v>
      </c>
      <c r="M911" s="31" t="n">
        <f aca="false">IF(I911="Yes",H911*INDEX(Resources!$I$2:$I$500,MATCH(E911,Resources!$A$2:$A$500,0)),0)</f>
        <v>28356</v>
      </c>
    </row>
    <row r="912" customFormat="false" ht="15" hidden="false" customHeight="false" outlineLevel="0" collapsed="false">
      <c r="A912" s="18" t="s">
        <v>1945</v>
      </c>
      <c r="B912" s="19" t="n">
        <v>46173</v>
      </c>
      <c r="C912" s="18" t="s">
        <v>265</v>
      </c>
      <c r="D912" s="18" t="s">
        <v>869</v>
      </c>
      <c r="E912" s="18" t="s">
        <v>432</v>
      </c>
      <c r="F912" s="18"/>
      <c r="G912" s="18" t="s">
        <v>1019</v>
      </c>
      <c r="H912" s="30" t="n">
        <v>105.6</v>
      </c>
      <c r="I912" s="18" t="s">
        <v>513</v>
      </c>
      <c r="J912" s="28" t="n">
        <v>6758.4</v>
      </c>
      <c r="K912" s="12" t="str">
        <f aca="false">TEXT(B912,"yyyy-mm")</f>
        <v>2026-05</v>
      </c>
      <c r="L912" s="21" t="str">
        <f aca="false">IFERROR(INDEX(Projects!$E$2:$E$500,MATCH(C912,Projects!$A$2:$A$500,0)),"")</f>
        <v>Digital Transformation</v>
      </c>
      <c r="M912" s="31" t="n">
        <f aca="false">IF(I912="Yes",H912*INDEX(Resources!$I$2:$I$500,MATCH(E912,Resources!$A$2:$A$500,0)),0)</f>
        <v>13728</v>
      </c>
    </row>
    <row r="913" customFormat="false" ht="15" hidden="false" customHeight="false" outlineLevel="0" collapsed="false">
      <c r="A913" s="18" t="s">
        <v>1946</v>
      </c>
      <c r="B913" s="19" t="n">
        <v>46173</v>
      </c>
      <c r="C913" s="18" t="s">
        <v>265</v>
      </c>
      <c r="D913" s="18" t="s">
        <v>869</v>
      </c>
      <c r="E913" s="18" t="s">
        <v>448</v>
      </c>
      <c r="F913" s="18"/>
      <c r="G913" s="18" t="s">
        <v>1019</v>
      </c>
      <c r="H913" s="30" t="n">
        <v>106.7</v>
      </c>
      <c r="I913" s="18" t="s">
        <v>513</v>
      </c>
      <c r="J913" s="28" t="n">
        <v>6931.23</v>
      </c>
      <c r="K913" s="12" t="str">
        <f aca="false">TEXT(B913,"yyyy-mm")</f>
        <v>2026-05</v>
      </c>
      <c r="L913" s="21" t="str">
        <f aca="false">IFERROR(INDEX(Projects!$E$2:$E$500,MATCH(C913,Projects!$A$2:$A$500,0)),"")</f>
        <v>Digital Transformation</v>
      </c>
      <c r="M913" s="31" t="n">
        <f aca="false">IF(I913="Yes",H913*INDEX(Resources!$I$2:$I$500,MATCH(E913,Resources!$A$2:$A$500,0)),0)</f>
        <v>14404.5</v>
      </c>
    </row>
    <row r="914" customFormat="false" ht="15" hidden="false" customHeight="false" outlineLevel="0" collapsed="false">
      <c r="A914" s="18" t="s">
        <v>1947</v>
      </c>
      <c r="B914" s="19" t="n">
        <v>46173</v>
      </c>
      <c r="C914" s="18" t="s">
        <v>265</v>
      </c>
      <c r="D914" s="18" t="s">
        <v>869</v>
      </c>
      <c r="E914" s="18" t="s">
        <v>496</v>
      </c>
      <c r="F914" s="18"/>
      <c r="G914" s="18" t="s">
        <v>1019</v>
      </c>
      <c r="H914" s="30" t="n">
        <v>43.3</v>
      </c>
      <c r="I914" s="18" t="s">
        <v>513</v>
      </c>
      <c r="J914" s="28" t="n">
        <v>3367.01</v>
      </c>
      <c r="K914" s="12" t="str">
        <f aca="false">TEXT(B914,"yyyy-mm")</f>
        <v>2026-05</v>
      </c>
      <c r="L914" s="21" t="str">
        <f aca="false">IFERROR(INDEX(Projects!$E$2:$E$500,MATCH(C914,Projects!$A$2:$A$500,0)),"")</f>
        <v>Digital Transformation</v>
      </c>
      <c r="M914" s="31" t="n">
        <f aca="false">IF(I914="Yes",H914*INDEX(Resources!$I$2:$I$500,MATCH(E914,Resources!$A$2:$A$500,0)),0)</f>
        <v>6928</v>
      </c>
    </row>
    <row r="915" customFormat="false" ht="15" hidden="false" customHeight="false" outlineLevel="0" collapsed="false">
      <c r="A915" s="18" t="s">
        <v>1948</v>
      </c>
      <c r="B915" s="19" t="n">
        <v>46173</v>
      </c>
      <c r="C915" s="18" t="s">
        <v>265</v>
      </c>
      <c r="D915" s="18" t="s">
        <v>872</v>
      </c>
      <c r="E915" s="18"/>
      <c r="F915" s="18" t="s">
        <v>353</v>
      </c>
      <c r="G915" s="18" t="s">
        <v>1026</v>
      </c>
      <c r="H915" s="30" t="n">
        <v>0</v>
      </c>
      <c r="I915" s="18" t="s">
        <v>527</v>
      </c>
      <c r="J915" s="28" t="n">
        <v>3902.31</v>
      </c>
      <c r="K915" s="12" t="str">
        <f aca="false">TEXT(B915,"yyyy-mm")</f>
        <v>2026-05</v>
      </c>
      <c r="L915" s="21" t="str">
        <f aca="false">IFERROR(INDEX(Projects!$E$2:$E$500,MATCH(C915,Projects!$A$2:$A$500,0)),"")</f>
        <v>Digital Transformation</v>
      </c>
      <c r="M915" s="31" t="n">
        <f aca="false">IF(I915="Yes",H915*INDEX(Resources!$I$2:$I$500,MATCH(E915,Resources!$A$2:$A$500,0)),0)</f>
        <v>0</v>
      </c>
    </row>
    <row r="916" customFormat="false" ht="15" hidden="false" customHeight="false" outlineLevel="0" collapsed="false">
      <c r="A916" s="18" t="s">
        <v>1949</v>
      </c>
      <c r="B916" s="19" t="n">
        <v>46173</v>
      </c>
      <c r="C916" s="18" t="s">
        <v>265</v>
      </c>
      <c r="D916" s="18" t="s">
        <v>874</v>
      </c>
      <c r="E916" s="18"/>
      <c r="F916" s="18" t="s">
        <v>1028</v>
      </c>
      <c r="G916" s="18" t="s">
        <v>1026</v>
      </c>
      <c r="H916" s="30" t="n">
        <v>0</v>
      </c>
      <c r="I916" s="18" t="s">
        <v>527</v>
      </c>
      <c r="J916" s="28" t="n">
        <v>5731.45</v>
      </c>
      <c r="K916" s="12" t="str">
        <f aca="false">TEXT(B916,"yyyy-mm")</f>
        <v>2026-05</v>
      </c>
      <c r="L916" s="21" t="str">
        <f aca="false">IFERROR(INDEX(Projects!$E$2:$E$500,MATCH(C916,Projects!$A$2:$A$500,0)),"")</f>
        <v>Digital Transformation</v>
      </c>
      <c r="M916" s="31" t="n">
        <f aca="false">IF(I916="Yes",H916*INDEX(Resources!$I$2:$I$500,MATCH(E916,Resources!$A$2:$A$500,0)),0)</f>
        <v>0</v>
      </c>
    </row>
    <row r="917" customFormat="false" ht="15" hidden="false" customHeight="false" outlineLevel="0" collapsed="false">
      <c r="A917" s="18" t="s">
        <v>1950</v>
      </c>
      <c r="B917" s="19" t="n">
        <v>46173</v>
      </c>
      <c r="C917" s="18" t="s">
        <v>265</v>
      </c>
      <c r="D917" s="18" t="s">
        <v>495</v>
      </c>
      <c r="E917" s="18"/>
      <c r="F917" s="18" t="s">
        <v>1030</v>
      </c>
      <c r="G917" s="18" t="s">
        <v>1026</v>
      </c>
      <c r="H917" s="30" t="n">
        <v>0</v>
      </c>
      <c r="I917" s="18" t="s">
        <v>527</v>
      </c>
      <c r="J917" s="28" t="n">
        <v>1388.4</v>
      </c>
      <c r="K917" s="12" t="str">
        <f aca="false">TEXT(B917,"yyyy-mm")</f>
        <v>2026-05</v>
      </c>
      <c r="L917" s="21" t="str">
        <f aca="false">IFERROR(INDEX(Projects!$E$2:$E$500,MATCH(C917,Projects!$A$2:$A$500,0)),"")</f>
        <v>Digital Transformation</v>
      </c>
      <c r="M917" s="31" t="n">
        <f aca="false">IF(I917="Yes",H917*INDEX(Resources!$I$2:$I$500,MATCH(E917,Resources!$A$2:$A$500,0)),0)</f>
        <v>0</v>
      </c>
    </row>
    <row r="918" customFormat="false" ht="15" hidden="false" customHeight="false" outlineLevel="0" collapsed="false">
      <c r="A918" s="18" t="s">
        <v>1951</v>
      </c>
      <c r="B918" s="19" t="n">
        <v>46173</v>
      </c>
      <c r="C918" s="18" t="s">
        <v>265</v>
      </c>
      <c r="D918" s="18" t="s">
        <v>876</v>
      </c>
      <c r="E918" s="18"/>
      <c r="F918" s="18" t="s">
        <v>1071</v>
      </c>
      <c r="G918" s="18" t="s">
        <v>1033</v>
      </c>
      <c r="H918" s="30" t="n">
        <v>0</v>
      </c>
      <c r="I918" s="18" t="s">
        <v>527</v>
      </c>
      <c r="J918" s="28" t="n">
        <v>980.98</v>
      </c>
      <c r="K918" s="12" t="str">
        <f aca="false">TEXT(B918,"yyyy-mm")</f>
        <v>2026-05</v>
      </c>
      <c r="L918" s="21" t="str">
        <f aca="false">IFERROR(INDEX(Projects!$E$2:$E$500,MATCH(C918,Projects!$A$2:$A$500,0)),"")</f>
        <v>Digital Transformation</v>
      </c>
      <c r="M918" s="31" t="n">
        <f aca="false">IF(I918="Yes",H918*INDEX(Resources!$I$2:$I$500,MATCH(E918,Resources!$A$2:$A$500,0)),0)</f>
        <v>0</v>
      </c>
    </row>
    <row r="919" customFormat="false" ht="15" hidden="false" customHeight="false" outlineLevel="0" collapsed="false">
      <c r="A919" s="18" t="s">
        <v>1952</v>
      </c>
      <c r="B919" s="19" t="n">
        <v>46173</v>
      </c>
      <c r="C919" s="18" t="s">
        <v>267</v>
      </c>
      <c r="D919" s="18" t="s">
        <v>889</v>
      </c>
      <c r="E919" s="18"/>
      <c r="F919" s="18" t="s">
        <v>1035</v>
      </c>
      <c r="G919" s="18" t="s">
        <v>1026</v>
      </c>
      <c r="H919" s="30" t="n">
        <v>0</v>
      </c>
      <c r="I919" s="18" t="s">
        <v>527</v>
      </c>
      <c r="J919" s="28" t="n">
        <v>4946.91</v>
      </c>
      <c r="K919" s="12" t="str">
        <f aca="false">TEXT(B919,"yyyy-mm")</f>
        <v>2026-05</v>
      </c>
      <c r="L919" s="21" t="str">
        <f aca="false">IFERROR(INDEX(Projects!$E$2:$E$500,MATCH(C919,Projects!$A$2:$A$500,0)),"")</f>
        <v>Cloud &amp; Infrastructure</v>
      </c>
      <c r="M919" s="31" t="n">
        <f aca="false">IF(I919="Yes",H919*INDEX(Resources!$I$2:$I$500,MATCH(E919,Resources!$A$2:$A$500,0)),0)</f>
        <v>0</v>
      </c>
    </row>
    <row r="920" customFormat="false" ht="15" hidden="false" customHeight="false" outlineLevel="0" collapsed="false">
      <c r="A920" s="18" t="s">
        <v>1953</v>
      </c>
      <c r="B920" s="19" t="n">
        <v>46173</v>
      </c>
      <c r="C920" s="18" t="s">
        <v>267</v>
      </c>
      <c r="D920" s="18" t="s">
        <v>869</v>
      </c>
      <c r="E920" s="18" t="s">
        <v>242</v>
      </c>
      <c r="F920" s="18"/>
      <c r="G920" s="18" t="s">
        <v>1019</v>
      </c>
      <c r="H920" s="30" t="n">
        <v>43.7</v>
      </c>
      <c r="I920" s="18" t="s">
        <v>513</v>
      </c>
      <c r="J920" s="28" t="n">
        <v>4153.25</v>
      </c>
      <c r="K920" s="12" t="str">
        <f aca="false">TEXT(B920,"yyyy-mm")</f>
        <v>2026-05</v>
      </c>
      <c r="L920" s="21" t="str">
        <f aca="false">IFERROR(INDEX(Projects!$E$2:$E$500,MATCH(C920,Projects!$A$2:$A$500,0)),"")</f>
        <v>Cloud &amp; Infrastructure</v>
      </c>
      <c r="M920" s="31" t="n">
        <f aca="false">IF(I920="Yes",H920*INDEX(Resources!$I$2:$I$500,MATCH(E920,Resources!$A$2:$A$500,0)),0)</f>
        <v>8303</v>
      </c>
    </row>
    <row r="921" customFormat="false" ht="15" hidden="false" customHeight="false" outlineLevel="0" collapsed="false">
      <c r="A921" s="18" t="s">
        <v>1954</v>
      </c>
      <c r="B921" s="19" t="n">
        <v>46173</v>
      </c>
      <c r="C921" s="18" t="s">
        <v>267</v>
      </c>
      <c r="D921" s="18" t="s">
        <v>869</v>
      </c>
      <c r="E921" s="18" t="s">
        <v>405</v>
      </c>
      <c r="F921" s="18"/>
      <c r="G921" s="18" t="s">
        <v>1019</v>
      </c>
      <c r="H921" s="30" t="n">
        <v>76.9</v>
      </c>
      <c r="I921" s="18" t="s">
        <v>513</v>
      </c>
      <c r="J921" s="28" t="n">
        <v>7640.78</v>
      </c>
      <c r="K921" s="12" t="str">
        <f aca="false">TEXT(B921,"yyyy-mm")</f>
        <v>2026-05</v>
      </c>
      <c r="L921" s="21" t="str">
        <f aca="false">IFERROR(INDEX(Projects!$E$2:$E$500,MATCH(C921,Projects!$A$2:$A$500,0)),"")</f>
        <v>Cloud &amp; Infrastructure</v>
      </c>
      <c r="M921" s="31" t="n">
        <f aca="false">IF(I921="Yes",H921*INDEX(Resources!$I$2:$I$500,MATCH(E921,Resources!$A$2:$A$500,0)),0)</f>
        <v>15380</v>
      </c>
    </row>
    <row r="922" customFormat="false" ht="15" hidden="false" customHeight="false" outlineLevel="0" collapsed="false">
      <c r="A922" s="18" t="s">
        <v>1955</v>
      </c>
      <c r="B922" s="19" t="n">
        <v>46173</v>
      </c>
      <c r="C922" s="18" t="s">
        <v>267</v>
      </c>
      <c r="D922" s="18" t="s">
        <v>869</v>
      </c>
      <c r="E922" s="18" t="s">
        <v>477</v>
      </c>
      <c r="F922" s="18"/>
      <c r="G922" s="18" t="s">
        <v>1019</v>
      </c>
      <c r="H922" s="30" t="n">
        <v>112.9</v>
      </c>
      <c r="I922" s="18" t="s">
        <v>513</v>
      </c>
      <c r="J922" s="28" t="n">
        <v>12310.62</v>
      </c>
      <c r="K922" s="12" t="str">
        <f aca="false">TEXT(B922,"yyyy-mm")</f>
        <v>2026-05</v>
      </c>
      <c r="L922" s="21" t="str">
        <f aca="false">IFERROR(INDEX(Projects!$E$2:$E$500,MATCH(C922,Projects!$A$2:$A$500,0)),"")</f>
        <v>Cloud &amp; Infrastructure</v>
      </c>
      <c r="M922" s="31" t="n">
        <f aca="false">IF(I922="Yes",H922*INDEX(Resources!$I$2:$I$500,MATCH(E922,Resources!$A$2:$A$500,0)),0)</f>
        <v>24838</v>
      </c>
    </row>
    <row r="923" customFormat="false" ht="15" hidden="false" customHeight="false" outlineLevel="0" collapsed="false">
      <c r="A923" s="18" t="s">
        <v>1956</v>
      </c>
      <c r="B923" s="19" t="n">
        <v>46173</v>
      </c>
      <c r="C923" s="18" t="s">
        <v>267</v>
      </c>
      <c r="D923" s="18" t="s">
        <v>869</v>
      </c>
      <c r="E923" s="18" t="s">
        <v>489</v>
      </c>
      <c r="F923" s="18"/>
      <c r="G923" s="18" t="s">
        <v>1019</v>
      </c>
      <c r="H923" s="30" t="n">
        <v>79.3</v>
      </c>
      <c r="I923" s="18" t="s">
        <v>513</v>
      </c>
      <c r="J923" s="28" t="n">
        <v>6819.8</v>
      </c>
      <c r="K923" s="12" t="str">
        <f aca="false">TEXT(B923,"yyyy-mm")</f>
        <v>2026-05</v>
      </c>
      <c r="L923" s="21" t="str">
        <f aca="false">IFERROR(INDEX(Projects!$E$2:$E$500,MATCH(C923,Projects!$A$2:$A$500,0)),"")</f>
        <v>Cloud &amp; Infrastructure</v>
      </c>
      <c r="M923" s="31" t="n">
        <f aca="false">IF(I923="Yes",H923*INDEX(Resources!$I$2:$I$500,MATCH(E923,Resources!$A$2:$A$500,0)),0)</f>
        <v>13877.5</v>
      </c>
    </row>
    <row r="924" customFormat="false" ht="15" hidden="false" customHeight="false" outlineLevel="0" collapsed="false">
      <c r="A924" s="18" t="s">
        <v>1957</v>
      </c>
      <c r="B924" s="19" t="n">
        <v>46173</v>
      </c>
      <c r="C924" s="18" t="s">
        <v>267</v>
      </c>
      <c r="D924" s="18" t="s">
        <v>872</v>
      </c>
      <c r="E924" s="18"/>
      <c r="F924" s="18" t="s">
        <v>1059</v>
      </c>
      <c r="G924" s="18" t="s">
        <v>1026</v>
      </c>
      <c r="H924" s="30" t="n">
        <v>0</v>
      </c>
      <c r="I924" s="18" t="s">
        <v>527</v>
      </c>
      <c r="J924" s="28" t="n">
        <v>1609.79</v>
      </c>
      <c r="K924" s="12" t="str">
        <f aca="false">TEXT(B924,"yyyy-mm")</f>
        <v>2026-05</v>
      </c>
      <c r="L924" s="21" t="str">
        <f aca="false">IFERROR(INDEX(Projects!$E$2:$E$500,MATCH(C924,Projects!$A$2:$A$500,0)),"")</f>
        <v>Cloud &amp; Infrastructure</v>
      </c>
      <c r="M924" s="31" t="n">
        <f aca="false">IF(I924="Yes",H924*INDEX(Resources!$I$2:$I$500,MATCH(E924,Resources!$A$2:$A$500,0)),0)</f>
        <v>0</v>
      </c>
    </row>
    <row r="925" customFormat="false" ht="15" hidden="false" customHeight="false" outlineLevel="0" collapsed="false">
      <c r="A925" s="18" t="s">
        <v>1958</v>
      </c>
      <c r="B925" s="19" t="n">
        <v>46173</v>
      </c>
      <c r="C925" s="18" t="s">
        <v>267</v>
      </c>
      <c r="D925" s="18" t="s">
        <v>876</v>
      </c>
      <c r="E925" s="18"/>
      <c r="F925" s="18" t="s">
        <v>1032</v>
      </c>
      <c r="G925" s="18" t="s">
        <v>1033</v>
      </c>
      <c r="H925" s="30" t="n">
        <v>0</v>
      </c>
      <c r="I925" s="18" t="s">
        <v>527</v>
      </c>
      <c r="J925" s="28" t="n">
        <v>687.93</v>
      </c>
      <c r="K925" s="12" t="str">
        <f aca="false">TEXT(B925,"yyyy-mm")</f>
        <v>2026-05</v>
      </c>
      <c r="L925" s="21" t="str">
        <f aca="false">IFERROR(INDEX(Projects!$E$2:$E$500,MATCH(C925,Projects!$A$2:$A$500,0)),"")</f>
        <v>Cloud &amp; Infrastructure</v>
      </c>
      <c r="M925" s="31" t="n">
        <f aca="false">IF(I925="Yes",H925*INDEX(Resources!$I$2:$I$500,MATCH(E925,Resources!$A$2:$A$500,0)),0)</f>
        <v>0</v>
      </c>
    </row>
    <row r="926" customFormat="false" ht="15" hidden="false" customHeight="false" outlineLevel="0" collapsed="false">
      <c r="A926" s="18" t="s">
        <v>1959</v>
      </c>
      <c r="B926" s="19" t="n">
        <v>46173</v>
      </c>
      <c r="C926" s="18" t="s">
        <v>270</v>
      </c>
      <c r="D926" s="18" t="s">
        <v>869</v>
      </c>
      <c r="E926" s="18" t="s">
        <v>237</v>
      </c>
      <c r="F926" s="18"/>
      <c r="G926" s="18" t="s">
        <v>1019</v>
      </c>
      <c r="H926" s="30" t="n">
        <v>99.4</v>
      </c>
      <c r="I926" s="18" t="s">
        <v>513</v>
      </c>
      <c r="J926" s="28" t="n">
        <v>7435.12</v>
      </c>
      <c r="K926" s="12" t="str">
        <f aca="false">TEXT(B926,"yyyy-mm")</f>
        <v>2026-05</v>
      </c>
      <c r="L926" s="21" t="str">
        <f aca="false">IFERROR(INDEX(Projects!$E$2:$E$500,MATCH(C926,Projects!$A$2:$A$500,0)),"")</f>
        <v>Digital Transformation</v>
      </c>
      <c r="M926" s="31" t="n">
        <f aca="false">IF(I926="Yes",H926*INDEX(Resources!$I$2:$I$500,MATCH(E926,Resources!$A$2:$A$500,0)),0)</f>
        <v>14910</v>
      </c>
    </row>
    <row r="927" customFormat="false" ht="15" hidden="false" customHeight="false" outlineLevel="0" collapsed="false">
      <c r="A927" s="18" t="s">
        <v>1960</v>
      </c>
      <c r="B927" s="19" t="n">
        <v>46173</v>
      </c>
      <c r="C927" s="18" t="s">
        <v>270</v>
      </c>
      <c r="D927" s="18" t="s">
        <v>869</v>
      </c>
      <c r="E927" s="18" t="s">
        <v>357</v>
      </c>
      <c r="F927" s="18"/>
      <c r="G927" s="18" t="s">
        <v>1019</v>
      </c>
      <c r="H927" s="30" t="n">
        <v>53.4</v>
      </c>
      <c r="I927" s="18" t="s">
        <v>513</v>
      </c>
      <c r="J927" s="28" t="n">
        <v>6459.26</v>
      </c>
      <c r="K927" s="12" t="str">
        <f aca="false">TEXT(B927,"yyyy-mm")</f>
        <v>2026-05</v>
      </c>
      <c r="L927" s="21" t="str">
        <f aca="false">IFERROR(INDEX(Projects!$E$2:$E$500,MATCH(C927,Projects!$A$2:$A$500,0)),"")</f>
        <v>Digital Transformation</v>
      </c>
      <c r="M927" s="31" t="n">
        <f aca="false">IF(I927="Yes",H927*INDEX(Resources!$I$2:$I$500,MATCH(E927,Resources!$A$2:$A$500,0)),0)</f>
        <v>13083</v>
      </c>
    </row>
    <row r="928" customFormat="false" ht="15" hidden="false" customHeight="false" outlineLevel="0" collapsed="false">
      <c r="A928" s="18" t="s">
        <v>1961</v>
      </c>
      <c r="B928" s="19" t="n">
        <v>46173</v>
      </c>
      <c r="C928" s="18" t="s">
        <v>270</v>
      </c>
      <c r="D928" s="18" t="s">
        <v>869</v>
      </c>
      <c r="E928" s="18" t="s">
        <v>363</v>
      </c>
      <c r="F928" s="18"/>
      <c r="G928" s="18" t="s">
        <v>1019</v>
      </c>
      <c r="H928" s="30" t="n">
        <v>95.3</v>
      </c>
      <c r="I928" s="18" t="s">
        <v>513</v>
      </c>
      <c r="J928" s="28" t="n">
        <v>7517.26</v>
      </c>
      <c r="K928" s="12" t="str">
        <f aca="false">TEXT(B928,"yyyy-mm")</f>
        <v>2026-05</v>
      </c>
      <c r="L928" s="21" t="str">
        <f aca="false">IFERROR(INDEX(Projects!$E$2:$E$500,MATCH(C928,Projects!$A$2:$A$500,0)),"")</f>
        <v>Digital Transformation</v>
      </c>
      <c r="M928" s="31" t="n">
        <f aca="false">IF(I928="Yes",H928*INDEX(Resources!$I$2:$I$500,MATCH(E928,Resources!$A$2:$A$500,0)),0)</f>
        <v>15248</v>
      </c>
    </row>
    <row r="929" customFormat="false" ht="15" hidden="false" customHeight="false" outlineLevel="0" collapsed="false">
      <c r="A929" s="18" t="s">
        <v>1962</v>
      </c>
      <c r="B929" s="19" t="n">
        <v>46173</v>
      </c>
      <c r="C929" s="18" t="s">
        <v>270</v>
      </c>
      <c r="D929" s="18" t="s">
        <v>869</v>
      </c>
      <c r="E929" s="18" t="s">
        <v>393</v>
      </c>
      <c r="F929" s="18"/>
      <c r="G929" s="18" t="s">
        <v>1019</v>
      </c>
      <c r="H929" s="30" t="n">
        <v>153.2</v>
      </c>
      <c r="I929" s="18" t="s">
        <v>513</v>
      </c>
      <c r="J929" s="28" t="n">
        <v>15221.95</v>
      </c>
      <c r="K929" s="12" t="str">
        <f aca="false">TEXT(B929,"yyyy-mm")</f>
        <v>2026-05</v>
      </c>
      <c r="L929" s="21" t="str">
        <f aca="false">IFERROR(INDEX(Projects!$E$2:$E$500,MATCH(C929,Projects!$A$2:$A$500,0)),"")</f>
        <v>Digital Transformation</v>
      </c>
      <c r="M929" s="31" t="n">
        <f aca="false">IF(I929="Yes",H929*INDEX(Resources!$I$2:$I$500,MATCH(E929,Resources!$A$2:$A$500,0)),0)</f>
        <v>30640</v>
      </c>
    </row>
    <row r="930" customFormat="false" ht="15" hidden="false" customHeight="false" outlineLevel="0" collapsed="false">
      <c r="A930" s="18" t="s">
        <v>1963</v>
      </c>
      <c r="B930" s="19" t="n">
        <v>46173</v>
      </c>
      <c r="C930" s="18" t="s">
        <v>270</v>
      </c>
      <c r="D930" s="18" t="s">
        <v>869</v>
      </c>
      <c r="E930" s="18" t="s">
        <v>430</v>
      </c>
      <c r="F930" s="18"/>
      <c r="G930" s="18" t="s">
        <v>1019</v>
      </c>
      <c r="H930" s="30" t="n">
        <v>152</v>
      </c>
      <c r="I930" s="18" t="s">
        <v>513</v>
      </c>
      <c r="J930" s="28" t="n">
        <v>9728</v>
      </c>
      <c r="K930" s="12" t="str">
        <f aca="false">TEXT(B930,"yyyy-mm")</f>
        <v>2026-05</v>
      </c>
      <c r="L930" s="21" t="str">
        <f aca="false">IFERROR(INDEX(Projects!$E$2:$E$500,MATCH(C930,Projects!$A$2:$A$500,0)),"")</f>
        <v>Digital Transformation</v>
      </c>
      <c r="M930" s="31" t="n">
        <f aca="false">IF(I930="Yes",H930*INDEX(Resources!$I$2:$I$500,MATCH(E930,Resources!$A$2:$A$500,0)),0)</f>
        <v>19760</v>
      </c>
    </row>
    <row r="931" customFormat="false" ht="15" hidden="false" customHeight="false" outlineLevel="0" collapsed="false">
      <c r="A931" s="18" t="s">
        <v>1964</v>
      </c>
      <c r="B931" s="19" t="n">
        <v>46173</v>
      </c>
      <c r="C931" s="18" t="s">
        <v>270</v>
      </c>
      <c r="D931" s="18" t="s">
        <v>872</v>
      </c>
      <c r="E931" s="18"/>
      <c r="F931" s="18" t="s">
        <v>1025</v>
      </c>
      <c r="G931" s="18" t="s">
        <v>1026</v>
      </c>
      <c r="H931" s="30" t="n">
        <v>0</v>
      </c>
      <c r="I931" s="18" t="s">
        <v>527</v>
      </c>
      <c r="J931" s="28" t="n">
        <v>3806.29</v>
      </c>
      <c r="K931" s="12" t="str">
        <f aca="false">TEXT(B931,"yyyy-mm")</f>
        <v>2026-05</v>
      </c>
      <c r="L931" s="21" t="str">
        <f aca="false">IFERROR(INDEX(Projects!$E$2:$E$500,MATCH(C931,Projects!$A$2:$A$500,0)),"")</f>
        <v>Digital Transformation</v>
      </c>
      <c r="M931" s="31" t="n">
        <f aca="false">IF(I931="Yes",H931*INDEX(Resources!$I$2:$I$500,MATCH(E931,Resources!$A$2:$A$500,0)),0)</f>
        <v>0</v>
      </c>
    </row>
    <row r="932" customFormat="false" ht="15" hidden="false" customHeight="false" outlineLevel="0" collapsed="false">
      <c r="A932" s="18" t="s">
        <v>1965</v>
      </c>
      <c r="B932" s="19" t="n">
        <v>46173</v>
      </c>
      <c r="C932" s="18" t="s">
        <v>270</v>
      </c>
      <c r="D932" s="18" t="s">
        <v>874</v>
      </c>
      <c r="E932" s="18"/>
      <c r="F932" s="18" t="s">
        <v>1028</v>
      </c>
      <c r="G932" s="18" t="s">
        <v>1026</v>
      </c>
      <c r="H932" s="30" t="n">
        <v>0</v>
      </c>
      <c r="I932" s="18" t="s">
        <v>527</v>
      </c>
      <c r="J932" s="28" t="n">
        <v>5208.52</v>
      </c>
      <c r="K932" s="12" t="str">
        <f aca="false">TEXT(B932,"yyyy-mm")</f>
        <v>2026-05</v>
      </c>
      <c r="L932" s="21" t="str">
        <f aca="false">IFERROR(INDEX(Projects!$E$2:$E$500,MATCH(C932,Projects!$A$2:$A$500,0)),"")</f>
        <v>Digital Transformation</v>
      </c>
      <c r="M932" s="31" t="n">
        <f aca="false">IF(I932="Yes",H932*INDEX(Resources!$I$2:$I$500,MATCH(E932,Resources!$A$2:$A$500,0)),0)</f>
        <v>0</v>
      </c>
    </row>
    <row r="933" customFormat="false" ht="15" hidden="false" customHeight="false" outlineLevel="0" collapsed="false">
      <c r="A933" s="18" t="s">
        <v>1966</v>
      </c>
      <c r="B933" s="19" t="n">
        <v>46173</v>
      </c>
      <c r="C933" s="18" t="s">
        <v>270</v>
      </c>
      <c r="D933" s="18" t="s">
        <v>495</v>
      </c>
      <c r="E933" s="18"/>
      <c r="F933" s="18" t="s">
        <v>1373</v>
      </c>
      <c r="G933" s="18" t="s">
        <v>1026</v>
      </c>
      <c r="H933" s="30" t="n">
        <v>0</v>
      </c>
      <c r="I933" s="18" t="s">
        <v>527</v>
      </c>
      <c r="J933" s="28" t="n">
        <v>1337.06</v>
      </c>
      <c r="K933" s="12" t="str">
        <f aca="false">TEXT(B933,"yyyy-mm")</f>
        <v>2026-05</v>
      </c>
      <c r="L933" s="21" t="str">
        <f aca="false">IFERROR(INDEX(Projects!$E$2:$E$500,MATCH(C933,Projects!$A$2:$A$500,0)),"")</f>
        <v>Digital Transformation</v>
      </c>
      <c r="M933" s="31" t="n">
        <f aca="false">IF(I933="Yes",H933*INDEX(Resources!$I$2:$I$500,MATCH(E933,Resources!$A$2:$A$500,0)),0)</f>
        <v>0</v>
      </c>
    </row>
    <row r="934" customFormat="false" ht="15" hidden="false" customHeight="false" outlineLevel="0" collapsed="false">
      <c r="A934" s="18" t="s">
        <v>1967</v>
      </c>
      <c r="B934" s="19" t="n">
        <v>46173</v>
      </c>
      <c r="C934" s="18" t="s">
        <v>270</v>
      </c>
      <c r="D934" s="18" t="s">
        <v>876</v>
      </c>
      <c r="E934" s="18"/>
      <c r="F934" s="18" t="s">
        <v>1032</v>
      </c>
      <c r="G934" s="18" t="s">
        <v>1033</v>
      </c>
      <c r="H934" s="30" t="n">
        <v>0</v>
      </c>
      <c r="I934" s="18" t="s">
        <v>527</v>
      </c>
      <c r="J934" s="28" t="n">
        <v>1110.05</v>
      </c>
      <c r="K934" s="12" t="str">
        <f aca="false">TEXT(B934,"yyyy-mm")</f>
        <v>2026-05</v>
      </c>
      <c r="L934" s="21" t="str">
        <f aca="false">IFERROR(INDEX(Projects!$E$2:$E$500,MATCH(C934,Projects!$A$2:$A$500,0)),"")</f>
        <v>Digital Transformation</v>
      </c>
      <c r="M934" s="31" t="n">
        <f aca="false">IF(I934="Yes",H934*INDEX(Resources!$I$2:$I$500,MATCH(E934,Resources!$A$2:$A$500,0)),0)</f>
        <v>0</v>
      </c>
    </row>
    <row r="935" customFormat="false" ht="15" hidden="false" customHeight="false" outlineLevel="0" collapsed="false">
      <c r="A935" s="18" t="s">
        <v>1968</v>
      </c>
      <c r="B935" s="19" t="n">
        <v>46173</v>
      </c>
      <c r="C935" s="18" t="s">
        <v>272</v>
      </c>
      <c r="D935" s="18" t="s">
        <v>869</v>
      </c>
      <c r="E935" s="18" t="s">
        <v>201</v>
      </c>
      <c r="F935" s="18"/>
      <c r="G935" s="18" t="s">
        <v>1019</v>
      </c>
      <c r="H935" s="30" t="n">
        <v>39.9</v>
      </c>
      <c r="I935" s="18" t="s">
        <v>527</v>
      </c>
      <c r="J935" s="28" t="n">
        <v>4072.99</v>
      </c>
      <c r="K935" s="12" t="str">
        <f aca="false">TEXT(B935,"yyyy-mm")</f>
        <v>2026-05</v>
      </c>
      <c r="L935" s="21" t="str">
        <f aca="false">IFERROR(INDEX(Projects!$E$2:$E$500,MATCH(C935,Projects!$A$2:$A$500,0)),"")</f>
        <v>Operational Excellence</v>
      </c>
      <c r="M935" s="31" t="n">
        <f aca="false">IF(I935="Yes",H935*INDEX(Resources!$I$2:$I$500,MATCH(E935,Resources!$A$2:$A$500,0)),0)</f>
        <v>0</v>
      </c>
    </row>
    <row r="936" customFormat="false" ht="15" hidden="false" customHeight="false" outlineLevel="0" collapsed="false">
      <c r="A936" s="18" t="s">
        <v>1969</v>
      </c>
      <c r="B936" s="19" t="n">
        <v>46173</v>
      </c>
      <c r="C936" s="18" t="s">
        <v>272</v>
      </c>
      <c r="D936" s="18" t="s">
        <v>869</v>
      </c>
      <c r="E936" s="18" t="s">
        <v>373</v>
      </c>
      <c r="F936" s="18"/>
      <c r="G936" s="18" t="s">
        <v>1019</v>
      </c>
      <c r="H936" s="30" t="n">
        <v>88.1</v>
      </c>
      <c r="I936" s="18" t="s">
        <v>513</v>
      </c>
      <c r="J936" s="28" t="n">
        <v>6470.06</v>
      </c>
      <c r="K936" s="12" t="str">
        <f aca="false">TEXT(B936,"yyyy-mm")</f>
        <v>2026-05</v>
      </c>
      <c r="L936" s="21" t="str">
        <f aca="false">IFERROR(INDEX(Projects!$E$2:$E$500,MATCH(C936,Projects!$A$2:$A$500,0)),"")</f>
        <v>Operational Excellence</v>
      </c>
      <c r="M936" s="31" t="n">
        <f aca="false">IF(I936="Yes",H936*INDEX(Resources!$I$2:$I$500,MATCH(E936,Resources!$A$2:$A$500,0)),0)</f>
        <v>13215</v>
      </c>
    </row>
    <row r="937" customFormat="false" ht="15" hidden="false" customHeight="false" outlineLevel="0" collapsed="false">
      <c r="A937" s="18" t="s">
        <v>1970</v>
      </c>
      <c r="B937" s="19" t="n">
        <v>46173</v>
      </c>
      <c r="C937" s="18" t="s">
        <v>272</v>
      </c>
      <c r="D937" s="18" t="s">
        <v>869</v>
      </c>
      <c r="E937" s="18" t="s">
        <v>395</v>
      </c>
      <c r="F937" s="18"/>
      <c r="G937" s="18" t="s">
        <v>1019</v>
      </c>
      <c r="H937" s="30" t="n">
        <v>81</v>
      </c>
      <c r="I937" s="18" t="s">
        <v>513</v>
      </c>
      <c r="J937" s="28" t="n">
        <v>8662.95</v>
      </c>
      <c r="K937" s="12" t="str">
        <f aca="false">TEXT(B937,"yyyy-mm")</f>
        <v>2026-05</v>
      </c>
      <c r="L937" s="21" t="str">
        <f aca="false">IFERROR(INDEX(Projects!$E$2:$E$500,MATCH(C937,Projects!$A$2:$A$500,0)),"")</f>
        <v>Operational Excellence</v>
      </c>
      <c r="M937" s="31" t="n">
        <f aca="false">IF(I937="Yes",H937*INDEX(Resources!$I$2:$I$500,MATCH(E937,Resources!$A$2:$A$500,0)),0)</f>
        <v>13770</v>
      </c>
    </row>
    <row r="938" customFormat="false" ht="15" hidden="false" customHeight="false" outlineLevel="0" collapsed="false">
      <c r="A938" s="18" t="s">
        <v>1971</v>
      </c>
      <c r="B938" s="19" t="n">
        <v>46173</v>
      </c>
      <c r="C938" s="18" t="s">
        <v>272</v>
      </c>
      <c r="D938" s="18" t="s">
        <v>869</v>
      </c>
      <c r="E938" s="18" t="s">
        <v>426</v>
      </c>
      <c r="F938" s="18"/>
      <c r="G938" s="18" t="s">
        <v>1019</v>
      </c>
      <c r="H938" s="30" t="n">
        <v>89.9</v>
      </c>
      <c r="I938" s="18" t="s">
        <v>513</v>
      </c>
      <c r="J938" s="28" t="n">
        <v>6674.18</v>
      </c>
      <c r="K938" s="12" t="str">
        <f aca="false">TEXT(B938,"yyyy-mm")</f>
        <v>2026-05</v>
      </c>
      <c r="L938" s="21" t="str">
        <f aca="false">IFERROR(INDEX(Projects!$E$2:$E$500,MATCH(C938,Projects!$A$2:$A$500,0)),"")</f>
        <v>Operational Excellence</v>
      </c>
      <c r="M938" s="31" t="n">
        <f aca="false">IF(I938="Yes",H938*INDEX(Resources!$I$2:$I$500,MATCH(E938,Resources!$A$2:$A$500,0)),0)</f>
        <v>13485</v>
      </c>
    </row>
    <row r="939" customFormat="false" ht="15" hidden="false" customHeight="false" outlineLevel="0" collapsed="false">
      <c r="A939" s="18" t="s">
        <v>1972</v>
      </c>
      <c r="B939" s="19" t="n">
        <v>46173</v>
      </c>
      <c r="C939" s="18" t="s">
        <v>272</v>
      </c>
      <c r="D939" s="18" t="s">
        <v>872</v>
      </c>
      <c r="E939" s="18"/>
      <c r="F939" s="18" t="s">
        <v>353</v>
      </c>
      <c r="G939" s="18" t="s">
        <v>1026</v>
      </c>
      <c r="H939" s="30" t="n">
        <v>0</v>
      </c>
      <c r="I939" s="18" t="s">
        <v>527</v>
      </c>
      <c r="J939" s="28" t="n">
        <v>1455.94</v>
      </c>
      <c r="K939" s="12" t="str">
        <f aca="false">TEXT(B939,"yyyy-mm")</f>
        <v>2026-05</v>
      </c>
      <c r="L939" s="21" t="str">
        <f aca="false">IFERROR(INDEX(Projects!$E$2:$E$500,MATCH(C939,Projects!$A$2:$A$500,0)),"")</f>
        <v>Operational Excellence</v>
      </c>
      <c r="M939" s="31" t="n">
        <f aca="false">IF(I939="Yes",H939*INDEX(Resources!$I$2:$I$500,MATCH(E939,Resources!$A$2:$A$500,0)),0)</f>
        <v>0</v>
      </c>
    </row>
    <row r="940" customFormat="false" ht="15" hidden="false" customHeight="false" outlineLevel="0" collapsed="false">
      <c r="A940" s="18" t="s">
        <v>1973</v>
      </c>
      <c r="B940" s="19" t="n">
        <v>46173</v>
      </c>
      <c r="C940" s="18" t="s">
        <v>272</v>
      </c>
      <c r="D940" s="18" t="s">
        <v>495</v>
      </c>
      <c r="E940" s="18"/>
      <c r="F940" s="18" t="s">
        <v>1030</v>
      </c>
      <c r="G940" s="18" t="s">
        <v>1026</v>
      </c>
      <c r="H940" s="30" t="n">
        <v>0</v>
      </c>
      <c r="I940" s="18" t="s">
        <v>527</v>
      </c>
      <c r="J940" s="28" t="n">
        <v>720.11</v>
      </c>
      <c r="K940" s="12" t="str">
        <f aca="false">TEXT(B940,"yyyy-mm")</f>
        <v>2026-05</v>
      </c>
      <c r="L940" s="21" t="str">
        <f aca="false">IFERROR(INDEX(Projects!$E$2:$E$500,MATCH(C940,Projects!$A$2:$A$500,0)),"")</f>
        <v>Operational Excellence</v>
      </c>
      <c r="M940" s="31" t="n">
        <f aca="false">IF(I940="Yes",H940*INDEX(Resources!$I$2:$I$500,MATCH(E940,Resources!$A$2:$A$500,0)),0)</f>
        <v>0</v>
      </c>
    </row>
    <row r="941" customFormat="false" ht="15" hidden="false" customHeight="false" outlineLevel="0" collapsed="false">
      <c r="A941" s="18" t="s">
        <v>1974</v>
      </c>
      <c r="B941" s="19" t="n">
        <v>46173</v>
      </c>
      <c r="C941" s="18" t="s">
        <v>272</v>
      </c>
      <c r="D941" s="18" t="s">
        <v>876</v>
      </c>
      <c r="E941" s="18"/>
      <c r="F941" s="18" t="s">
        <v>1032</v>
      </c>
      <c r="G941" s="18" t="s">
        <v>1033</v>
      </c>
      <c r="H941" s="30" t="n">
        <v>0</v>
      </c>
      <c r="I941" s="18" t="s">
        <v>527</v>
      </c>
      <c r="J941" s="28" t="n">
        <v>614.26</v>
      </c>
      <c r="K941" s="12" t="str">
        <f aca="false">TEXT(B941,"yyyy-mm")</f>
        <v>2026-05</v>
      </c>
      <c r="L941" s="21" t="str">
        <f aca="false">IFERROR(INDEX(Projects!$E$2:$E$500,MATCH(C941,Projects!$A$2:$A$500,0)),"")</f>
        <v>Operational Excellence</v>
      </c>
      <c r="M941" s="31" t="n">
        <f aca="false">IF(I941="Yes",H941*INDEX(Resources!$I$2:$I$500,MATCH(E941,Resources!$A$2:$A$500,0)),0)</f>
        <v>0</v>
      </c>
    </row>
    <row r="942" customFormat="false" ht="15" hidden="false" customHeight="false" outlineLevel="0" collapsed="false">
      <c r="A942" s="18" t="s">
        <v>1975</v>
      </c>
      <c r="B942" s="19" t="n">
        <v>46173</v>
      </c>
      <c r="C942" s="18" t="s">
        <v>275</v>
      </c>
      <c r="D942" s="18" t="s">
        <v>869</v>
      </c>
      <c r="E942" s="18" t="s">
        <v>218</v>
      </c>
      <c r="F942" s="18"/>
      <c r="G942" s="18" t="s">
        <v>1019</v>
      </c>
      <c r="H942" s="30" t="n">
        <v>118.3</v>
      </c>
      <c r="I942" s="18" t="s">
        <v>513</v>
      </c>
      <c r="J942" s="28" t="n">
        <v>8848.84</v>
      </c>
      <c r="K942" s="12" t="str">
        <f aca="false">TEXT(B942,"yyyy-mm")</f>
        <v>2026-05</v>
      </c>
      <c r="L942" s="21" t="str">
        <f aca="false">IFERROR(INDEX(Projects!$E$2:$E$500,MATCH(C942,Projects!$A$2:$A$500,0)),"")</f>
        <v>Customer Experience</v>
      </c>
      <c r="M942" s="31" t="n">
        <f aca="false">IF(I942="Yes",H942*INDEX(Resources!$I$2:$I$500,MATCH(E942,Resources!$A$2:$A$500,0)),0)</f>
        <v>17745</v>
      </c>
    </row>
    <row r="943" customFormat="false" ht="15" hidden="false" customHeight="false" outlineLevel="0" collapsed="false">
      <c r="A943" s="18" t="s">
        <v>1976</v>
      </c>
      <c r="B943" s="19" t="n">
        <v>46173</v>
      </c>
      <c r="C943" s="18" t="s">
        <v>275</v>
      </c>
      <c r="D943" s="18" t="s">
        <v>869</v>
      </c>
      <c r="E943" s="18" t="s">
        <v>371</v>
      </c>
      <c r="F943" s="18"/>
      <c r="G943" s="18" t="s">
        <v>1019</v>
      </c>
      <c r="H943" s="30" t="n">
        <v>127.7</v>
      </c>
      <c r="I943" s="18" t="s">
        <v>513</v>
      </c>
      <c r="J943" s="28" t="n">
        <v>8075.75</v>
      </c>
      <c r="K943" s="12" t="str">
        <f aca="false">TEXT(B943,"yyyy-mm")</f>
        <v>2026-05</v>
      </c>
      <c r="L943" s="21" t="str">
        <f aca="false">IFERROR(INDEX(Projects!$E$2:$E$500,MATCH(C943,Projects!$A$2:$A$500,0)),"")</f>
        <v>Customer Experience</v>
      </c>
      <c r="M943" s="31" t="n">
        <f aca="false">IF(I943="Yes",H943*INDEX(Resources!$I$2:$I$500,MATCH(E943,Resources!$A$2:$A$500,0)),0)</f>
        <v>16601</v>
      </c>
    </row>
    <row r="944" customFormat="false" ht="15" hidden="false" customHeight="false" outlineLevel="0" collapsed="false">
      <c r="A944" s="18" t="s">
        <v>1977</v>
      </c>
      <c r="B944" s="19" t="n">
        <v>46173</v>
      </c>
      <c r="C944" s="18" t="s">
        <v>275</v>
      </c>
      <c r="D944" s="18" t="s">
        <v>869</v>
      </c>
      <c r="E944" s="18" t="s">
        <v>387</v>
      </c>
      <c r="F944" s="18"/>
      <c r="G944" s="18" t="s">
        <v>1019</v>
      </c>
      <c r="H944" s="30" t="n">
        <v>114.5</v>
      </c>
      <c r="I944" s="18" t="s">
        <v>513</v>
      </c>
      <c r="J944" s="28" t="n">
        <v>7202.05</v>
      </c>
      <c r="K944" s="12" t="str">
        <f aca="false">TEXT(B944,"yyyy-mm")</f>
        <v>2026-05</v>
      </c>
      <c r="L944" s="21" t="str">
        <f aca="false">IFERROR(INDEX(Projects!$E$2:$E$500,MATCH(C944,Projects!$A$2:$A$500,0)),"")</f>
        <v>Customer Experience</v>
      </c>
      <c r="M944" s="31" t="n">
        <f aca="false">IF(I944="Yes",H944*INDEX(Resources!$I$2:$I$500,MATCH(E944,Resources!$A$2:$A$500,0)),0)</f>
        <v>14885</v>
      </c>
    </row>
    <row r="945" customFormat="false" ht="15" hidden="false" customHeight="false" outlineLevel="0" collapsed="false">
      <c r="A945" s="18" t="s">
        <v>1978</v>
      </c>
      <c r="B945" s="19" t="n">
        <v>46173</v>
      </c>
      <c r="C945" s="18" t="s">
        <v>275</v>
      </c>
      <c r="D945" s="18" t="s">
        <v>869</v>
      </c>
      <c r="E945" s="18" t="s">
        <v>400</v>
      </c>
      <c r="F945" s="18"/>
      <c r="G945" s="18" t="s">
        <v>1019</v>
      </c>
      <c r="H945" s="30" t="n">
        <v>119.5</v>
      </c>
      <c r="I945" s="18" t="s">
        <v>513</v>
      </c>
      <c r="J945" s="28" t="n">
        <v>11873.52</v>
      </c>
      <c r="K945" s="12" t="str">
        <f aca="false">TEXT(B945,"yyyy-mm")</f>
        <v>2026-05</v>
      </c>
      <c r="L945" s="21" t="str">
        <f aca="false">IFERROR(INDEX(Projects!$E$2:$E$500,MATCH(C945,Projects!$A$2:$A$500,0)),"")</f>
        <v>Customer Experience</v>
      </c>
      <c r="M945" s="31" t="n">
        <f aca="false">IF(I945="Yes",H945*INDEX(Resources!$I$2:$I$500,MATCH(E945,Resources!$A$2:$A$500,0)),0)</f>
        <v>23900</v>
      </c>
    </row>
    <row r="946" customFormat="false" ht="15" hidden="false" customHeight="false" outlineLevel="0" collapsed="false">
      <c r="A946" s="18" t="s">
        <v>1979</v>
      </c>
      <c r="B946" s="19" t="n">
        <v>46173</v>
      </c>
      <c r="C946" s="18" t="s">
        <v>275</v>
      </c>
      <c r="D946" s="18" t="s">
        <v>869</v>
      </c>
      <c r="E946" s="18" t="s">
        <v>422</v>
      </c>
      <c r="F946" s="18"/>
      <c r="G946" s="18" t="s">
        <v>1019</v>
      </c>
      <c r="H946" s="30" t="n">
        <v>109.3</v>
      </c>
      <c r="I946" s="18" t="s">
        <v>513</v>
      </c>
      <c r="J946" s="28" t="n">
        <v>6505.54</v>
      </c>
      <c r="K946" s="12" t="str">
        <f aca="false">TEXT(B946,"yyyy-mm")</f>
        <v>2026-05</v>
      </c>
      <c r="L946" s="21" t="str">
        <f aca="false">IFERROR(INDEX(Projects!$E$2:$E$500,MATCH(C946,Projects!$A$2:$A$500,0)),"")</f>
        <v>Customer Experience</v>
      </c>
      <c r="M946" s="31" t="n">
        <f aca="false">IF(I946="Yes",H946*INDEX(Resources!$I$2:$I$500,MATCH(E946,Resources!$A$2:$A$500,0)),0)</f>
        <v>13116</v>
      </c>
    </row>
    <row r="947" customFormat="false" ht="15" hidden="false" customHeight="false" outlineLevel="0" collapsed="false">
      <c r="A947" s="18" t="s">
        <v>1980</v>
      </c>
      <c r="B947" s="19" t="n">
        <v>46173</v>
      </c>
      <c r="C947" s="18" t="s">
        <v>275</v>
      </c>
      <c r="D947" s="18" t="s">
        <v>869</v>
      </c>
      <c r="E947" s="18" t="s">
        <v>439</v>
      </c>
      <c r="F947" s="18"/>
      <c r="G947" s="18" t="s">
        <v>1019</v>
      </c>
      <c r="H947" s="30" t="n">
        <v>81.2</v>
      </c>
      <c r="I947" s="18" t="s">
        <v>513</v>
      </c>
      <c r="J947" s="28" t="n">
        <v>6593.44</v>
      </c>
      <c r="K947" s="12" t="str">
        <f aca="false">TEXT(B947,"yyyy-mm")</f>
        <v>2026-05</v>
      </c>
      <c r="L947" s="21" t="str">
        <f aca="false">IFERROR(INDEX(Projects!$E$2:$E$500,MATCH(C947,Projects!$A$2:$A$500,0)),"")</f>
        <v>Customer Experience</v>
      </c>
      <c r="M947" s="31" t="n">
        <f aca="false">IF(I947="Yes",H947*INDEX(Resources!$I$2:$I$500,MATCH(E947,Resources!$A$2:$A$500,0)),0)</f>
        <v>10962</v>
      </c>
    </row>
    <row r="948" customFormat="false" ht="15" hidden="false" customHeight="false" outlineLevel="0" collapsed="false">
      <c r="A948" s="18" t="s">
        <v>1981</v>
      </c>
      <c r="B948" s="19" t="n">
        <v>46173</v>
      </c>
      <c r="C948" s="18" t="s">
        <v>275</v>
      </c>
      <c r="D948" s="18" t="s">
        <v>872</v>
      </c>
      <c r="E948" s="18"/>
      <c r="F948" s="18" t="s">
        <v>353</v>
      </c>
      <c r="G948" s="18" t="s">
        <v>1026</v>
      </c>
      <c r="H948" s="30" t="n">
        <v>0</v>
      </c>
      <c r="I948" s="18" t="s">
        <v>527</v>
      </c>
      <c r="J948" s="28" t="n">
        <v>2009.48</v>
      </c>
      <c r="K948" s="12" t="str">
        <f aca="false">TEXT(B948,"yyyy-mm")</f>
        <v>2026-05</v>
      </c>
      <c r="L948" s="21" t="str">
        <f aca="false">IFERROR(INDEX(Projects!$E$2:$E$500,MATCH(C948,Projects!$A$2:$A$500,0)),"")</f>
        <v>Customer Experience</v>
      </c>
      <c r="M948" s="31" t="n">
        <f aca="false">IF(I948="Yes",H948*INDEX(Resources!$I$2:$I$500,MATCH(E948,Resources!$A$2:$A$500,0)),0)</f>
        <v>0</v>
      </c>
    </row>
    <row r="949" customFormat="false" ht="15" hidden="false" customHeight="false" outlineLevel="0" collapsed="false">
      <c r="A949" s="18" t="s">
        <v>1982</v>
      </c>
      <c r="B949" s="19" t="n">
        <v>46173</v>
      </c>
      <c r="C949" s="18" t="s">
        <v>275</v>
      </c>
      <c r="D949" s="18" t="s">
        <v>874</v>
      </c>
      <c r="E949" s="18"/>
      <c r="F949" s="18" t="s">
        <v>1028</v>
      </c>
      <c r="G949" s="18" t="s">
        <v>1026</v>
      </c>
      <c r="H949" s="30" t="n">
        <v>0</v>
      </c>
      <c r="I949" s="18" t="s">
        <v>527</v>
      </c>
      <c r="J949" s="28" t="n">
        <v>3073.78</v>
      </c>
      <c r="K949" s="12" t="str">
        <f aca="false">TEXT(B949,"yyyy-mm")</f>
        <v>2026-05</v>
      </c>
      <c r="L949" s="21" t="str">
        <f aca="false">IFERROR(INDEX(Projects!$E$2:$E$500,MATCH(C949,Projects!$A$2:$A$500,0)),"")</f>
        <v>Customer Experience</v>
      </c>
      <c r="M949" s="31" t="n">
        <f aca="false">IF(I949="Yes",H949*INDEX(Resources!$I$2:$I$500,MATCH(E949,Resources!$A$2:$A$500,0)),0)</f>
        <v>0</v>
      </c>
    </row>
    <row r="950" customFormat="false" ht="15" hidden="false" customHeight="false" outlineLevel="0" collapsed="false">
      <c r="A950" s="18" t="s">
        <v>1983</v>
      </c>
      <c r="B950" s="19" t="n">
        <v>46173</v>
      </c>
      <c r="C950" s="18" t="s">
        <v>275</v>
      </c>
      <c r="D950" s="18" t="s">
        <v>876</v>
      </c>
      <c r="E950" s="18"/>
      <c r="F950" s="18" t="s">
        <v>1071</v>
      </c>
      <c r="G950" s="18" t="s">
        <v>1033</v>
      </c>
      <c r="H950" s="30" t="n">
        <v>0</v>
      </c>
      <c r="I950" s="18" t="s">
        <v>527</v>
      </c>
      <c r="J950" s="28" t="n">
        <v>682.29</v>
      </c>
      <c r="K950" s="12" t="str">
        <f aca="false">TEXT(B950,"yyyy-mm")</f>
        <v>2026-05</v>
      </c>
      <c r="L950" s="21" t="str">
        <f aca="false">IFERROR(INDEX(Projects!$E$2:$E$500,MATCH(C950,Projects!$A$2:$A$500,0)),"")</f>
        <v>Customer Experience</v>
      </c>
      <c r="M950" s="31" t="n">
        <f aca="false">IF(I950="Yes",H950*INDEX(Resources!$I$2:$I$500,MATCH(E950,Resources!$A$2:$A$500,0)),0)</f>
        <v>0</v>
      </c>
    </row>
    <row r="951" customFormat="false" ht="15" hidden="false" customHeight="false" outlineLevel="0" collapsed="false">
      <c r="A951" s="18" t="s">
        <v>1984</v>
      </c>
      <c r="B951" s="19" t="n">
        <v>46173</v>
      </c>
      <c r="C951" s="18" t="s">
        <v>283</v>
      </c>
      <c r="D951" s="18" t="s">
        <v>889</v>
      </c>
      <c r="E951" s="18"/>
      <c r="F951" s="18" t="s">
        <v>1210</v>
      </c>
      <c r="G951" s="18" t="s">
        <v>1026</v>
      </c>
      <c r="H951" s="30" t="n">
        <v>0</v>
      </c>
      <c r="I951" s="18" t="s">
        <v>527</v>
      </c>
      <c r="J951" s="28" t="n">
        <v>4113.28</v>
      </c>
      <c r="K951" s="12" t="str">
        <f aca="false">TEXT(B951,"yyyy-mm")</f>
        <v>2026-05</v>
      </c>
      <c r="L951" s="21" t="str">
        <f aca="false">IFERROR(INDEX(Projects!$E$2:$E$500,MATCH(C951,Projects!$A$2:$A$500,0)),"")</f>
        <v>Data &amp; AI</v>
      </c>
      <c r="M951" s="31" t="n">
        <f aca="false">IF(I951="Yes",H951*INDEX(Resources!$I$2:$I$500,MATCH(E951,Resources!$A$2:$A$500,0)),0)</f>
        <v>0</v>
      </c>
    </row>
    <row r="952" customFormat="false" ht="15" hidden="false" customHeight="false" outlineLevel="0" collapsed="false">
      <c r="A952" s="18" t="s">
        <v>1985</v>
      </c>
      <c r="B952" s="19" t="n">
        <v>46173</v>
      </c>
      <c r="C952" s="18" t="s">
        <v>283</v>
      </c>
      <c r="D952" s="18" t="s">
        <v>869</v>
      </c>
      <c r="E952" s="18" t="s">
        <v>226</v>
      </c>
      <c r="F952" s="18"/>
      <c r="G952" s="18" t="s">
        <v>1019</v>
      </c>
      <c r="H952" s="30" t="n">
        <v>84.4</v>
      </c>
      <c r="I952" s="18" t="s">
        <v>527</v>
      </c>
      <c r="J952" s="28" t="n">
        <v>7427.2</v>
      </c>
      <c r="K952" s="12" t="str">
        <f aca="false">TEXT(B952,"yyyy-mm")</f>
        <v>2026-05</v>
      </c>
      <c r="L952" s="21" t="str">
        <f aca="false">IFERROR(INDEX(Projects!$E$2:$E$500,MATCH(C952,Projects!$A$2:$A$500,0)),"")</f>
        <v>Data &amp; AI</v>
      </c>
      <c r="M952" s="31" t="n">
        <f aca="false">IF(I952="Yes",H952*INDEX(Resources!$I$2:$I$500,MATCH(E952,Resources!$A$2:$A$500,0)),0)</f>
        <v>0</v>
      </c>
    </row>
    <row r="953" customFormat="false" ht="15" hidden="false" customHeight="false" outlineLevel="0" collapsed="false">
      <c r="A953" s="18" t="s">
        <v>1986</v>
      </c>
      <c r="B953" s="19" t="n">
        <v>46173</v>
      </c>
      <c r="C953" s="18" t="s">
        <v>283</v>
      </c>
      <c r="D953" s="18" t="s">
        <v>869</v>
      </c>
      <c r="E953" s="18" t="s">
        <v>424</v>
      </c>
      <c r="F953" s="18"/>
      <c r="G953" s="18" t="s">
        <v>1019</v>
      </c>
      <c r="H953" s="30" t="n">
        <v>78.6</v>
      </c>
      <c r="I953" s="18" t="s">
        <v>513</v>
      </c>
      <c r="J953" s="28" t="n">
        <v>5344.8</v>
      </c>
      <c r="K953" s="12" t="str">
        <f aca="false">TEXT(B953,"yyyy-mm")</f>
        <v>2026-05</v>
      </c>
      <c r="L953" s="21" t="str">
        <f aca="false">IFERROR(INDEX(Projects!$E$2:$E$500,MATCH(C953,Projects!$A$2:$A$500,0)),"")</f>
        <v>Data &amp; AI</v>
      </c>
      <c r="M953" s="31" t="n">
        <f aca="false">IF(I953="Yes",H953*INDEX(Resources!$I$2:$I$500,MATCH(E953,Resources!$A$2:$A$500,0)),0)</f>
        <v>8646</v>
      </c>
    </row>
    <row r="954" customFormat="false" ht="15" hidden="false" customHeight="false" outlineLevel="0" collapsed="false">
      <c r="A954" s="18" t="s">
        <v>1987</v>
      </c>
      <c r="B954" s="19" t="n">
        <v>46173</v>
      </c>
      <c r="C954" s="18" t="s">
        <v>283</v>
      </c>
      <c r="D954" s="18" t="s">
        <v>869</v>
      </c>
      <c r="E954" s="18" t="s">
        <v>439</v>
      </c>
      <c r="F954" s="18"/>
      <c r="G954" s="18" t="s">
        <v>1019</v>
      </c>
      <c r="H954" s="30" t="n">
        <v>40.6</v>
      </c>
      <c r="I954" s="18" t="s">
        <v>513</v>
      </c>
      <c r="J954" s="28" t="n">
        <v>3296.72</v>
      </c>
      <c r="K954" s="12" t="str">
        <f aca="false">TEXT(B954,"yyyy-mm")</f>
        <v>2026-05</v>
      </c>
      <c r="L954" s="21" t="str">
        <f aca="false">IFERROR(INDEX(Projects!$E$2:$E$500,MATCH(C954,Projects!$A$2:$A$500,0)),"")</f>
        <v>Data &amp; AI</v>
      </c>
      <c r="M954" s="31" t="n">
        <f aca="false">IF(I954="Yes",H954*INDEX(Resources!$I$2:$I$500,MATCH(E954,Resources!$A$2:$A$500,0)),0)</f>
        <v>5481</v>
      </c>
    </row>
    <row r="955" customFormat="false" ht="15" hidden="false" customHeight="false" outlineLevel="0" collapsed="false">
      <c r="A955" s="18" t="s">
        <v>1988</v>
      </c>
      <c r="B955" s="19" t="n">
        <v>46173</v>
      </c>
      <c r="C955" s="18" t="s">
        <v>283</v>
      </c>
      <c r="D955" s="18" t="s">
        <v>869</v>
      </c>
      <c r="E955" s="18" t="s">
        <v>459</v>
      </c>
      <c r="F955" s="18"/>
      <c r="G955" s="18" t="s">
        <v>1019</v>
      </c>
      <c r="H955" s="30" t="n">
        <v>171.6</v>
      </c>
      <c r="I955" s="18" t="s">
        <v>513</v>
      </c>
      <c r="J955" s="28" t="n">
        <v>16679.52</v>
      </c>
      <c r="K955" s="12" t="str">
        <f aca="false">TEXT(B955,"yyyy-mm")</f>
        <v>2026-05</v>
      </c>
      <c r="L955" s="21" t="str">
        <f aca="false">IFERROR(INDEX(Projects!$E$2:$E$500,MATCH(C955,Projects!$A$2:$A$500,0)),"")</f>
        <v>Data &amp; AI</v>
      </c>
      <c r="M955" s="31" t="n">
        <f aca="false">IF(I955="Yes",H955*INDEX(Resources!$I$2:$I$500,MATCH(E955,Resources!$A$2:$A$500,0)),0)</f>
        <v>33462</v>
      </c>
    </row>
    <row r="956" customFormat="false" ht="15" hidden="false" customHeight="false" outlineLevel="0" collapsed="false">
      <c r="A956" s="18" t="s">
        <v>1989</v>
      </c>
      <c r="B956" s="19" t="n">
        <v>46173</v>
      </c>
      <c r="C956" s="18" t="s">
        <v>283</v>
      </c>
      <c r="D956" s="18" t="s">
        <v>872</v>
      </c>
      <c r="E956" s="18"/>
      <c r="F956" s="18" t="s">
        <v>1025</v>
      </c>
      <c r="G956" s="18" t="s">
        <v>1026</v>
      </c>
      <c r="H956" s="30" t="n">
        <v>0</v>
      </c>
      <c r="I956" s="18" t="s">
        <v>527</v>
      </c>
      <c r="J956" s="28" t="n">
        <v>2169.53</v>
      </c>
      <c r="K956" s="12" t="str">
        <f aca="false">TEXT(B956,"yyyy-mm")</f>
        <v>2026-05</v>
      </c>
      <c r="L956" s="21" t="str">
        <f aca="false">IFERROR(INDEX(Projects!$E$2:$E$500,MATCH(C956,Projects!$A$2:$A$500,0)),"")</f>
        <v>Data &amp; AI</v>
      </c>
      <c r="M956" s="31" t="n">
        <f aca="false">IF(I956="Yes",H956*INDEX(Resources!$I$2:$I$500,MATCH(E956,Resources!$A$2:$A$500,0)),0)</f>
        <v>0</v>
      </c>
    </row>
    <row r="957" customFormat="false" ht="15" hidden="false" customHeight="false" outlineLevel="0" collapsed="false">
      <c r="A957" s="18" t="s">
        <v>1990</v>
      </c>
      <c r="B957" s="19" t="n">
        <v>46173</v>
      </c>
      <c r="C957" s="18" t="s">
        <v>283</v>
      </c>
      <c r="D957" s="18" t="s">
        <v>876</v>
      </c>
      <c r="E957" s="18"/>
      <c r="F957" s="18" t="s">
        <v>1071</v>
      </c>
      <c r="G957" s="18" t="s">
        <v>1033</v>
      </c>
      <c r="H957" s="30" t="n">
        <v>0</v>
      </c>
      <c r="I957" s="18" t="s">
        <v>527</v>
      </c>
      <c r="J957" s="28" t="n">
        <v>572.21</v>
      </c>
      <c r="K957" s="12" t="str">
        <f aca="false">TEXT(B957,"yyyy-mm")</f>
        <v>2026-05</v>
      </c>
      <c r="L957" s="21" t="str">
        <f aca="false">IFERROR(INDEX(Projects!$E$2:$E$500,MATCH(C957,Projects!$A$2:$A$500,0)),"")</f>
        <v>Data &amp; AI</v>
      </c>
      <c r="M957" s="31" t="n">
        <f aca="false">IF(I957="Yes",H957*INDEX(Resources!$I$2:$I$500,MATCH(E957,Resources!$A$2:$A$500,0)),0)</f>
        <v>0</v>
      </c>
    </row>
    <row r="958" customFormat="false" ht="15" hidden="false" customHeight="false" outlineLevel="0" collapsed="false">
      <c r="A958" s="18" t="s">
        <v>1991</v>
      </c>
      <c r="B958" s="19" t="n">
        <v>46173</v>
      </c>
      <c r="C958" s="18" t="s">
        <v>285</v>
      </c>
      <c r="D958" s="18" t="s">
        <v>869</v>
      </c>
      <c r="E958" s="18" t="s">
        <v>247</v>
      </c>
      <c r="F958" s="18"/>
      <c r="G958" s="18" t="s">
        <v>1019</v>
      </c>
      <c r="H958" s="30" t="n">
        <v>43.6</v>
      </c>
      <c r="I958" s="18" t="s">
        <v>513</v>
      </c>
      <c r="J958" s="28" t="n">
        <v>3836.8</v>
      </c>
      <c r="K958" s="12" t="str">
        <f aca="false">TEXT(B958,"yyyy-mm")</f>
        <v>2026-05</v>
      </c>
      <c r="L958" s="21" t="str">
        <f aca="false">IFERROR(INDEX(Projects!$E$2:$E$500,MATCH(C958,Projects!$A$2:$A$500,0)),"")</f>
        <v>Operational Excellence</v>
      </c>
      <c r="M958" s="31" t="n">
        <f aca="false">IF(I958="Yes",H958*INDEX(Resources!$I$2:$I$500,MATCH(E958,Resources!$A$2:$A$500,0)),0)</f>
        <v>7630</v>
      </c>
    </row>
    <row r="959" customFormat="false" ht="15" hidden="false" customHeight="false" outlineLevel="0" collapsed="false">
      <c r="A959" s="18" t="s">
        <v>1992</v>
      </c>
      <c r="B959" s="19" t="n">
        <v>46173</v>
      </c>
      <c r="C959" s="18" t="s">
        <v>285</v>
      </c>
      <c r="D959" s="18" t="s">
        <v>869</v>
      </c>
      <c r="E959" s="18" t="s">
        <v>368</v>
      </c>
      <c r="F959" s="18"/>
      <c r="G959" s="18" t="s">
        <v>1019</v>
      </c>
      <c r="H959" s="30" t="n">
        <v>83.9</v>
      </c>
      <c r="I959" s="18" t="s">
        <v>513</v>
      </c>
      <c r="J959" s="28" t="n">
        <v>6161.62</v>
      </c>
      <c r="K959" s="12" t="str">
        <f aca="false">TEXT(B959,"yyyy-mm")</f>
        <v>2026-05</v>
      </c>
      <c r="L959" s="21" t="str">
        <f aca="false">IFERROR(INDEX(Projects!$E$2:$E$500,MATCH(C959,Projects!$A$2:$A$500,0)),"")</f>
        <v>Operational Excellence</v>
      </c>
      <c r="M959" s="31" t="n">
        <f aca="false">IF(I959="Yes",H959*INDEX(Resources!$I$2:$I$500,MATCH(E959,Resources!$A$2:$A$500,0)),0)</f>
        <v>12585</v>
      </c>
    </row>
    <row r="960" customFormat="false" ht="15" hidden="false" customHeight="false" outlineLevel="0" collapsed="false">
      <c r="A960" s="18" t="s">
        <v>1993</v>
      </c>
      <c r="B960" s="19" t="n">
        <v>46173</v>
      </c>
      <c r="C960" s="18" t="s">
        <v>285</v>
      </c>
      <c r="D960" s="18" t="s">
        <v>869</v>
      </c>
      <c r="E960" s="18" t="s">
        <v>398</v>
      </c>
      <c r="F960" s="18"/>
      <c r="G960" s="18" t="s">
        <v>1019</v>
      </c>
      <c r="H960" s="30" t="n">
        <v>139.5</v>
      </c>
      <c r="I960" s="18" t="s">
        <v>513</v>
      </c>
      <c r="J960" s="28" t="n">
        <v>11935.62</v>
      </c>
      <c r="K960" s="12" t="str">
        <f aca="false">TEXT(B960,"yyyy-mm")</f>
        <v>2026-05</v>
      </c>
      <c r="L960" s="21" t="str">
        <f aca="false">IFERROR(INDEX(Projects!$E$2:$E$500,MATCH(C960,Projects!$A$2:$A$500,0)),"")</f>
        <v>Operational Excellence</v>
      </c>
      <c r="M960" s="31" t="n">
        <f aca="false">IF(I960="Yes",H960*INDEX(Resources!$I$2:$I$500,MATCH(E960,Resources!$A$2:$A$500,0)),0)</f>
        <v>23715</v>
      </c>
    </row>
    <row r="961" customFormat="false" ht="15" hidden="false" customHeight="false" outlineLevel="0" collapsed="false">
      <c r="A961" s="18" t="s">
        <v>1994</v>
      </c>
      <c r="B961" s="19" t="n">
        <v>46173</v>
      </c>
      <c r="C961" s="18" t="s">
        <v>285</v>
      </c>
      <c r="D961" s="18" t="s">
        <v>869</v>
      </c>
      <c r="E961" s="18" t="s">
        <v>414</v>
      </c>
      <c r="F961" s="18"/>
      <c r="G961" s="18" t="s">
        <v>1019</v>
      </c>
      <c r="H961" s="30" t="n">
        <v>82.1</v>
      </c>
      <c r="I961" s="18" t="s">
        <v>513</v>
      </c>
      <c r="J961" s="28" t="n">
        <v>4886.59</v>
      </c>
      <c r="K961" s="12" t="str">
        <f aca="false">TEXT(B961,"yyyy-mm")</f>
        <v>2026-05</v>
      </c>
      <c r="L961" s="21" t="str">
        <f aca="false">IFERROR(INDEX(Projects!$E$2:$E$500,MATCH(C961,Projects!$A$2:$A$500,0)),"")</f>
        <v>Operational Excellence</v>
      </c>
      <c r="M961" s="31" t="n">
        <f aca="false">IF(I961="Yes",H961*INDEX(Resources!$I$2:$I$500,MATCH(E961,Resources!$A$2:$A$500,0)),0)</f>
        <v>9852</v>
      </c>
    </row>
    <row r="962" customFormat="false" ht="15" hidden="false" customHeight="false" outlineLevel="0" collapsed="false">
      <c r="A962" s="18" t="s">
        <v>1995</v>
      </c>
      <c r="B962" s="19" t="n">
        <v>46173</v>
      </c>
      <c r="C962" s="18" t="s">
        <v>285</v>
      </c>
      <c r="D962" s="18" t="s">
        <v>872</v>
      </c>
      <c r="E962" s="18"/>
      <c r="F962" s="18" t="s">
        <v>353</v>
      </c>
      <c r="G962" s="18" t="s">
        <v>1026</v>
      </c>
      <c r="H962" s="30" t="n">
        <v>0</v>
      </c>
      <c r="I962" s="18" t="s">
        <v>527</v>
      </c>
      <c r="J962" s="28" t="n">
        <v>1474.24</v>
      </c>
      <c r="K962" s="12" t="str">
        <f aca="false">TEXT(B962,"yyyy-mm")</f>
        <v>2026-05</v>
      </c>
      <c r="L962" s="21" t="str">
        <f aca="false">IFERROR(INDEX(Projects!$E$2:$E$500,MATCH(C962,Projects!$A$2:$A$500,0)),"")</f>
        <v>Operational Excellence</v>
      </c>
      <c r="M962" s="31" t="n">
        <f aca="false">IF(I962="Yes",H962*INDEX(Resources!$I$2:$I$500,MATCH(E962,Resources!$A$2:$A$500,0)),0)</f>
        <v>0</v>
      </c>
    </row>
    <row r="963" customFormat="false" ht="15" hidden="false" customHeight="false" outlineLevel="0" collapsed="false">
      <c r="A963" s="18" t="s">
        <v>1996</v>
      </c>
      <c r="B963" s="19" t="n">
        <v>46173</v>
      </c>
      <c r="C963" s="18" t="s">
        <v>285</v>
      </c>
      <c r="D963" s="18" t="s">
        <v>495</v>
      </c>
      <c r="E963" s="18"/>
      <c r="F963" s="18" t="s">
        <v>1030</v>
      </c>
      <c r="G963" s="18" t="s">
        <v>1026</v>
      </c>
      <c r="H963" s="30" t="n">
        <v>0</v>
      </c>
      <c r="I963" s="18" t="s">
        <v>527</v>
      </c>
      <c r="J963" s="28" t="n">
        <v>804.1</v>
      </c>
      <c r="K963" s="12" t="str">
        <f aca="false">TEXT(B963,"yyyy-mm")</f>
        <v>2026-05</v>
      </c>
      <c r="L963" s="21" t="str">
        <f aca="false">IFERROR(INDEX(Projects!$E$2:$E$500,MATCH(C963,Projects!$A$2:$A$500,0)),"")</f>
        <v>Operational Excellence</v>
      </c>
      <c r="M963" s="31" t="n">
        <f aca="false">IF(I963="Yes",H963*INDEX(Resources!$I$2:$I$500,MATCH(E963,Resources!$A$2:$A$500,0)),0)</f>
        <v>0</v>
      </c>
    </row>
    <row r="964" customFormat="false" ht="15" hidden="false" customHeight="false" outlineLevel="0" collapsed="false">
      <c r="A964" s="18" t="s">
        <v>1997</v>
      </c>
      <c r="B964" s="19" t="n">
        <v>46173</v>
      </c>
      <c r="C964" s="18" t="s">
        <v>285</v>
      </c>
      <c r="D964" s="18" t="s">
        <v>876</v>
      </c>
      <c r="E964" s="18"/>
      <c r="F964" s="18" t="s">
        <v>1071</v>
      </c>
      <c r="G964" s="18" t="s">
        <v>1033</v>
      </c>
      <c r="H964" s="30" t="n">
        <v>0</v>
      </c>
      <c r="I964" s="18" t="s">
        <v>527</v>
      </c>
      <c r="J964" s="28" t="n">
        <v>543.44</v>
      </c>
      <c r="K964" s="12" t="str">
        <f aca="false">TEXT(B964,"yyyy-mm")</f>
        <v>2026-05</v>
      </c>
      <c r="L964" s="21" t="str">
        <f aca="false">IFERROR(INDEX(Projects!$E$2:$E$500,MATCH(C964,Projects!$A$2:$A$500,0)),"")</f>
        <v>Operational Excellence</v>
      </c>
      <c r="M964" s="31" t="n">
        <f aca="false">IF(I964="Yes",H964*INDEX(Resources!$I$2:$I$500,MATCH(E964,Resources!$A$2:$A$500,0)),0)</f>
        <v>0</v>
      </c>
    </row>
    <row r="965" customFormat="false" ht="15" hidden="false" customHeight="false" outlineLevel="0" collapsed="false">
      <c r="A965" s="18" t="s">
        <v>1998</v>
      </c>
      <c r="B965" s="19" t="n">
        <v>46203</v>
      </c>
      <c r="C965" s="18" t="s">
        <v>197</v>
      </c>
      <c r="D965" s="18" t="s">
        <v>869</v>
      </c>
      <c r="E965" s="18" t="s">
        <v>201</v>
      </c>
      <c r="F965" s="18"/>
      <c r="G965" s="18" t="s">
        <v>1019</v>
      </c>
      <c r="H965" s="30" t="n">
        <v>92.5</v>
      </c>
      <c r="I965" s="18" t="s">
        <v>513</v>
      </c>
      <c r="J965" s="28" t="n">
        <v>9442.4</v>
      </c>
      <c r="K965" s="12" t="str">
        <f aca="false">TEXT(B965,"yyyy-mm")</f>
        <v>2026-06</v>
      </c>
      <c r="L965" s="21" t="str">
        <f aca="false">IFERROR(INDEX(Projects!$E$2:$E$500,MATCH(C965,Projects!$A$2:$A$500,0)),"")</f>
        <v>Customer Experience</v>
      </c>
      <c r="M965" s="31" t="n">
        <f aca="false">IF(I965="Yes",H965*INDEX(Resources!$I$2:$I$500,MATCH(E965,Resources!$A$2:$A$500,0)),0)</f>
        <v>18962.5</v>
      </c>
    </row>
    <row r="966" customFormat="false" ht="15" hidden="false" customHeight="false" outlineLevel="0" collapsed="false">
      <c r="A966" s="18" t="s">
        <v>1999</v>
      </c>
      <c r="B966" s="19" t="n">
        <v>46203</v>
      </c>
      <c r="C966" s="18" t="s">
        <v>197</v>
      </c>
      <c r="D966" s="18" t="s">
        <v>869</v>
      </c>
      <c r="E966" s="18" t="s">
        <v>389</v>
      </c>
      <c r="F966" s="18"/>
      <c r="G966" s="18" t="s">
        <v>1019</v>
      </c>
      <c r="H966" s="30" t="n">
        <v>118.4</v>
      </c>
      <c r="I966" s="18" t="s">
        <v>513</v>
      </c>
      <c r="J966" s="28" t="n">
        <v>12635.65</v>
      </c>
      <c r="K966" s="12" t="str">
        <f aca="false">TEXT(B966,"yyyy-mm")</f>
        <v>2026-06</v>
      </c>
      <c r="L966" s="21" t="str">
        <f aca="false">IFERROR(INDEX(Projects!$E$2:$E$500,MATCH(C966,Projects!$A$2:$A$500,0)),"")</f>
        <v>Customer Experience</v>
      </c>
      <c r="M966" s="31" t="n">
        <f aca="false">IF(I966="Yes",H966*INDEX(Resources!$I$2:$I$500,MATCH(E966,Resources!$A$2:$A$500,0)),0)</f>
        <v>25456</v>
      </c>
    </row>
    <row r="967" customFormat="false" ht="15" hidden="false" customHeight="false" outlineLevel="0" collapsed="false">
      <c r="A967" s="18" t="s">
        <v>2000</v>
      </c>
      <c r="B967" s="19" t="n">
        <v>46203</v>
      </c>
      <c r="C967" s="18" t="s">
        <v>197</v>
      </c>
      <c r="D967" s="18" t="s">
        <v>869</v>
      </c>
      <c r="E967" s="18" t="s">
        <v>409</v>
      </c>
      <c r="F967" s="18"/>
      <c r="G967" s="18" t="s">
        <v>1019</v>
      </c>
      <c r="H967" s="30" t="n">
        <v>184.1</v>
      </c>
      <c r="I967" s="18" t="s">
        <v>513</v>
      </c>
      <c r="J967" s="28" t="n">
        <v>13667.58</v>
      </c>
      <c r="K967" s="12" t="str">
        <f aca="false">TEXT(B967,"yyyy-mm")</f>
        <v>2026-06</v>
      </c>
      <c r="L967" s="21" t="str">
        <f aca="false">IFERROR(INDEX(Projects!$E$2:$E$500,MATCH(C967,Projects!$A$2:$A$500,0)),"")</f>
        <v>Customer Experience</v>
      </c>
      <c r="M967" s="31" t="n">
        <f aca="false">IF(I967="Yes",H967*INDEX(Resources!$I$2:$I$500,MATCH(E967,Resources!$A$2:$A$500,0)),0)</f>
        <v>27615</v>
      </c>
    </row>
    <row r="968" customFormat="false" ht="15" hidden="false" customHeight="false" outlineLevel="0" collapsed="false">
      <c r="A968" s="18" t="s">
        <v>2001</v>
      </c>
      <c r="B968" s="19" t="n">
        <v>46203</v>
      </c>
      <c r="C968" s="18" t="s">
        <v>197</v>
      </c>
      <c r="D968" s="18" t="s">
        <v>869</v>
      </c>
      <c r="E968" s="18" t="s">
        <v>434</v>
      </c>
      <c r="F968" s="18"/>
      <c r="G968" s="18" t="s">
        <v>1019</v>
      </c>
      <c r="H968" s="30" t="n">
        <v>87.9</v>
      </c>
      <c r="I968" s="18" t="s">
        <v>513</v>
      </c>
      <c r="J968" s="28" t="n">
        <v>5709.98</v>
      </c>
      <c r="K968" s="12" t="str">
        <f aca="false">TEXT(B968,"yyyy-mm")</f>
        <v>2026-06</v>
      </c>
      <c r="L968" s="21" t="str">
        <f aca="false">IFERROR(INDEX(Projects!$E$2:$E$500,MATCH(C968,Projects!$A$2:$A$500,0)),"")</f>
        <v>Customer Experience</v>
      </c>
      <c r="M968" s="31" t="n">
        <f aca="false">IF(I968="Yes",H968*INDEX(Resources!$I$2:$I$500,MATCH(E968,Resources!$A$2:$A$500,0)),0)</f>
        <v>11866.5</v>
      </c>
    </row>
    <row r="969" customFormat="false" ht="15" hidden="false" customHeight="false" outlineLevel="0" collapsed="false">
      <c r="A969" s="18" t="s">
        <v>2002</v>
      </c>
      <c r="B969" s="19" t="n">
        <v>46203</v>
      </c>
      <c r="C969" s="18" t="s">
        <v>197</v>
      </c>
      <c r="D969" s="18" t="s">
        <v>872</v>
      </c>
      <c r="E969" s="18"/>
      <c r="F969" s="18" t="s">
        <v>1059</v>
      </c>
      <c r="G969" s="18" t="s">
        <v>1026</v>
      </c>
      <c r="H969" s="30" t="n">
        <v>0</v>
      </c>
      <c r="I969" s="18" t="s">
        <v>527</v>
      </c>
      <c r="J969" s="28" t="n">
        <v>2743.46</v>
      </c>
      <c r="K969" s="12" t="str">
        <f aca="false">TEXT(B969,"yyyy-mm")</f>
        <v>2026-06</v>
      </c>
      <c r="L969" s="21" t="str">
        <f aca="false">IFERROR(INDEX(Projects!$E$2:$E$500,MATCH(C969,Projects!$A$2:$A$500,0)),"")</f>
        <v>Customer Experience</v>
      </c>
      <c r="M969" s="31" t="n">
        <f aca="false">IF(I969="Yes",H969*INDEX(Resources!$I$2:$I$500,MATCH(E969,Resources!$A$2:$A$500,0)),0)</f>
        <v>0</v>
      </c>
    </row>
    <row r="970" customFormat="false" ht="15" hidden="false" customHeight="false" outlineLevel="0" collapsed="false">
      <c r="A970" s="18" t="s">
        <v>2003</v>
      </c>
      <c r="B970" s="19" t="n">
        <v>46203</v>
      </c>
      <c r="C970" s="18" t="s">
        <v>197</v>
      </c>
      <c r="D970" s="18" t="s">
        <v>874</v>
      </c>
      <c r="E970" s="18"/>
      <c r="F970" s="18" t="s">
        <v>1224</v>
      </c>
      <c r="G970" s="18" t="s">
        <v>1026</v>
      </c>
      <c r="H970" s="30" t="n">
        <v>0</v>
      </c>
      <c r="I970" s="18" t="s">
        <v>527</v>
      </c>
      <c r="J970" s="28" t="n">
        <v>4728.26</v>
      </c>
      <c r="K970" s="12" t="str">
        <f aca="false">TEXT(B970,"yyyy-mm")</f>
        <v>2026-06</v>
      </c>
      <c r="L970" s="21" t="str">
        <f aca="false">IFERROR(INDEX(Projects!$E$2:$E$500,MATCH(C970,Projects!$A$2:$A$500,0)),"")</f>
        <v>Customer Experience</v>
      </c>
      <c r="M970" s="31" t="n">
        <f aca="false">IF(I970="Yes",H970*INDEX(Resources!$I$2:$I$500,MATCH(E970,Resources!$A$2:$A$500,0)),0)</f>
        <v>0</v>
      </c>
    </row>
    <row r="971" customFormat="false" ht="15" hidden="false" customHeight="false" outlineLevel="0" collapsed="false">
      <c r="A971" s="18" t="s">
        <v>2004</v>
      </c>
      <c r="B971" s="19" t="n">
        <v>46203</v>
      </c>
      <c r="C971" s="18" t="s">
        <v>197</v>
      </c>
      <c r="D971" s="18" t="s">
        <v>876</v>
      </c>
      <c r="E971" s="18"/>
      <c r="F971" s="18" t="s">
        <v>1071</v>
      </c>
      <c r="G971" s="18" t="s">
        <v>1033</v>
      </c>
      <c r="H971" s="30" t="n">
        <v>0</v>
      </c>
      <c r="I971" s="18" t="s">
        <v>527</v>
      </c>
      <c r="J971" s="28" t="n">
        <v>1013.79</v>
      </c>
      <c r="K971" s="12" t="str">
        <f aca="false">TEXT(B971,"yyyy-mm")</f>
        <v>2026-06</v>
      </c>
      <c r="L971" s="21" t="str">
        <f aca="false">IFERROR(INDEX(Projects!$E$2:$E$500,MATCH(C971,Projects!$A$2:$A$500,0)),"")</f>
        <v>Customer Experience</v>
      </c>
      <c r="M971" s="31" t="n">
        <f aca="false">IF(I971="Yes",H971*INDEX(Resources!$I$2:$I$500,MATCH(E971,Resources!$A$2:$A$500,0)),0)</f>
        <v>0</v>
      </c>
    </row>
    <row r="972" customFormat="false" ht="15" hidden="false" customHeight="false" outlineLevel="0" collapsed="false">
      <c r="A972" s="18" t="s">
        <v>2005</v>
      </c>
      <c r="B972" s="19" t="n">
        <v>46203</v>
      </c>
      <c r="C972" s="18" t="s">
        <v>207</v>
      </c>
      <c r="D972" s="18" t="s">
        <v>869</v>
      </c>
      <c r="E972" s="18" t="s">
        <v>211</v>
      </c>
      <c r="F972" s="18"/>
      <c r="G972" s="18" t="s">
        <v>1019</v>
      </c>
      <c r="H972" s="30" t="n">
        <v>68.3</v>
      </c>
      <c r="I972" s="18" t="s">
        <v>513</v>
      </c>
      <c r="J972" s="28" t="n">
        <v>6972.06</v>
      </c>
      <c r="K972" s="12" t="str">
        <f aca="false">TEXT(B972,"yyyy-mm")</f>
        <v>2026-06</v>
      </c>
      <c r="L972" s="21" t="str">
        <f aca="false">IFERROR(INDEX(Projects!$E$2:$E$500,MATCH(C972,Projects!$A$2:$A$500,0)),"")</f>
        <v>Operational Excellence</v>
      </c>
      <c r="M972" s="31" t="n">
        <f aca="false">IF(I972="Yes",H972*INDEX(Resources!$I$2:$I$500,MATCH(E972,Resources!$A$2:$A$500,0)),0)</f>
        <v>14001.5</v>
      </c>
    </row>
    <row r="973" customFormat="false" ht="15" hidden="false" customHeight="false" outlineLevel="0" collapsed="false">
      <c r="A973" s="18" t="s">
        <v>2006</v>
      </c>
      <c r="B973" s="19" t="n">
        <v>46203</v>
      </c>
      <c r="C973" s="18" t="s">
        <v>207</v>
      </c>
      <c r="D973" s="18" t="s">
        <v>869</v>
      </c>
      <c r="E973" s="18" t="s">
        <v>368</v>
      </c>
      <c r="F973" s="18"/>
      <c r="G973" s="18" t="s">
        <v>1019</v>
      </c>
      <c r="H973" s="30" t="n">
        <v>132.7</v>
      </c>
      <c r="I973" s="18" t="s">
        <v>513</v>
      </c>
      <c r="J973" s="28" t="n">
        <v>9745.49</v>
      </c>
      <c r="K973" s="12" t="str">
        <f aca="false">TEXT(B973,"yyyy-mm")</f>
        <v>2026-06</v>
      </c>
      <c r="L973" s="21" t="str">
        <f aca="false">IFERROR(INDEX(Projects!$E$2:$E$500,MATCH(C973,Projects!$A$2:$A$500,0)),"")</f>
        <v>Operational Excellence</v>
      </c>
      <c r="M973" s="31" t="n">
        <f aca="false">IF(I973="Yes",H973*INDEX(Resources!$I$2:$I$500,MATCH(E973,Resources!$A$2:$A$500,0)),0)</f>
        <v>19905</v>
      </c>
    </row>
    <row r="974" customFormat="false" ht="15" hidden="false" customHeight="false" outlineLevel="0" collapsed="false">
      <c r="A974" s="18" t="s">
        <v>2007</v>
      </c>
      <c r="B974" s="19" t="n">
        <v>46203</v>
      </c>
      <c r="C974" s="18" t="s">
        <v>207</v>
      </c>
      <c r="D974" s="18" t="s">
        <v>869</v>
      </c>
      <c r="E974" s="18" t="s">
        <v>393</v>
      </c>
      <c r="F974" s="18"/>
      <c r="G974" s="18" t="s">
        <v>1019</v>
      </c>
      <c r="H974" s="30" t="n">
        <v>132.3</v>
      </c>
      <c r="I974" s="18" t="s">
        <v>513</v>
      </c>
      <c r="J974" s="28" t="n">
        <v>13145.33</v>
      </c>
      <c r="K974" s="12" t="str">
        <f aca="false">TEXT(B974,"yyyy-mm")</f>
        <v>2026-06</v>
      </c>
      <c r="L974" s="21" t="str">
        <f aca="false">IFERROR(INDEX(Projects!$E$2:$E$500,MATCH(C974,Projects!$A$2:$A$500,0)),"")</f>
        <v>Operational Excellence</v>
      </c>
      <c r="M974" s="31" t="n">
        <f aca="false">IF(I974="Yes",H974*INDEX(Resources!$I$2:$I$500,MATCH(E974,Resources!$A$2:$A$500,0)),0)</f>
        <v>26460</v>
      </c>
    </row>
    <row r="975" customFormat="false" ht="15" hidden="false" customHeight="false" outlineLevel="0" collapsed="false">
      <c r="A975" s="18" t="s">
        <v>2008</v>
      </c>
      <c r="B975" s="19" t="n">
        <v>46203</v>
      </c>
      <c r="C975" s="18" t="s">
        <v>207</v>
      </c>
      <c r="D975" s="18" t="s">
        <v>869</v>
      </c>
      <c r="E975" s="18" t="s">
        <v>412</v>
      </c>
      <c r="F975" s="18"/>
      <c r="G975" s="18" t="s">
        <v>1019</v>
      </c>
      <c r="H975" s="30" t="n">
        <v>206.4</v>
      </c>
      <c r="I975" s="18" t="s">
        <v>513</v>
      </c>
      <c r="J975" s="28" t="n">
        <v>12284.93</v>
      </c>
      <c r="K975" s="12" t="str">
        <f aca="false">TEXT(B975,"yyyy-mm")</f>
        <v>2026-06</v>
      </c>
      <c r="L975" s="21" t="str">
        <f aca="false">IFERROR(INDEX(Projects!$E$2:$E$500,MATCH(C975,Projects!$A$2:$A$500,0)),"")</f>
        <v>Operational Excellence</v>
      </c>
      <c r="M975" s="31" t="n">
        <f aca="false">IF(I975="Yes",H975*INDEX(Resources!$I$2:$I$500,MATCH(E975,Resources!$A$2:$A$500,0)),0)</f>
        <v>24768</v>
      </c>
    </row>
    <row r="976" customFormat="false" ht="15" hidden="false" customHeight="false" outlineLevel="0" collapsed="false">
      <c r="A976" s="18" t="s">
        <v>2009</v>
      </c>
      <c r="B976" s="19" t="n">
        <v>46203</v>
      </c>
      <c r="C976" s="18" t="s">
        <v>207</v>
      </c>
      <c r="D976" s="18" t="s">
        <v>869</v>
      </c>
      <c r="E976" s="18" t="s">
        <v>439</v>
      </c>
      <c r="F976" s="18"/>
      <c r="G976" s="18" t="s">
        <v>1019</v>
      </c>
      <c r="H976" s="30" t="n">
        <v>31.1</v>
      </c>
      <c r="I976" s="18" t="s">
        <v>513</v>
      </c>
      <c r="J976" s="28" t="n">
        <v>2525.32</v>
      </c>
      <c r="K976" s="12" t="str">
        <f aca="false">TEXT(B976,"yyyy-mm")</f>
        <v>2026-06</v>
      </c>
      <c r="L976" s="21" t="str">
        <f aca="false">IFERROR(INDEX(Projects!$E$2:$E$500,MATCH(C976,Projects!$A$2:$A$500,0)),"")</f>
        <v>Operational Excellence</v>
      </c>
      <c r="M976" s="31" t="n">
        <f aca="false">IF(I976="Yes",H976*INDEX(Resources!$I$2:$I$500,MATCH(E976,Resources!$A$2:$A$500,0)),0)</f>
        <v>4198.5</v>
      </c>
    </row>
    <row r="977" customFormat="false" ht="15" hidden="false" customHeight="false" outlineLevel="0" collapsed="false">
      <c r="A977" s="18" t="s">
        <v>2010</v>
      </c>
      <c r="B977" s="19" t="n">
        <v>46203</v>
      </c>
      <c r="C977" s="18" t="s">
        <v>207</v>
      </c>
      <c r="D977" s="18" t="s">
        <v>869</v>
      </c>
      <c r="E977" s="18" t="s">
        <v>492</v>
      </c>
      <c r="F977" s="18"/>
      <c r="G977" s="18" t="s">
        <v>1019</v>
      </c>
      <c r="H977" s="30" t="n">
        <v>30.9</v>
      </c>
      <c r="I977" s="18" t="s">
        <v>513</v>
      </c>
      <c r="J977" s="28" t="n">
        <v>2580.77</v>
      </c>
      <c r="K977" s="12" t="str">
        <f aca="false">TEXT(B977,"yyyy-mm")</f>
        <v>2026-06</v>
      </c>
      <c r="L977" s="21" t="str">
        <f aca="false">IFERROR(INDEX(Projects!$E$2:$E$500,MATCH(C977,Projects!$A$2:$A$500,0)),"")</f>
        <v>Operational Excellence</v>
      </c>
      <c r="M977" s="31" t="n">
        <f aca="false">IF(I977="Yes",H977*INDEX(Resources!$I$2:$I$500,MATCH(E977,Resources!$A$2:$A$500,0)),0)</f>
        <v>5407.5</v>
      </c>
    </row>
    <row r="978" customFormat="false" ht="15" hidden="false" customHeight="false" outlineLevel="0" collapsed="false">
      <c r="A978" s="18" t="s">
        <v>2011</v>
      </c>
      <c r="B978" s="19" t="n">
        <v>46203</v>
      </c>
      <c r="C978" s="18" t="s">
        <v>207</v>
      </c>
      <c r="D978" s="18" t="s">
        <v>872</v>
      </c>
      <c r="E978" s="18"/>
      <c r="F978" s="18" t="s">
        <v>353</v>
      </c>
      <c r="G978" s="18" t="s">
        <v>1026</v>
      </c>
      <c r="H978" s="30" t="n">
        <v>0</v>
      </c>
      <c r="I978" s="18" t="s">
        <v>527</v>
      </c>
      <c r="J978" s="28" t="n">
        <v>1975.18</v>
      </c>
      <c r="K978" s="12" t="str">
        <f aca="false">TEXT(B978,"yyyy-mm")</f>
        <v>2026-06</v>
      </c>
      <c r="L978" s="21" t="str">
        <f aca="false">IFERROR(INDEX(Projects!$E$2:$E$500,MATCH(C978,Projects!$A$2:$A$500,0)),"")</f>
        <v>Operational Excellence</v>
      </c>
      <c r="M978" s="31" t="n">
        <f aca="false">IF(I978="Yes",H978*INDEX(Resources!$I$2:$I$500,MATCH(E978,Resources!$A$2:$A$500,0)),0)</f>
        <v>0</v>
      </c>
    </row>
    <row r="979" customFormat="false" ht="15" hidden="false" customHeight="false" outlineLevel="0" collapsed="false">
      <c r="A979" s="18" t="s">
        <v>2012</v>
      </c>
      <c r="B979" s="19" t="n">
        <v>46203</v>
      </c>
      <c r="C979" s="18" t="s">
        <v>207</v>
      </c>
      <c r="D979" s="18" t="s">
        <v>495</v>
      </c>
      <c r="E979" s="18"/>
      <c r="F979" s="18" t="s">
        <v>1373</v>
      </c>
      <c r="G979" s="18" t="s">
        <v>1026</v>
      </c>
      <c r="H979" s="30" t="n">
        <v>0</v>
      </c>
      <c r="I979" s="18" t="s">
        <v>527</v>
      </c>
      <c r="J979" s="28" t="n">
        <v>812.2</v>
      </c>
      <c r="K979" s="12" t="str">
        <f aca="false">TEXT(B979,"yyyy-mm")</f>
        <v>2026-06</v>
      </c>
      <c r="L979" s="21" t="str">
        <f aca="false">IFERROR(INDEX(Projects!$E$2:$E$500,MATCH(C979,Projects!$A$2:$A$500,0)),"")</f>
        <v>Operational Excellence</v>
      </c>
      <c r="M979" s="31" t="n">
        <f aca="false">IF(I979="Yes",H979*INDEX(Resources!$I$2:$I$500,MATCH(E979,Resources!$A$2:$A$500,0)),0)</f>
        <v>0</v>
      </c>
    </row>
    <row r="980" customFormat="false" ht="15" hidden="false" customHeight="false" outlineLevel="0" collapsed="false">
      <c r="A980" s="18" t="s">
        <v>2013</v>
      </c>
      <c r="B980" s="19" t="n">
        <v>46203</v>
      </c>
      <c r="C980" s="18" t="s">
        <v>207</v>
      </c>
      <c r="D980" s="18" t="s">
        <v>876</v>
      </c>
      <c r="E980" s="18"/>
      <c r="F980" s="18" t="s">
        <v>1032</v>
      </c>
      <c r="G980" s="18" t="s">
        <v>1033</v>
      </c>
      <c r="H980" s="30" t="n">
        <v>0</v>
      </c>
      <c r="I980" s="18" t="s">
        <v>527</v>
      </c>
      <c r="J980" s="28" t="n">
        <v>701.64</v>
      </c>
      <c r="K980" s="12" t="str">
        <f aca="false">TEXT(B980,"yyyy-mm")</f>
        <v>2026-06</v>
      </c>
      <c r="L980" s="21" t="str">
        <f aca="false">IFERROR(INDEX(Projects!$E$2:$E$500,MATCH(C980,Projects!$A$2:$A$500,0)),"")</f>
        <v>Operational Excellence</v>
      </c>
      <c r="M980" s="31" t="n">
        <f aca="false">IF(I980="Yes",H980*INDEX(Resources!$I$2:$I$500,MATCH(E980,Resources!$A$2:$A$500,0)),0)</f>
        <v>0</v>
      </c>
    </row>
    <row r="981" customFormat="false" ht="15" hidden="false" customHeight="false" outlineLevel="0" collapsed="false">
      <c r="A981" s="18" t="s">
        <v>2014</v>
      </c>
      <c r="B981" s="19" t="n">
        <v>46203</v>
      </c>
      <c r="C981" s="18" t="s">
        <v>215</v>
      </c>
      <c r="D981" s="18" t="s">
        <v>889</v>
      </c>
      <c r="E981" s="18"/>
      <c r="F981" s="18" t="s">
        <v>1035</v>
      </c>
      <c r="G981" s="18" t="s">
        <v>1026</v>
      </c>
      <c r="H981" s="30" t="n">
        <v>0</v>
      </c>
      <c r="I981" s="18" t="s">
        <v>527</v>
      </c>
      <c r="J981" s="28" t="n">
        <v>4164.25</v>
      </c>
      <c r="K981" s="12" t="str">
        <f aca="false">TEXT(B981,"yyyy-mm")</f>
        <v>2026-06</v>
      </c>
      <c r="L981" s="21" t="str">
        <f aca="false">IFERROR(INDEX(Projects!$E$2:$E$500,MATCH(C981,Projects!$A$2:$A$500,0)),"")</f>
        <v>Data &amp; AI</v>
      </c>
      <c r="M981" s="31" t="n">
        <f aca="false">IF(I981="Yes",H981*INDEX(Resources!$I$2:$I$500,MATCH(E981,Resources!$A$2:$A$500,0)),0)</f>
        <v>0</v>
      </c>
    </row>
    <row r="982" customFormat="false" ht="15" hidden="false" customHeight="false" outlineLevel="0" collapsed="false">
      <c r="A982" s="18" t="s">
        <v>2015</v>
      </c>
      <c r="B982" s="19" t="n">
        <v>46203</v>
      </c>
      <c r="C982" s="18" t="s">
        <v>215</v>
      </c>
      <c r="D982" s="18" t="s">
        <v>869</v>
      </c>
      <c r="E982" s="18" t="s">
        <v>218</v>
      </c>
      <c r="F982" s="18"/>
      <c r="G982" s="18" t="s">
        <v>1019</v>
      </c>
      <c r="H982" s="30" t="n">
        <v>45.4</v>
      </c>
      <c r="I982" s="18" t="s">
        <v>527</v>
      </c>
      <c r="J982" s="28" t="n">
        <v>3395.92</v>
      </c>
      <c r="K982" s="12" t="str">
        <f aca="false">TEXT(B982,"yyyy-mm")</f>
        <v>2026-06</v>
      </c>
      <c r="L982" s="21" t="str">
        <f aca="false">IFERROR(INDEX(Projects!$E$2:$E$500,MATCH(C982,Projects!$A$2:$A$500,0)),"")</f>
        <v>Data &amp; AI</v>
      </c>
      <c r="M982" s="31" t="n">
        <f aca="false">IF(I982="Yes",H982*INDEX(Resources!$I$2:$I$500,MATCH(E982,Resources!$A$2:$A$500,0)),0)</f>
        <v>0</v>
      </c>
    </row>
    <row r="983" customFormat="false" ht="15" hidden="false" customHeight="false" outlineLevel="0" collapsed="false">
      <c r="A983" s="18" t="s">
        <v>2016</v>
      </c>
      <c r="B983" s="19" t="n">
        <v>46203</v>
      </c>
      <c r="C983" s="18" t="s">
        <v>215</v>
      </c>
      <c r="D983" s="18" t="s">
        <v>869</v>
      </c>
      <c r="E983" s="18" t="s">
        <v>414</v>
      </c>
      <c r="F983" s="18"/>
      <c r="G983" s="18" t="s">
        <v>1019</v>
      </c>
      <c r="H983" s="30" t="n">
        <v>94.7</v>
      </c>
      <c r="I983" s="18" t="s">
        <v>513</v>
      </c>
      <c r="J983" s="28" t="n">
        <v>5636.54</v>
      </c>
      <c r="K983" s="12" t="str">
        <f aca="false">TEXT(B983,"yyyy-mm")</f>
        <v>2026-06</v>
      </c>
      <c r="L983" s="21" t="str">
        <f aca="false">IFERROR(INDEX(Projects!$E$2:$E$500,MATCH(C983,Projects!$A$2:$A$500,0)),"")</f>
        <v>Data &amp; AI</v>
      </c>
      <c r="M983" s="31" t="n">
        <f aca="false">IF(I983="Yes",H983*INDEX(Resources!$I$2:$I$500,MATCH(E983,Resources!$A$2:$A$500,0)),0)</f>
        <v>11364</v>
      </c>
    </row>
    <row r="984" customFormat="false" ht="15" hidden="false" customHeight="false" outlineLevel="0" collapsed="false">
      <c r="A984" s="18" t="s">
        <v>2017</v>
      </c>
      <c r="B984" s="19" t="n">
        <v>46203</v>
      </c>
      <c r="C984" s="18" t="s">
        <v>215</v>
      </c>
      <c r="D984" s="18" t="s">
        <v>869</v>
      </c>
      <c r="E984" s="18" t="s">
        <v>442</v>
      </c>
      <c r="F984" s="18"/>
      <c r="G984" s="18" t="s">
        <v>1019</v>
      </c>
      <c r="H984" s="30" t="n">
        <v>93.9</v>
      </c>
      <c r="I984" s="18" t="s">
        <v>513</v>
      </c>
      <c r="J984" s="28" t="n">
        <v>6573</v>
      </c>
      <c r="K984" s="12" t="str">
        <f aca="false">TEXT(B984,"yyyy-mm")</f>
        <v>2026-06</v>
      </c>
      <c r="L984" s="21" t="str">
        <f aca="false">IFERROR(INDEX(Projects!$E$2:$E$500,MATCH(C984,Projects!$A$2:$A$500,0)),"")</f>
        <v>Data &amp; AI</v>
      </c>
      <c r="M984" s="31" t="n">
        <f aca="false">IF(I984="Yes",H984*INDEX(Resources!$I$2:$I$500,MATCH(E984,Resources!$A$2:$A$500,0)),0)</f>
        <v>10798.5</v>
      </c>
    </row>
    <row r="985" customFormat="false" ht="15" hidden="false" customHeight="false" outlineLevel="0" collapsed="false">
      <c r="A985" s="18" t="s">
        <v>2018</v>
      </c>
      <c r="B985" s="19" t="n">
        <v>46203</v>
      </c>
      <c r="C985" s="18" t="s">
        <v>215</v>
      </c>
      <c r="D985" s="18" t="s">
        <v>869</v>
      </c>
      <c r="E985" s="18" t="s">
        <v>450</v>
      </c>
      <c r="F985" s="18"/>
      <c r="G985" s="18" t="s">
        <v>1019</v>
      </c>
      <c r="H985" s="30" t="n">
        <v>199.8</v>
      </c>
      <c r="I985" s="18" t="s">
        <v>513</v>
      </c>
      <c r="J985" s="28" t="n">
        <v>20859.12</v>
      </c>
      <c r="K985" s="12" t="str">
        <f aca="false">TEXT(B985,"yyyy-mm")</f>
        <v>2026-06</v>
      </c>
      <c r="L985" s="21" t="str">
        <f aca="false">IFERROR(INDEX(Projects!$E$2:$E$500,MATCH(C985,Projects!$A$2:$A$500,0)),"")</f>
        <v>Data &amp; AI</v>
      </c>
      <c r="M985" s="31" t="n">
        <f aca="false">IF(I985="Yes",H985*INDEX(Resources!$I$2:$I$500,MATCH(E985,Resources!$A$2:$A$500,0)),0)</f>
        <v>41958</v>
      </c>
    </row>
    <row r="986" customFormat="false" ht="15" hidden="false" customHeight="false" outlineLevel="0" collapsed="false">
      <c r="A986" s="18" t="s">
        <v>2019</v>
      </c>
      <c r="B986" s="19" t="n">
        <v>46203</v>
      </c>
      <c r="C986" s="18" t="s">
        <v>215</v>
      </c>
      <c r="D986" s="18" t="s">
        <v>869</v>
      </c>
      <c r="E986" s="18" t="s">
        <v>462</v>
      </c>
      <c r="F986" s="18"/>
      <c r="G986" s="18" t="s">
        <v>1019</v>
      </c>
      <c r="H986" s="30" t="n">
        <v>104.8</v>
      </c>
      <c r="I986" s="18" t="s">
        <v>513</v>
      </c>
      <c r="J986" s="28" t="n">
        <v>11913.66</v>
      </c>
      <c r="K986" s="12" t="str">
        <f aca="false">TEXT(B986,"yyyy-mm")</f>
        <v>2026-06</v>
      </c>
      <c r="L986" s="21" t="str">
        <f aca="false">IFERROR(INDEX(Projects!$E$2:$E$500,MATCH(C986,Projects!$A$2:$A$500,0)),"")</f>
        <v>Data &amp; AI</v>
      </c>
      <c r="M986" s="31" t="n">
        <f aca="false">IF(I986="Yes",H986*INDEX(Resources!$I$2:$I$500,MATCH(E986,Resources!$A$2:$A$500,0)),0)</f>
        <v>24104</v>
      </c>
    </row>
    <row r="987" customFormat="false" ht="15" hidden="false" customHeight="false" outlineLevel="0" collapsed="false">
      <c r="A987" s="18" t="s">
        <v>2020</v>
      </c>
      <c r="B987" s="19" t="n">
        <v>46203</v>
      </c>
      <c r="C987" s="18" t="s">
        <v>215</v>
      </c>
      <c r="D987" s="18" t="s">
        <v>872</v>
      </c>
      <c r="E987" s="18"/>
      <c r="F987" s="18" t="s">
        <v>1059</v>
      </c>
      <c r="G987" s="18" t="s">
        <v>1026</v>
      </c>
      <c r="H987" s="30" t="n">
        <v>0</v>
      </c>
      <c r="I987" s="18" t="s">
        <v>527</v>
      </c>
      <c r="J987" s="28" t="n">
        <v>2456.61</v>
      </c>
      <c r="K987" s="12" t="str">
        <f aca="false">TEXT(B987,"yyyy-mm")</f>
        <v>2026-06</v>
      </c>
      <c r="L987" s="21" t="str">
        <f aca="false">IFERROR(INDEX(Projects!$E$2:$E$500,MATCH(C987,Projects!$A$2:$A$500,0)),"")</f>
        <v>Data &amp; AI</v>
      </c>
      <c r="M987" s="31" t="n">
        <f aca="false">IF(I987="Yes",H987*INDEX(Resources!$I$2:$I$500,MATCH(E987,Resources!$A$2:$A$500,0)),0)</f>
        <v>0</v>
      </c>
    </row>
    <row r="988" customFormat="false" ht="15" hidden="false" customHeight="false" outlineLevel="0" collapsed="false">
      <c r="A988" s="18" t="s">
        <v>2021</v>
      </c>
      <c r="B988" s="19" t="n">
        <v>46203</v>
      </c>
      <c r="C988" s="18" t="s">
        <v>215</v>
      </c>
      <c r="D988" s="18" t="s">
        <v>876</v>
      </c>
      <c r="E988" s="18"/>
      <c r="F988" s="18" t="s">
        <v>1032</v>
      </c>
      <c r="G988" s="18" t="s">
        <v>1033</v>
      </c>
      <c r="H988" s="30" t="n">
        <v>0</v>
      </c>
      <c r="I988" s="18" t="s">
        <v>527</v>
      </c>
      <c r="J988" s="28" t="n">
        <v>562.5</v>
      </c>
      <c r="K988" s="12" t="str">
        <f aca="false">TEXT(B988,"yyyy-mm")</f>
        <v>2026-06</v>
      </c>
      <c r="L988" s="21" t="str">
        <f aca="false">IFERROR(INDEX(Projects!$E$2:$E$500,MATCH(C988,Projects!$A$2:$A$500,0)),"")</f>
        <v>Data &amp; AI</v>
      </c>
      <c r="M988" s="31" t="n">
        <f aca="false">IF(I988="Yes",H988*INDEX(Resources!$I$2:$I$500,MATCH(E988,Resources!$A$2:$A$500,0)),0)</f>
        <v>0</v>
      </c>
    </row>
    <row r="989" customFormat="false" ht="15" hidden="false" customHeight="false" outlineLevel="0" collapsed="false">
      <c r="A989" s="18" t="s">
        <v>2022</v>
      </c>
      <c r="B989" s="19" t="n">
        <v>46203</v>
      </c>
      <c r="C989" s="18" t="s">
        <v>222</v>
      </c>
      <c r="D989" s="18" t="s">
        <v>889</v>
      </c>
      <c r="E989" s="18"/>
      <c r="F989" s="18" t="s">
        <v>1035</v>
      </c>
      <c r="G989" s="18" t="s">
        <v>1026</v>
      </c>
      <c r="H989" s="30" t="n">
        <v>0</v>
      </c>
      <c r="I989" s="18" t="s">
        <v>527</v>
      </c>
      <c r="J989" s="28" t="n">
        <v>6184.9</v>
      </c>
      <c r="K989" s="12" t="str">
        <f aca="false">TEXT(B989,"yyyy-mm")</f>
        <v>2026-06</v>
      </c>
      <c r="L989" s="21" t="str">
        <f aca="false">IFERROR(INDEX(Projects!$E$2:$E$500,MATCH(C989,Projects!$A$2:$A$500,0)),"")</f>
        <v>Cloud &amp; Infrastructure</v>
      </c>
      <c r="M989" s="31" t="n">
        <f aca="false">IF(I989="Yes",H989*INDEX(Resources!$I$2:$I$500,MATCH(E989,Resources!$A$2:$A$500,0)),0)</f>
        <v>0</v>
      </c>
    </row>
    <row r="990" customFormat="false" ht="15" hidden="false" customHeight="false" outlineLevel="0" collapsed="false">
      <c r="A990" s="18" t="s">
        <v>2023</v>
      </c>
      <c r="B990" s="19" t="n">
        <v>46203</v>
      </c>
      <c r="C990" s="18" t="s">
        <v>222</v>
      </c>
      <c r="D990" s="18" t="s">
        <v>869</v>
      </c>
      <c r="E990" s="18" t="s">
        <v>226</v>
      </c>
      <c r="F990" s="18"/>
      <c r="G990" s="18" t="s">
        <v>1019</v>
      </c>
      <c r="H990" s="30" t="n">
        <v>42.3</v>
      </c>
      <c r="I990" s="18" t="s">
        <v>513</v>
      </c>
      <c r="J990" s="28" t="n">
        <v>3722.4</v>
      </c>
      <c r="K990" s="12" t="str">
        <f aca="false">TEXT(B990,"yyyy-mm")</f>
        <v>2026-06</v>
      </c>
      <c r="L990" s="21" t="str">
        <f aca="false">IFERROR(INDEX(Projects!$E$2:$E$500,MATCH(C990,Projects!$A$2:$A$500,0)),"")</f>
        <v>Cloud &amp; Infrastructure</v>
      </c>
      <c r="M990" s="31" t="n">
        <f aca="false">IF(I990="Yes",H990*INDEX(Resources!$I$2:$I$500,MATCH(E990,Resources!$A$2:$A$500,0)),0)</f>
        <v>7402.5</v>
      </c>
    </row>
    <row r="991" customFormat="false" ht="15" hidden="false" customHeight="false" outlineLevel="0" collapsed="false">
      <c r="A991" s="18" t="s">
        <v>2024</v>
      </c>
      <c r="B991" s="19" t="n">
        <v>46203</v>
      </c>
      <c r="C991" s="18" t="s">
        <v>222</v>
      </c>
      <c r="D991" s="18" t="s">
        <v>869</v>
      </c>
      <c r="E991" s="18" t="s">
        <v>348</v>
      </c>
      <c r="F991" s="18"/>
      <c r="G991" s="18" t="s">
        <v>1019</v>
      </c>
      <c r="H991" s="30" t="n">
        <v>47.5</v>
      </c>
      <c r="I991" s="18" t="s">
        <v>513</v>
      </c>
      <c r="J991" s="28" t="n">
        <v>6171.2</v>
      </c>
      <c r="K991" s="12" t="str">
        <f aca="false">TEXT(B991,"yyyy-mm")</f>
        <v>2026-06</v>
      </c>
      <c r="L991" s="21" t="str">
        <f aca="false">IFERROR(INDEX(Projects!$E$2:$E$500,MATCH(C991,Projects!$A$2:$A$500,0)),"")</f>
        <v>Cloud &amp; Infrastructure</v>
      </c>
      <c r="M991" s="31" t="n">
        <f aca="false">IF(I991="Yes",H991*INDEX(Resources!$I$2:$I$500,MATCH(E991,Resources!$A$2:$A$500,0)),0)</f>
        <v>12350</v>
      </c>
    </row>
    <row r="992" customFormat="false" ht="15" hidden="false" customHeight="false" outlineLevel="0" collapsed="false">
      <c r="A992" s="18" t="s">
        <v>2025</v>
      </c>
      <c r="B992" s="19" t="n">
        <v>46203</v>
      </c>
      <c r="C992" s="18" t="s">
        <v>222</v>
      </c>
      <c r="D992" s="18" t="s">
        <v>869</v>
      </c>
      <c r="E992" s="18" t="s">
        <v>395</v>
      </c>
      <c r="F992" s="18"/>
      <c r="G992" s="18" t="s">
        <v>1019</v>
      </c>
      <c r="H992" s="30" t="n">
        <v>78.9</v>
      </c>
      <c r="I992" s="18" t="s">
        <v>513</v>
      </c>
      <c r="J992" s="28" t="n">
        <v>8438.36</v>
      </c>
      <c r="K992" s="12" t="str">
        <f aca="false">TEXT(B992,"yyyy-mm")</f>
        <v>2026-06</v>
      </c>
      <c r="L992" s="21" t="str">
        <f aca="false">IFERROR(INDEX(Projects!$E$2:$E$500,MATCH(C992,Projects!$A$2:$A$500,0)),"")</f>
        <v>Cloud &amp; Infrastructure</v>
      </c>
      <c r="M992" s="31" t="n">
        <f aca="false">IF(I992="Yes",H992*INDEX(Resources!$I$2:$I$500,MATCH(E992,Resources!$A$2:$A$500,0)),0)</f>
        <v>13413</v>
      </c>
    </row>
    <row r="993" customFormat="false" ht="15" hidden="false" customHeight="false" outlineLevel="0" collapsed="false">
      <c r="A993" s="18" t="s">
        <v>2026</v>
      </c>
      <c r="B993" s="19" t="n">
        <v>46203</v>
      </c>
      <c r="C993" s="18" t="s">
        <v>222</v>
      </c>
      <c r="D993" s="18" t="s">
        <v>869</v>
      </c>
      <c r="E993" s="18" t="s">
        <v>470</v>
      </c>
      <c r="F993" s="18"/>
      <c r="G993" s="18" t="s">
        <v>1019</v>
      </c>
      <c r="H993" s="30" t="n">
        <v>157.8</v>
      </c>
      <c r="I993" s="18" t="s">
        <v>513</v>
      </c>
      <c r="J993" s="28" t="n">
        <v>17206.51</v>
      </c>
      <c r="K993" s="12" t="str">
        <f aca="false">TEXT(B993,"yyyy-mm")</f>
        <v>2026-06</v>
      </c>
      <c r="L993" s="21" t="str">
        <f aca="false">IFERROR(INDEX(Projects!$E$2:$E$500,MATCH(C993,Projects!$A$2:$A$500,0)),"")</f>
        <v>Cloud &amp; Infrastructure</v>
      </c>
      <c r="M993" s="31" t="n">
        <f aca="false">IF(I993="Yes",H993*INDEX(Resources!$I$2:$I$500,MATCH(E993,Resources!$A$2:$A$500,0)),0)</f>
        <v>34716</v>
      </c>
    </row>
    <row r="994" customFormat="false" ht="15" hidden="false" customHeight="false" outlineLevel="0" collapsed="false">
      <c r="A994" s="18" t="s">
        <v>2027</v>
      </c>
      <c r="B994" s="19" t="n">
        <v>46203</v>
      </c>
      <c r="C994" s="18" t="s">
        <v>222</v>
      </c>
      <c r="D994" s="18" t="s">
        <v>869</v>
      </c>
      <c r="E994" s="18" t="s">
        <v>483</v>
      </c>
      <c r="F994" s="18"/>
      <c r="G994" s="18" t="s">
        <v>1019</v>
      </c>
      <c r="H994" s="30" t="n">
        <v>83.1</v>
      </c>
      <c r="I994" s="18" t="s">
        <v>513</v>
      </c>
      <c r="J994" s="28" t="n">
        <v>8290.06</v>
      </c>
      <c r="K994" s="12" t="str">
        <f aca="false">TEXT(B994,"yyyy-mm")</f>
        <v>2026-06</v>
      </c>
      <c r="L994" s="21" t="str">
        <f aca="false">IFERROR(INDEX(Projects!$E$2:$E$500,MATCH(C994,Projects!$A$2:$A$500,0)),"")</f>
        <v>Cloud &amp; Infrastructure</v>
      </c>
      <c r="M994" s="31" t="n">
        <f aca="false">IF(I994="Yes",H994*INDEX(Resources!$I$2:$I$500,MATCH(E994,Resources!$A$2:$A$500,0)),0)</f>
        <v>17035.5</v>
      </c>
    </row>
    <row r="995" customFormat="false" ht="15" hidden="false" customHeight="false" outlineLevel="0" collapsed="false">
      <c r="A995" s="18" t="s">
        <v>2028</v>
      </c>
      <c r="B995" s="19" t="n">
        <v>46203</v>
      </c>
      <c r="C995" s="18" t="s">
        <v>222</v>
      </c>
      <c r="D995" s="18" t="s">
        <v>872</v>
      </c>
      <c r="E995" s="18"/>
      <c r="F995" s="18" t="s">
        <v>353</v>
      </c>
      <c r="G995" s="18" t="s">
        <v>1026</v>
      </c>
      <c r="H995" s="30" t="n">
        <v>0</v>
      </c>
      <c r="I995" s="18" t="s">
        <v>527</v>
      </c>
      <c r="J995" s="28" t="n">
        <v>2582.63</v>
      </c>
      <c r="K995" s="12" t="str">
        <f aca="false">TEXT(B995,"yyyy-mm")</f>
        <v>2026-06</v>
      </c>
      <c r="L995" s="21" t="str">
        <f aca="false">IFERROR(INDEX(Projects!$E$2:$E$500,MATCH(C995,Projects!$A$2:$A$500,0)),"")</f>
        <v>Cloud &amp; Infrastructure</v>
      </c>
      <c r="M995" s="31" t="n">
        <f aca="false">IF(I995="Yes",H995*INDEX(Resources!$I$2:$I$500,MATCH(E995,Resources!$A$2:$A$500,0)),0)</f>
        <v>0</v>
      </c>
    </row>
    <row r="996" customFormat="false" ht="15" hidden="false" customHeight="false" outlineLevel="0" collapsed="false">
      <c r="A996" s="18" t="s">
        <v>2029</v>
      </c>
      <c r="B996" s="19" t="n">
        <v>46203</v>
      </c>
      <c r="C996" s="18" t="s">
        <v>222</v>
      </c>
      <c r="D996" s="18" t="s">
        <v>876</v>
      </c>
      <c r="E996" s="18"/>
      <c r="F996" s="18" t="s">
        <v>1071</v>
      </c>
      <c r="G996" s="18" t="s">
        <v>1033</v>
      </c>
      <c r="H996" s="30" t="n">
        <v>0</v>
      </c>
      <c r="I996" s="18" t="s">
        <v>527</v>
      </c>
      <c r="J996" s="28" t="n">
        <v>988.87</v>
      </c>
      <c r="K996" s="12" t="str">
        <f aca="false">TEXT(B996,"yyyy-mm")</f>
        <v>2026-06</v>
      </c>
      <c r="L996" s="21" t="str">
        <f aca="false">IFERROR(INDEX(Projects!$E$2:$E$500,MATCH(C996,Projects!$A$2:$A$500,0)),"")</f>
        <v>Cloud &amp; Infrastructure</v>
      </c>
      <c r="M996" s="31" t="n">
        <f aca="false">IF(I996="Yes",H996*INDEX(Resources!$I$2:$I$500,MATCH(E996,Resources!$A$2:$A$500,0)),0)</f>
        <v>0</v>
      </c>
    </row>
    <row r="997" customFormat="false" ht="15" hidden="false" customHeight="false" outlineLevel="0" collapsed="false">
      <c r="A997" s="18" t="s">
        <v>2030</v>
      </c>
      <c r="B997" s="19" t="n">
        <v>46203</v>
      </c>
      <c r="C997" s="18" t="s">
        <v>228</v>
      </c>
      <c r="D997" s="18" t="s">
        <v>889</v>
      </c>
      <c r="E997" s="18"/>
      <c r="F997" s="18" t="s">
        <v>1035</v>
      </c>
      <c r="G997" s="18" t="s">
        <v>1026</v>
      </c>
      <c r="H997" s="30" t="n">
        <v>0</v>
      </c>
      <c r="I997" s="18" t="s">
        <v>527</v>
      </c>
      <c r="J997" s="28" t="n">
        <v>3232.18</v>
      </c>
      <c r="K997" s="12" t="str">
        <f aca="false">TEXT(B997,"yyyy-mm")</f>
        <v>2026-06</v>
      </c>
      <c r="L997" s="21" t="str">
        <f aca="false">IFERROR(INDEX(Projects!$E$2:$E$500,MATCH(C997,Projects!$A$2:$A$500,0)),"")</f>
        <v>Data &amp; AI</v>
      </c>
      <c r="M997" s="31" t="n">
        <f aca="false">IF(I997="Yes",H997*INDEX(Resources!$I$2:$I$500,MATCH(E997,Resources!$A$2:$A$500,0)),0)</f>
        <v>0</v>
      </c>
    </row>
    <row r="998" customFormat="false" ht="15" hidden="false" customHeight="false" outlineLevel="0" collapsed="false">
      <c r="A998" s="18" t="s">
        <v>2031</v>
      </c>
      <c r="B998" s="19" t="n">
        <v>46203</v>
      </c>
      <c r="C998" s="18" t="s">
        <v>228</v>
      </c>
      <c r="D998" s="18" t="s">
        <v>869</v>
      </c>
      <c r="E998" s="18" t="s">
        <v>231</v>
      </c>
      <c r="F998" s="18"/>
      <c r="G998" s="18" t="s">
        <v>1019</v>
      </c>
      <c r="H998" s="30" t="n">
        <v>66.7</v>
      </c>
      <c r="I998" s="18" t="s">
        <v>513</v>
      </c>
      <c r="J998" s="28" t="n">
        <v>6808.74</v>
      </c>
      <c r="K998" s="12" t="str">
        <f aca="false">TEXT(B998,"yyyy-mm")</f>
        <v>2026-06</v>
      </c>
      <c r="L998" s="21" t="str">
        <f aca="false">IFERROR(INDEX(Projects!$E$2:$E$500,MATCH(C998,Projects!$A$2:$A$500,0)),"")</f>
        <v>Data &amp; AI</v>
      </c>
      <c r="M998" s="31" t="n">
        <f aca="false">IF(I998="Yes",H998*INDEX(Resources!$I$2:$I$500,MATCH(E998,Resources!$A$2:$A$500,0)),0)</f>
        <v>13673.5</v>
      </c>
    </row>
    <row r="999" customFormat="false" ht="15" hidden="false" customHeight="false" outlineLevel="0" collapsed="false">
      <c r="A999" s="18" t="s">
        <v>2032</v>
      </c>
      <c r="B999" s="19" t="n">
        <v>46203</v>
      </c>
      <c r="C999" s="18" t="s">
        <v>228</v>
      </c>
      <c r="D999" s="18" t="s">
        <v>869</v>
      </c>
      <c r="E999" s="18" t="s">
        <v>354</v>
      </c>
      <c r="F999" s="18"/>
      <c r="G999" s="18" t="s">
        <v>1019</v>
      </c>
      <c r="H999" s="30" t="n">
        <v>64.9</v>
      </c>
      <c r="I999" s="18" t="s">
        <v>513</v>
      </c>
      <c r="J999" s="28" t="n">
        <v>8431.81</v>
      </c>
      <c r="K999" s="12" t="str">
        <f aca="false">TEXT(B999,"yyyy-mm")</f>
        <v>2026-06</v>
      </c>
      <c r="L999" s="21" t="str">
        <f aca="false">IFERROR(INDEX(Projects!$E$2:$E$500,MATCH(C999,Projects!$A$2:$A$500,0)),"")</f>
        <v>Data &amp; AI</v>
      </c>
      <c r="M999" s="31" t="n">
        <f aca="false">IF(I999="Yes",H999*INDEX(Resources!$I$2:$I$500,MATCH(E999,Resources!$A$2:$A$500,0)),0)</f>
        <v>16874</v>
      </c>
    </row>
    <row r="1000" customFormat="false" ht="15" hidden="false" customHeight="false" outlineLevel="0" collapsed="false">
      <c r="A1000" s="18" t="s">
        <v>2033</v>
      </c>
      <c r="B1000" s="19" t="n">
        <v>46203</v>
      </c>
      <c r="C1000" s="18" t="s">
        <v>228</v>
      </c>
      <c r="D1000" s="18" t="s">
        <v>869</v>
      </c>
      <c r="E1000" s="18" t="s">
        <v>417</v>
      </c>
      <c r="F1000" s="18"/>
      <c r="G1000" s="18" t="s">
        <v>1019</v>
      </c>
      <c r="H1000" s="30" t="n">
        <v>96.2</v>
      </c>
      <c r="I1000" s="18" t="s">
        <v>513</v>
      </c>
      <c r="J1000" s="28" t="n">
        <v>5233.28</v>
      </c>
      <c r="K1000" s="12" t="str">
        <f aca="false">TEXT(B1000,"yyyy-mm")</f>
        <v>2026-06</v>
      </c>
      <c r="L1000" s="21" t="str">
        <f aca="false">IFERROR(INDEX(Projects!$E$2:$E$500,MATCH(C1000,Projects!$A$2:$A$500,0)),"")</f>
        <v>Data &amp; AI</v>
      </c>
      <c r="M1000" s="31" t="n">
        <f aca="false">IF(I1000="Yes",H1000*INDEX(Resources!$I$2:$I$500,MATCH(E1000,Resources!$A$2:$A$500,0)),0)</f>
        <v>10582</v>
      </c>
    </row>
    <row r="1001" customFormat="false" ht="15" hidden="false" customHeight="false" outlineLevel="0" collapsed="false">
      <c r="A1001" s="18" t="s">
        <v>2034</v>
      </c>
      <c r="B1001" s="19" t="n">
        <v>46203</v>
      </c>
      <c r="C1001" s="18" t="s">
        <v>228</v>
      </c>
      <c r="D1001" s="18" t="s">
        <v>869</v>
      </c>
      <c r="E1001" s="18" t="s">
        <v>454</v>
      </c>
      <c r="F1001" s="18"/>
      <c r="G1001" s="18" t="s">
        <v>1019</v>
      </c>
      <c r="H1001" s="30" t="n">
        <v>194.5</v>
      </c>
      <c r="I1001" s="18" t="s">
        <v>513</v>
      </c>
      <c r="J1001" s="28" t="n">
        <v>14879.25</v>
      </c>
      <c r="K1001" s="12" t="str">
        <f aca="false">TEXT(B1001,"yyyy-mm")</f>
        <v>2026-06</v>
      </c>
      <c r="L1001" s="21" t="str">
        <f aca="false">IFERROR(INDEX(Projects!$E$2:$E$500,MATCH(C1001,Projects!$A$2:$A$500,0)),"")</f>
        <v>Data &amp; AI</v>
      </c>
      <c r="M1001" s="31" t="n">
        <f aca="false">IF(I1001="Yes",H1001*INDEX(Resources!$I$2:$I$500,MATCH(E1001,Resources!$A$2:$A$500,0)),0)</f>
        <v>30147.5</v>
      </c>
    </row>
    <row r="1002" customFormat="false" ht="15" hidden="false" customHeight="false" outlineLevel="0" collapsed="false">
      <c r="A1002" s="18" t="s">
        <v>2035</v>
      </c>
      <c r="B1002" s="19" t="n">
        <v>46203</v>
      </c>
      <c r="C1002" s="18" t="s">
        <v>228</v>
      </c>
      <c r="D1002" s="18" t="s">
        <v>869</v>
      </c>
      <c r="E1002" s="18" t="s">
        <v>462</v>
      </c>
      <c r="F1002" s="18"/>
      <c r="G1002" s="18" t="s">
        <v>1019</v>
      </c>
      <c r="H1002" s="30" t="n">
        <v>118.4</v>
      </c>
      <c r="I1002" s="18" t="s">
        <v>513</v>
      </c>
      <c r="J1002" s="28" t="n">
        <v>13459.71</v>
      </c>
      <c r="K1002" s="12" t="str">
        <f aca="false">TEXT(B1002,"yyyy-mm")</f>
        <v>2026-06</v>
      </c>
      <c r="L1002" s="21" t="str">
        <f aca="false">IFERROR(INDEX(Projects!$E$2:$E$500,MATCH(C1002,Projects!$A$2:$A$500,0)),"")</f>
        <v>Data &amp; AI</v>
      </c>
      <c r="M1002" s="31" t="n">
        <f aca="false">IF(I1002="Yes",H1002*INDEX(Resources!$I$2:$I$500,MATCH(E1002,Resources!$A$2:$A$500,0)),0)</f>
        <v>27232</v>
      </c>
    </row>
    <row r="1003" customFormat="false" ht="15" hidden="false" customHeight="false" outlineLevel="0" collapsed="false">
      <c r="A1003" s="18" t="s">
        <v>2036</v>
      </c>
      <c r="B1003" s="19" t="n">
        <v>46203</v>
      </c>
      <c r="C1003" s="18" t="s">
        <v>228</v>
      </c>
      <c r="D1003" s="18" t="s">
        <v>872</v>
      </c>
      <c r="E1003" s="18"/>
      <c r="F1003" s="18" t="s">
        <v>1059</v>
      </c>
      <c r="G1003" s="18" t="s">
        <v>1026</v>
      </c>
      <c r="H1003" s="30" t="n">
        <v>0</v>
      </c>
      <c r="I1003" s="18" t="s">
        <v>527</v>
      </c>
      <c r="J1003" s="28" t="n">
        <v>2421.11</v>
      </c>
      <c r="K1003" s="12" t="str">
        <f aca="false">TEXT(B1003,"yyyy-mm")</f>
        <v>2026-06</v>
      </c>
      <c r="L1003" s="21" t="str">
        <f aca="false">IFERROR(INDEX(Projects!$E$2:$E$500,MATCH(C1003,Projects!$A$2:$A$500,0)),"")</f>
        <v>Data &amp; AI</v>
      </c>
      <c r="M1003" s="31" t="n">
        <f aca="false">IF(I1003="Yes",H1003*INDEX(Resources!$I$2:$I$500,MATCH(E1003,Resources!$A$2:$A$500,0)),0)</f>
        <v>0</v>
      </c>
    </row>
    <row r="1004" customFormat="false" ht="15" hidden="false" customHeight="false" outlineLevel="0" collapsed="false">
      <c r="A1004" s="18" t="s">
        <v>2037</v>
      </c>
      <c r="B1004" s="19" t="n">
        <v>46203</v>
      </c>
      <c r="C1004" s="18" t="s">
        <v>228</v>
      </c>
      <c r="D1004" s="18" t="s">
        <v>876</v>
      </c>
      <c r="E1004" s="18"/>
      <c r="F1004" s="18" t="s">
        <v>1071</v>
      </c>
      <c r="G1004" s="18" t="s">
        <v>1033</v>
      </c>
      <c r="H1004" s="30" t="n">
        <v>0</v>
      </c>
      <c r="I1004" s="18" t="s">
        <v>527</v>
      </c>
      <c r="J1004" s="28" t="n">
        <v>558.65</v>
      </c>
      <c r="K1004" s="12" t="str">
        <f aca="false">TEXT(B1004,"yyyy-mm")</f>
        <v>2026-06</v>
      </c>
      <c r="L1004" s="21" t="str">
        <f aca="false">IFERROR(INDEX(Projects!$E$2:$E$500,MATCH(C1004,Projects!$A$2:$A$500,0)),"")</f>
        <v>Data &amp; AI</v>
      </c>
      <c r="M1004" s="31" t="n">
        <f aca="false">IF(I1004="Yes",H1004*INDEX(Resources!$I$2:$I$500,MATCH(E1004,Resources!$A$2:$A$500,0)),0)</f>
        <v>0</v>
      </c>
    </row>
    <row r="1005" customFormat="false" ht="15" hidden="false" customHeight="false" outlineLevel="0" collapsed="false">
      <c r="A1005" s="18" t="s">
        <v>2038</v>
      </c>
      <c r="B1005" s="19" t="n">
        <v>46203</v>
      </c>
      <c r="C1005" s="18" t="s">
        <v>233</v>
      </c>
      <c r="D1005" s="18" t="s">
        <v>869</v>
      </c>
      <c r="E1005" s="18" t="s">
        <v>237</v>
      </c>
      <c r="F1005" s="18"/>
      <c r="G1005" s="18" t="s">
        <v>1019</v>
      </c>
      <c r="H1005" s="30" t="n">
        <v>104.4</v>
      </c>
      <c r="I1005" s="18" t="s">
        <v>513</v>
      </c>
      <c r="J1005" s="28" t="n">
        <v>7809.12</v>
      </c>
      <c r="K1005" s="12" t="str">
        <f aca="false">TEXT(B1005,"yyyy-mm")</f>
        <v>2026-06</v>
      </c>
      <c r="L1005" s="21" t="str">
        <f aca="false">IFERROR(INDEX(Projects!$E$2:$E$500,MATCH(C1005,Projects!$A$2:$A$500,0)),"")</f>
        <v>Customer Experience</v>
      </c>
      <c r="M1005" s="31" t="n">
        <f aca="false">IF(I1005="Yes",H1005*INDEX(Resources!$I$2:$I$500,MATCH(E1005,Resources!$A$2:$A$500,0)),0)</f>
        <v>15660</v>
      </c>
    </row>
    <row r="1006" customFormat="false" ht="15" hidden="false" customHeight="false" outlineLevel="0" collapsed="false">
      <c r="A1006" s="18" t="s">
        <v>2039</v>
      </c>
      <c r="B1006" s="19" t="n">
        <v>46203</v>
      </c>
      <c r="C1006" s="18" t="s">
        <v>233</v>
      </c>
      <c r="D1006" s="18" t="s">
        <v>869</v>
      </c>
      <c r="E1006" s="18" t="s">
        <v>398</v>
      </c>
      <c r="F1006" s="18"/>
      <c r="G1006" s="18" t="s">
        <v>1019</v>
      </c>
      <c r="H1006" s="30" t="n">
        <v>168.2</v>
      </c>
      <c r="I1006" s="18" t="s">
        <v>513</v>
      </c>
      <c r="J1006" s="28" t="n">
        <v>14391.19</v>
      </c>
      <c r="K1006" s="12" t="str">
        <f aca="false">TEXT(B1006,"yyyy-mm")</f>
        <v>2026-06</v>
      </c>
      <c r="L1006" s="21" t="str">
        <f aca="false">IFERROR(INDEX(Projects!$E$2:$E$500,MATCH(C1006,Projects!$A$2:$A$500,0)),"")</f>
        <v>Customer Experience</v>
      </c>
      <c r="M1006" s="31" t="n">
        <f aca="false">IF(I1006="Yes",H1006*INDEX(Resources!$I$2:$I$500,MATCH(E1006,Resources!$A$2:$A$500,0)),0)</f>
        <v>28594</v>
      </c>
    </row>
    <row r="1007" customFormat="false" ht="15" hidden="false" customHeight="false" outlineLevel="0" collapsed="false">
      <c r="A1007" s="18" t="s">
        <v>2040</v>
      </c>
      <c r="B1007" s="19" t="n">
        <v>46203</v>
      </c>
      <c r="C1007" s="18" t="s">
        <v>233</v>
      </c>
      <c r="D1007" s="18" t="s">
        <v>869</v>
      </c>
      <c r="E1007" s="18" t="s">
        <v>420</v>
      </c>
      <c r="F1007" s="18"/>
      <c r="G1007" s="18" t="s">
        <v>1019</v>
      </c>
      <c r="H1007" s="30" t="n">
        <v>232.3</v>
      </c>
      <c r="I1007" s="18" t="s">
        <v>513</v>
      </c>
      <c r="J1007" s="28" t="n">
        <v>13826.5</v>
      </c>
      <c r="K1007" s="12" t="str">
        <f aca="false">TEXT(B1007,"yyyy-mm")</f>
        <v>2026-06</v>
      </c>
      <c r="L1007" s="21" t="str">
        <f aca="false">IFERROR(INDEX(Projects!$E$2:$E$500,MATCH(C1007,Projects!$A$2:$A$500,0)),"")</f>
        <v>Customer Experience</v>
      </c>
      <c r="M1007" s="31" t="n">
        <f aca="false">IF(I1007="Yes",H1007*INDEX(Resources!$I$2:$I$500,MATCH(E1007,Resources!$A$2:$A$500,0)),0)</f>
        <v>27876</v>
      </c>
    </row>
    <row r="1008" customFormat="false" ht="15" hidden="false" customHeight="false" outlineLevel="0" collapsed="false">
      <c r="A1008" s="18" t="s">
        <v>2041</v>
      </c>
      <c r="B1008" s="19" t="n">
        <v>46203</v>
      </c>
      <c r="C1008" s="18" t="s">
        <v>233</v>
      </c>
      <c r="D1008" s="18" t="s">
        <v>869</v>
      </c>
      <c r="E1008" s="18" t="s">
        <v>444</v>
      </c>
      <c r="F1008" s="18"/>
      <c r="G1008" s="18" t="s">
        <v>1019</v>
      </c>
      <c r="H1008" s="30" t="n">
        <v>112.7</v>
      </c>
      <c r="I1008" s="18" t="s">
        <v>513</v>
      </c>
      <c r="J1008" s="28" t="n">
        <v>5869.42</v>
      </c>
      <c r="K1008" s="12" t="str">
        <f aca="false">TEXT(B1008,"yyyy-mm")</f>
        <v>2026-06</v>
      </c>
      <c r="L1008" s="21" t="str">
        <f aca="false">IFERROR(INDEX(Projects!$E$2:$E$500,MATCH(C1008,Projects!$A$2:$A$500,0)),"")</f>
        <v>Customer Experience</v>
      </c>
      <c r="M1008" s="31" t="n">
        <f aca="false">IF(I1008="Yes",H1008*INDEX(Resources!$I$2:$I$500,MATCH(E1008,Resources!$A$2:$A$500,0)),0)</f>
        <v>11833.5</v>
      </c>
    </row>
    <row r="1009" customFormat="false" ht="15" hidden="false" customHeight="false" outlineLevel="0" collapsed="false">
      <c r="A1009" s="18" t="s">
        <v>2042</v>
      </c>
      <c r="B1009" s="19" t="n">
        <v>46203</v>
      </c>
      <c r="C1009" s="18" t="s">
        <v>233</v>
      </c>
      <c r="D1009" s="18" t="s">
        <v>872</v>
      </c>
      <c r="E1009" s="18"/>
      <c r="F1009" s="18" t="s">
        <v>353</v>
      </c>
      <c r="G1009" s="18" t="s">
        <v>1026</v>
      </c>
      <c r="H1009" s="30" t="n">
        <v>0</v>
      </c>
      <c r="I1009" s="18" t="s">
        <v>527</v>
      </c>
      <c r="J1009" s="28" t="n">
        <v>2231.79</v>
      </c>
      <c r="K1009" s="12" t="str">
        <f aca="false">TEXT(B1009,"yyyy-mm")</f>
        <v>2026-06</v>
      </c>
      <c r="L1009" s="21" t="str">
        <f aca="false">IFERROR(INDEX(Projects!$E$2:$E$500,MATCH(C1009,Projects!$A$2:$A$500,0)),"")</f>
        <v>Customer Experience</v>
      </c>
      <c r="M1009" s="31" t="n">
        <f aca="false">IF(I1009="Yes",H1009*INDEX(Resources!$I$2:$I$500,MATCH(E1009,Resources!$A$2:$A$500,0)),0)</f>
        <v>0</v>
      </c>
    </row>
    <row r="1010" customFormat="false" ht="15" hidden="false" customHeight="false" outlineLevel="0" collapsed="false">
      <c r="A1010" s="18" t="s">
        <v>2043</v>
      </c>
      <c r="B1010" s="19" t="n">
        <v>46203</v>
      </c>
      <c r="C1010" s="18" t="s">
        <v>233</v>
      </c>
      <c r="D1010" s="18" t="s">
        <v>874</v>
      </c>
      <c r="E1010" s="18"/>
      <c r="F1010" s="18" t="s">
        <v>1028</v>
      </c>
      <c r="G1010" s="18" t="s">
        <v>1026</v>
      </c>
      <c r="H1010" s="30" t="n">
        <v>0</v>
      </c>
      <c r="I1010" s="18" t="s">
        <v>527</v>
      </c>
      <c r="J1010" s="28" t="n">
        <v>4204.48</v>
      </c>
      <c r="K1010" s="12" t="str">
        <f aca="false">TEXT(B1010,"yyyy-mm")</f>
        <v>2026-06</v>
      </c>
      <c r="L1010" s="21" t="str">
        <f aca="false">IFERROR(INDEX(Projects!$E$2:$E$500,MATCH(C1010,Projects!$A$2:$A$500,0)),"")</f>
        <v>Customer Experience</v>
      </c>
      <c r="M1010" s="31" t="n">
        <f aca="false">IF(I1010="Yes",H1010*INDEX(Resources!$I$2:$I$500,MATCH(E1010,Resources!$A$2:$A$500,0)),0)</f>
        <v>0</v>
      </c>
    </row>
    <row r="1011" customFormat="false" ht="15" hidden="false" customHeight="false" outlineLevel="0" collapsed="false">
      <c r="A1011" s="18" t="s">
        <v>2044</v>
      </c>
      <c r="B1011" s="19" t="n">
        <v>46203</v>
      </c>
      <c r="C1011" s="18" t="s">
        <v>233</v>
      </c>
      <c r="D1011" s="18" t="s">
        <v>876</v>
      </c>
      <c r="E1011" s="18"/>
      <c r="F1011" s="18" t="s">
        <v>1071</v>
      </c>
      <c r="G1011" s="18" t="s">
        <v>1033</v>
      </c>
      <c r="H1011" s="30" t="n">
        <v>0</v>
      </c>
      <c r="I1011" s="18" t="s">
        <v>527</v>
      </c>
      <c r="J1011" s="28" t="n">
        <v>842.89</v>
      </c>
      <c r="K1011" s="12" t="str">
        <f aca="false">TEXT(B1011,"yyyy-mm")</f>
        <v>2026-06</v>
      </c>
      <c r="L1011" s="21" t="str">
        <f aca="false">IFERROR(INDEX(Projects!$E$2:$E$500,MATCH(C1011,Projects!$A$2:$A$500,0)),"")</f>
        <v>Customer Experience</v>
      </c>
      <c r="M1011" s="31" t="n">
        <f aca="false">IF(I1011="Yes",H1011*INDEX(Resources!$I$2:$I$500,MATCH(E1011,Resources!$A$2:$A$500,0)),0)</f>
        <v>0</v>
      </c>
    </row>
    <row r="1012" customFormat="false" ht="15" hidden="false" customHeight="false" outlineLevel="0" collapsed="false">
      <c r="A1012" s="18" t="s">
        <v>2045</v>
      </c>
      <c r="B1012" s="19" t="n">
        <v>46203</v>
      </c>
      <c r="C1012" s="18" t="s">
        <v>239</v>
      </c>
      <c r="D1012" s="18" t="s">
        <v>869</v>
      </c>
      <c r="E1012" s="18" t="s">
        <v>242</v>
      </c>
      <c r="F1012" s="18"/>
      <c r="G1012" s="18" t="s">
        <v>1019</v>
      </c>
      <c r="H1012" s="30" t="n">
        <v>79.4</v>
      </c>
      <c r="I1012" s="18" t="s">
        <v>513</v>
      </c>
      <c r="J1012" s="28" t="n">
        <v>7546.18</v>
      </c>
      <c r="K1012" s="12" t="str">
        <f aca="false">TEXT(B1012,"yyyy-mm")</f>
        <v>2026-06</v>
      </c>
      <c r="L1012" s="21" t="str">
        <f aca="false">IFERROR(INDEX(Projects!$E$2:$E$500,MATCH(C1012,Projects!$A$2:$A$500,0)),"")</f>
        <v>Digital Transformation</v>
      </c>
      <c r="M1012" s="31" t="n">
        <f aca="false">IF(I1012="Yes",H1012*INDEX(Resources!$I$2:$I$500,MATCH(E1012,Resources!$A$2:$A$500,0)),0)</f>
        <v>15086</v>
      </c>
    </row>
    <row r="1013" customFormat="false" ht="15" hidden="false" customHeight="false" outlineLevel="0" collapsed="false">
      <c r="A1013" s="18" t="s">
        <v>2046</v>
      </c>
      <c r="B1013" s="19" t="n">
        <v>46203</v>
      </c>
      <c r="C1013" s="18" t="s">
        <v>239</v>
      </c>
      <c r="D1013" s="18" t="s">
        <v>869</v>
      </c>
      <c r="E1013" s="18" t="s">
        <v>360</v>
      </c>
      <c r="F1013" s="18"/>
      <c r="G1013" s="18" t="s">
        <v>1019</v>
      </c>
      <c r="H1013" s="30" t="n">
        <v>89.2</v>
      </c>
      <c r="I1013" s="18" t="s">
        <v>513</v>
      </c>
      <c r="J1013" s="28" t="n">
        <v>9291.07</v>
      </c>
      <c r="K1013" s="12" t="str">
        <f aca="false">TEXT(B1013,"yyyy-mm")</f>
        <v>2026-06</v>
      </c>
      <c r="L1013" s="21" t="str">
        <f aca="false">IFERROR(INDEX(Projects!$E$2:$E$500,MATCH(C1013,Projects!$A$2:$A$500,0)),"")</f>
        <v>Digital Transformation</v>
      </c>
      <c r="M1013" s="31" t="n">
        <f aca="false">IF(I1013="Yes",H1013*INDEX(Resources!$I$2:$I$500,MATCH(E1013,Resources!$A$2:$A$500,0)),0)</f>
        <v>18732</v>
      </c>
    </row>
    <row r="1014" customFormat="false" ht="15" hidden="false" customHeight="false" outlineLevel="0" collapsed="false">
      <c r="A1014" s="18" t="s">
        <v>2047</v>
      </c>
      <c r="B1014" s="19" t="n">
        <v>46203</v>
      </c>
      <c r="C1014" s="18" t="s">
        <v>239</v>
      </c>
      <c r="D1014" s="18" t="s">
        <v>869</v>
      </c>
      <c r="E1014" s="18" t="s">
        <v>371</v>
      </c>
      <c r="F1014" s="18"/>
      <c r="G1014" s="18" t="s">
        <v>1019</v>
      </c>
      <c r="H1014" s="30" t="n">
        <v>95.6</v>
      </c>
      <c r="I1014" s="18" t="s">
        <v>513</v>
      </c>
      <c r="J1014" s="28" t="n">
        <v>6045.74</v>
      </c>
      <c r="K1014" s="12" t="str">
        <f aca="false">TEXT(B1014,"yyyy-mm")</f>
        <v>2026-06</v>
      </c>
      <c r="L1014" s="21" t="str">
        <f aca="false">IFERROR(INDEX(Projects!$E$2:$E$500,MATCH(C1014,Projects!$A$2:$A$500,0)),"")</f>
        <v>Digital Transformation</v>
      </c>
      <c r="M1014" s="31" t="n">
        <f aca="false">IF(I1014="Yes",H1014*INDEX(Resources!$I$2:$I$500,MATCH(E1014,Resources!$A$2:$A$500,0)),0)</f>
        <v>12428</v>
      </c>
    </row>
    <row r="1015" customFormat="false" ht="15" hidden="false" customHeight="false" outlineLevel="0" collapsed="false">
      <c r="A1015" s="18" t="s">
        <v>2048</v>
      </c>
      <c r="B1015" s="19" t="n">
        <v>46203</v>
      </c>
      <c r="C1015" s="18" t="s">
        <v>239</v>
      </c>
      <c r="D1015" s="18" t="s">
        <v>869</v>
      </c>
      <c r="E1015" s="18" t="s">
        <v>400</v>
      </c>
      <c r="F1015" s="18"/>
      <c r="G1015" s="18" t="s">
        <v>1019</v>
      </c>
      <c r="H1015" s="30" t="n">
        <v>125.6</v>
      </c>
      <c r="I1015" s="18" t="s">
        <v>513</v>
      </c>
      <c r="J1015" s="28" t="n">
        <v>12479.62</v>
      </c>
      <c r="K1015" s="12" t="str">
        <f aca="false">TEXT(B1015,"yyyy-mm")</f>
        <v>2026-06</v>
      </c>
      <c r="L1015" s="21" t="str">
        <f aca="false">IFERROR(INDEX(Projects!$E$2:$E$500,MATCH(C1015,Projects!$A$2:$A$500,0)),"")</f>
        <v>Digital Transformation</v>
      </c>
      <c r="M1015" s="31" t="n">
        <f aca="false">IF(I1015="Yes",H1015*INDEX(Resources!$I$2:$I$500,MATCH(E1015,Resources!$A$2:$A$500,0)),0)</f>
        <v>25120</v>
      </c>
    </row>
    <row r="1016" customFormat="false" ht="15" hidden="false" customHeight="false" outlineLevel="0" collapsed="false">
      <c r="A1016" s="18" t="s">
        <v>2049</v>
      </c>
      <c r="B1016" s="19" t="n">
        <v>46203</v>
      </c>
      <c r="C1016" s="18" t="s">
        <v>239</v>
      </c>
      <c r="D1016" s="18" t="s">
        <v>869</v>
      </c>
      <c r="E1016" s="18" t="s">
        <v>422</v>
      </c>
      <c r="F1016" s="18"/>
      <c r="G1016" s="18" t="s">
        <v>1019</v>
      </c>
      <c r="H1016" s="30" t="n">
        <v>83.1</v>
      </c>
      <c r="I1016" s="18" t="s">
        <v>513</v>
      </c>
      <c r="J1016" s="28" t="n">
        <v>4946.11</v>
      </c>
      <c r="K1016" s="12" t="str">
        <f aca="false">TEXT(B1016,"yyyy-mm")</f>
        <v>2026-06</v>
      </c>
      <c r="L1016" s="21" t="str">
        <f aca="false">IFERROR(INDEX(Projects!$E$2:$E$500,MATCH(C1016,Projects!$A$2:$A$500,0)),"")</f>
        <v>Digital Transformation</v>
      </c>
      <c r="M1016" s="31" t="n">
        <f aca="false">IF(I1016="Yes",H1016*INDEX(Resources!$I$2:$I$500,MATCH(E1016,Resources!$A$2:$A$500,0)),0)</f>
        <v>9972</v>
      </c>
    </row>
    <row r="1017" customFormat="false" ht="15" hidden="false" customHeight="false" outlineLevel="0" collapsed="false">
      <c r="A1017" s="18" t="s">
        <v>2050</v>
      </c>
      <c r="B1017" s="19" t="n">
        <v>46203</v>
      </c>
      <c r="C1017" s="18" t="s">
        <v>239</v>
      </c>
      <c r="D1017" s="18" t="s">
        <v>872</v>
      </c>
      <c r="E1017" s="18"/>
      <c r="F1017" s="18" t="s">
        <v>1059</v>
      </c>
      <c r="G1017" s="18" t="s">
        <v>1026</v>
      </c>
      <c r="H1017" s="30" t="n">
        <v>0</v>
      </c>
      <c r="I1017" s="18" t="s">
        <v>527</v>
      </c>
      <c r="J1017" s="28" t="n">
        <v>3674.87</v>
      </c>
      <c r="K1017" s="12" t="str">
        <f aca="false">TEXT(B1017,"yyyy-mm")</f>
        <v>2026-06</v>
      </c>
      <c r="L1017" s="21" t="str">
        <f aca="false">IFERROR(INDEX(Projects!$E$2:$E$500,MATCH(C1017,Projects!$A$2:$A$500,0)),"")</f>
        <v>Digital Transformation</v>
      </c>
      <c r="M1017" s="31" t="n">
        <f aca="false">IF(I1017="Yes",H1017*INDEX(Resources!$I$2:$I$500,MATCH(E1017,Resources!$A$2:$A$500,0)),0)</f>
        <v>0</v>
      </c>
    </row>
    <row r="1018" customFormat="false" ht="15" hidden="false" customHeight="false" outlineLevel="0" collapsed="false">
      <c r="A1018" s="18" t="s">
        <v>2051</v>
      </c>
      <c r="B1018" s="19" t="n">
        <v>46203</v>
      </c>
      <c r="C1018" s="18" t="s">
        <v>239</v>
      </c>
      <c r="D1018" s="18" t="s">
        <v>874</v>
      </c>
      <c r="E1018" s="18"/>
      <c r="F1018" s="18" t="s">
        <v>1028</v>
      </c>
      <c r="G1018" s="18" t="s">
        <v>1026</v>
      </c>
      <c r="H1018" s="30" t="n">
        <v>0</v>
      </c>
      <c r="I1018" s="18" t="s">
        <v>527</v>
      </c>
      <c r="J1018" s="28" t="n">
        <v>4385.64</v>
      </c>
      <c r="K1018" s="12" t="str">
        <f aca="false">TEXT(B1018,"yyyy-mm")</f>
        <v>2026-06</v>
      </c>
      <c r="L1018" s="21" t="str">
        <f aca="false">IFERROR(INDEX(Projects!$E$2:$E$500,MATCH(C1018,Projects!$A$2:$A$500,0)),"")</f>
        <v>Digital Transformation</v>
      </c>
      <c r="M1018" s="31" t="n">
        <f aca="false">IF(I1018="Yes",H1018*INDEX(Resources!$I$2:$I$500,MATCH(E1018,Resources!$A$2:$A$500,0)),0)</f>
        <v>0</v>
      </c>
    </row>
    <row r="1019" customFormat="false" ht="15" hidden="false" customHeight="false" outlineLevel="0" collapsed="false">
      <c r="A1019" s="18" t="s">
        <v>2052</v>
      </c>
      <c r="B1019" s="19" t="n">
        <v>46203</v>
      </c>
      <c r="C1019" s="18" t="s">
        <v>239</v>
      </c>
      <c r="D1019" s="18" t="s">
        <v>495</v>
      </c>
      <c r="E1019" s="18"/>
      <c r="F1019" s="18" t="s">
        <v>1373</v>
      </c>
      <c r="G1019" s="18" t="s">
        <v>1026</v>
      </c>
      <c r="H1019" s="30" t="n">
        <v>0</v>
      </c>
      <c r="I1019" s="18" t="s">
        <v>527</v>
      </c>
      <c r="J1019" s="28" t="n">
        <v>1388.97</v>
      </c>
      <c r="K1019" s="12" t="str">
        <f aca="false">TEXT(B1019,"yyyy-mm")</f>
        <v>2026-06</v>
      </c>
      <c r="L1019" s="21" t="str">
        <f aca="false">IFERROR(INDEX(Projects!$E$2:$E$500,MATCH(C1019,Projects!$A$2:$A$500,0)),"")</f>
        <v>Digital Transformation</v>
      </c>
      <c r="M1019" s="31" t="n">
        <f aca="false">IF(I1019="Yes",H1019*INDEX(Resources!$I$2:$I$500,MATCH(E1019,Resources!$A$2:$A$500,0)),0)</f>
        <v>0</v>
      </c>
    </row>
    <row r="1020" customFormat="false" ht="15" hidden="false" customHeight="false" outlineLevel="0" collapsed="false">
      <c r="A1020" s="18" t="s">
        <v>2053</v>
      </c>
      <c r="B1020" s="19" t="n">
        <v>46203</v>
      </c>
      <c r="C1020" s="18" t="s">
        <v>239</v>
      </c>
      <c r="D1020" s="18" t="s">
        <v>876</v>
      </c>
      <c r="E1020" s="18"/>
      <c r="F1020" s="18" t="s">
        <v>1071</v>
      </c>
      <c r="G1020" s="18" t="s">
        <v>1033</v>
      </c>
      <c r="H1020" s="30" t="n">
        <v>0</v>
      </c>
      <c r="I1020" s="18" t="s">
        <v>527</v>
      </c>
      <c r="J1020" s="28" t="n">
        <v>768.41</v>
      </c>
      <c r="K1020" s="12" t="str">
        <f aca="false">TEXT(B1020,"yyyy-mm")</f>
        <v>2026-06</v>
      </c>
      <c r="L1020" s="21" t="str">
        <f aca="false">IFERROR(INDEX(Projects!$E$2:$E$500,MATCH(C1020,Projects!$A$2:$A$500,0)),"")</f>
        <v>Digital Transformation</v>
      </c>
      <c r="M1020" s="31" t="n">
        <f aca="false">IF(I1020="Yes",H1020*INDEX(Resources!$I$2:$I$500,MATCH(E1020,Resources!$A$2:$A$500,0)),0)</f>
        <v>0</v>
      </c>
    </row>
    <row r="1021" customFormat="false" ht="15" hidden="false" customHeight="false" outlineLevel="0" collapsed="false">
      <c r="A1021" s="18" t="s">
        <v>2054</v>
      </c>
      <c r="B1021" s="19" t="n">
        <v>46203</v>
      </c>
      <c r="C1021" s="18" t="s">
        <v>244</v>
      </c>
      <c r="D1021" s="18" t="s">
        <v>889</v>
      </c>
      <c r="E1021" s="18"/>
      <c r="F1021" s="18" t="s">
        <v>474</v>
      </c>
      <c r="G1021" s="18" t="s">
        <v>1026</v>
      </c>
      <c r="H1021" s="30" t="n">
        <v>0</v>
      </c>
      <c r="I1021" s="18" t="s">
        <v>527</v>
      </c>
      <c r="J1021" s="28" t="n">
        <v>4997.18</v>
      </c>
      <c r="K1021" s="12" t="str">
        <f aca="false">TEXT(B1021,"yyyy-mm")</f>
        <v>2026-06</v>
      </c>
      <c r="L1021" s="21" t="str">
        <f aca="false">IFERROR(INDEX(Projects!$E$2:$E$500,MATCH(C1021,Projects!$A$2:$A$500,0)),"")</f>
        <v>Cloud &amp; Infrastructure</v>
      </c>
      <c r="M1021" s="31" t="n">
        <f aca="false">IF(I1021="Yes",H1021*INDEX(Resources!$I$2:$I$500,MATCH(E1021,Resources!$A$2:$A$500,0)),0)</f>
        <v>0</v>
      </c>
    </row>
    <row r="1022" customFormat="false" ht="15" hidden="false" customHeight="false" outlineLevel="0" collapsed="false">
      <c r="A1022" s="18" t="s">
        <v>2055</v>
      </c>
      <c r="B1022" s="19" t="n">
        <v>46203</v>
      </c>
      <c r="C1022" s="18" t="s">
        <v>244</v>
      </c>
      <c r="D1022" s="18" t="s">
        <v>882</v>
      </c>
      <c r="E1022" s="18"/>
      <c r="F1022" s="18" t="s">
        <v>1063</v>
      </c>
      <c r="G1022" s="18" t="s">
        <v>1026</v>
      </c>
      <c r="H1022" s="30" t="n">
        <v>0</v>
      </c>
      <c r="I1022" s="18" t="s">
        <v>527</v>
      </c>
      <c r="J1022" s="28" t="n">
        <v>13278.63</v>
      </c>
      <c r="K1022" s="12" t="str">
        <f aca="false">TEXT(B1022,"yyyy-mm")</f>
        <v>2026-06</v>
      </c>
      <c r="L1022" s="21" t="str">
        <f aca="false">IFERROR(INDEX(Projects!$E$2:$E$500,MATCH(C1022,Projects!$A$2:$A$500,0)),"")</f>
        <v>Cloud &amp; Infrastructure</v>
      </c>
      <c r="M1022" s="31" t="n">
        <f aca="false">IF(I1022="Yes",H1022*INDEX(Resources!$I$2:$I$500,MATCH(E1022,Resources!$A$2:$A$500,0)),0)</f>
        <v>0</v>
      </c>
    </row>
    <row r="1023" customFormat="false" ht="15" hidden="false" customHeight="false" outlineLevel="0" collapsed="false">
      <c r="A1023" s="18" t="s">
        <v>2056</v>
      </c>
      <c r="B1023" s="19" t="n">
        <v>46203</v>
      </c>
      <c r="C1023" s="18" t="s">
        <v>244</v>
      </c>
      <c r="D1023" s="18" t="s">
        <v>869</v>
      </c>
      <c r="E1023" s="18" t="s">
        <v>247</v>
      </c>
      <c r="F1023" s="18"/>
      <c r="G1023" s="18" t="s">
        <v>1019</v>
      </c>
      <c r="H1023" s="30" t="n">
        <v>51.4</v>
      </c>
      <c r="I1023" s="18" t="s">
        <v>527</v>
      </c>
      <c r="J1023" s="28" t="n">
        <v>4523.2</v>
      </c>
      <c r="K1023" s="12" t="str">
        <f aca="false">TEXT(B1023,"yyyy-mm")</f>
        <v>2026-06</v>
      </c>
      <c r="L1023" s="21" t="str">
        <f aca="false">IFERROR(INDEX(Projects!$E$2:$E$500,MATCH(C1023,Projects!$A$2:$A$500,0)),"")</f>
        <v>Cloud &amp; Infrastructure</v>
      </c>
      <c r="M1023" s="31" t="n">
        <f aca="false">IF(I1023="Yes",H1023*INDEX(Resources!$I$2:$I$500,MATCH(E1023,Resources!$A$2:$A$500,0)),0)</f>
        <v>0</v>
      </c>
    </row>
    <row r="1024" customFormat="false" ht="15" hidden="false" customHeight="false" outlineLevel="0" collapsed="false">
      <c r="A1024" s="18" t="s">
        <v>2057</v>
      </c>
      <c r="B1024" s="19" t="n">
        <v>46203</v>
      </c>
      <c r="C1024" s="18" t="s">
        <v>244</v>
      </c>
      <c r="D1024" s="18" t="s">
        <v>869</v>
      </c>
      <c r="E1024" s="18" t="s">
        <v>354</v>
      </c>
      <c r="F1024" s="18"/>
      <c r="G1024" s="18" t="s">
        <v>1019</v>
      </c>
      <c r="H1024" s="30" t="n">
        <v>20.1</v>
      </c>
      <c r="I1024" s="18" t="s">
        <v>513</v>
      </c>
      <c r="J1024" s="28" t="n">
        <v>2611.39</v>
      </c>
      <c r="K1024" s="12" t="str">
        <f aca="false">TEXT(B1024,"yyyy-mm")</f>
        <v>2026-06</v>
      </c>
      <c r="L1024" s="21" t="str">
        <f aca="false">IFERROR(INDEX(Projects!$E$2:$E$500,MATCH(C1024,Projects!$A$2:$A$500,0)),"")</f>
        <v>Cloud &amp; Infrastructure</v>
      </c>
      <c r="M1024" s="31" t="n">
        <f aca="false">IF(I1024="Yes",H1024*INDEX(Resources!$I$2:$I$500,MATCH(E1024,Resources!$A$2:$A$500,0)),0)</f>
        <v>5226</v>
      </c>
    </row>
    <row r="1025" customFormat="false" ht="15" hidden="false" customHeight="false" outlineLevel="0" collapsed="false">
      <c r="A1025" s="18" t="s">
        <v>2058</v>
      </c>
      <c r="B1025" s="19" t="n">
        <v>46203</v>
      </c>
      <c r="C1025" s="18" t="s">
        <v>244</v>
      </c>
      <c r="D1025" s="18" t="s">
        <v>869</v>
      </c>
      <c r="E1025" s="18" t="s">
        <v>405</v>
      </c>
      <c r="F1025" s="18"/>
      <c r="G1025" s="18" t="s">
        <v>1019</v>
      </c>
      <c r="H1025" s="30" t="n">
        <v>105.6</v>
      </c>
      <c r="I1025" s="18" t="s">
        <v>513</v>
      </c>
      <c r="J1025" s="28" t="n">
        <v>10492.42</v>
      </c>
      <c r="K1025" s="12" t="str">
        <f aca="false">TEXT(B1025,"yyyy-mm")</f>
        <v>2026-06</v>
      </c>
      <c r="L1025" s="21" t="str">
        <f aca="false">IFERROR(INDEX(Projects!$E$2:$E$500,MATCH(C1025,Projects!$A$2:$A$500,0)),"")</f>
        <v>Cloud &amp; Infrastructure</v>
      </c>
      <c r="M1025" s="31" t="n">
        <f aca="false">IF(I1025="Yes",H1025*INDEX(Resources!$I$2:$I$500,MATCH(E1025,Resources!$A$2:$A$500,0)),0)</f>
        <v>21120</v>
      </c>
    </row>
    <row r="1026" customFormat="false" ht="15" hidden="false" customHeight="false" outlineLevel="0" collapsed="false">
      <c r="A1026" s="18" t="s">
        <v>2059</v>
      </c>
      <c r="B1026" s="19" t="n">
        <v>46203</v>
      </c>
      <c r="C1026" s="18" t="s">
        <v>244</v>
      </c>
      <c r="D1026" s="18" t="s">
        <v>869</v>
      </c>
      <c r="E1026" s="18" t="s">
        <v>475</v>
      </c>
      <c r="F1026" s="18"/>
      <c r="G1026" s="18" t="s">
        <v>1019</v>
      </c>
      <c r="H1026" s="30" t="n">
        <v>155.1</v>
      </c>
      <c r="I1026" s="18" t="s">
        <v>513</v>
      </c>
      <c r="J1026" s="28" t="n">
        <v>18224.25</v>
      </c>
      <c r="K1026" s="12" t="str">
        <f aca="false">TEXT(B1026,"yyyy-mm")</f>
        <v>2026-06</v>
      </c>
      <c r="L1026" s="21" t="str">
        <f aca="false">IFERROR(INDEX(Projects!$E$2:$E$500,MATCH(C1026,Projects!$A$2:$A$500,0)),"")</f>
        <v>Cloud &amp; Infrastructure</v>
      </c>
      <c r="M1026" s="31" t="n">
        <f aca="false">IF(I1026="Yes",H1026*INDEX(Resources!$I$2:$I$500,MATCH(E1026,Resources!$A$2:$A$500,0)),0)</f>
        <v>29469</v>
      </c>
    </row>
    <row r="1027" customFormat="false" ht="15" hidden="false" customHeight="false" outlineLevel="0" collapsed="false">
      <c r="A1027" s="18" t="s">
        <v>2060</v>
      </c>
      <c r="B1027" s="19" t="n">
        <v>46203</v>
      </c>
      <c r="C1027" s="18" t="s">
        <v>244</v>
      </c>
      <c r="D1027" s="18" t="s">
        <v>869</v>
      </c>
      <c r="E1027" s="18" t="s">
        <v>487</v>
      </c>
      <c r="F1027" s="18"/>
      <c r="G1027" s="18" t="s">
        <v>1019</v>
      </c>
      <c r="H1027" s="30" t="n">
        <v>113.9</v>
      </c>
      <c r="I1027" s="18" t="s">
        <v>513</v>
      </c>
      <c r="J1027" s="28" t="n">
        <v>9109.72</v>
      </c>
      <c r="K1027" s="12" t="str">
        <f aca="false">TEXT(B1027,"yyyy-mm")</f>
        <v>2026-06</v>
      </c>
      <c r="L1027" s="21" t="str">
        <f aca="false">IFERROR(INDEX(Projects!$E$2:$E$500,MATCH(C1027,Projects!$A$2:$A$500,0)),"")</f>
        <v>Cloud &amp; Infrastructure</v>
      </c>
      <c r="M1027" s="31" t="n">
        <f aca="false">IF(I1027="Yes",H1027*INDEX(Resources!$I$2:$I$500,MATCH(E1027,Resources!$A$2:$A$500,0)),0)</f>
        <v>18793.5</v>
      </c>
    </row>
    <row r="1028" customFormat="false" ht="15" hidden="false" customHeight="false" outlineLevel="0" collapsed="false">
      <c r="A1028" s="18" t="s">
        <v>2061</v>
      </c>
      <c r="B1028" s="19" t="n">
        <v>46203</v>
      </c>
      <c r="C1028" s="18" t="s">
        <v>244</v>
      </c>
      <c r="D1028" s="18" t="s">
        <v>872</v>
      </c>
      <c r="E1028" s="18"/>
      <c r="F1028" s="18" t="s">
        <v>1025</v>
      </c>
      <c r="G1028" s="18" t="s">
        <v>1026</v>
      </c>
      <c r="H1028" s="30" t="n">
        <v>0</v>
      </c>
      <c r="I1028" s="18" t="s">
        <v>527</v>
      </c>
      <c r="J1028" s="28" t="n">
        <v>2193.66</v>
      </c>
      <c r="K1028" s="12" t="str">
        <f aca="false">TEXT(B1028,"yyyy-mm")</f>
        <v>2026-06</v>
      </c>
      <c r="L1028" s="21" t="str">
        <f aca="false">IFERROR(INDEX(Projects!$E$2:$E$500,MATCH(C1028,Projects!$A$2:$A$500,0)),"")</f>
        <v>Cloud &amp; Infrastructure</v>
      </c>
      <c r="M1028" s="31" t="n">
        <f aca="false">IF(I1028="Yes",H1028*INDEX(Resources!$I$2:$I$500,MATCH(E1028,Resources!$A$2:$A$500,0)),0)</f>
        <v>0</v>
      </c>
    </row>
    <row r="1029" customFormat="false" ht="15" hidden="false" customHeight="false" outlineLevel="0" collapsed="false">
      <c r="A1029" s="18" t="s">
        <v>2062</v>
      </c>
      <c r="B1029" s="19" t="n">
        <v>46203</v>
      </c>
      <c r="C1029" s="18" t="s">
        <v>244</v>
      </c>
      <c r="D1029" s="18" t="s">
        <v>876</v>
      </c>
      <c r="E1029" s="18"/>
      <c r="F1029" s="18" t="s">
        <v>1032</v>
      </c>
      <c r="G1029" s="18" t="s">
        <v>1033</v>
      </c>
      <c r="H1029" s="30" t="n">
        <v>0</v>
      </c>
      <c r="I1029" s="18" t="s">
        <v>527</v>
      </c>
      <c r="J1029" s="28" t="n">
        <v>861.45</v>
      </c>
      <c r="K1029" s="12" t="str">
        <f aca="false">TEXT(B1029,"yyyy-mm")</f>
        <v>2026-06</v>
      </c>
      <c r="L1029" s="21" t="str">
        <f aca="false">IFERROR(INDEX(Projects!$E$2:$E$500,MATCH(C1029,Projects!$A$2:$A$500,0)),"")</f>
        <v>Cloud &amp; Infrastructure</v>
      </c>
      <c r="M1029" s="31" t="n">
        <f aca="false">IF(I1029="Yes",H1029*INDEX(Resources!$I$2:$I$500,MATCH(E1029,Resources!$A$2:$A$500,0)),0)</f>
        <v>0</v>
      </c>
    </row>
    <row r="1030" customFormat="false" ht="15" hidden="false" customHeight="false" outlineLevel="0" collapsed="false">
      <c r="A1030" s="18" t="s">
        <v>2063</v>
      </c>
      <c r="B1030" s="19" t="n">
        <v>46203</v>
      </c>
      <c r="C1030" s="18" t="s">
        <v>249</v>
      </c>
      <c r="D1030" s="18" t="s">
        <v>869</v>
      </c>
      <c r="E1030" s="18" t="s">
        <v>218</v>
      </c>
      <c r="F1030" s="18"/>
      <c r="G1030" s="18" t="s">
        <v>1019</v>
      </c>
      <c r="H1030" s="30" t="n">
        <v>95.8</v>
      </c>
      <c r="I1030" s="18" t="s">
        <v>513</v>
      </c>
      <c r="J1030" s="28" t="n">
        <v>7165.84</v>
      </c>
      <c r="K1030" s="12" t="str">
        <f aca="false">TEXT(B1030,"yyyy-mm")</f>
        <v>2026-06</v>
      </c>
      <c r="L1030" s="21" t="str">
        <f aca="false">IFERROR(INDEX(Projects!$E$2:$E$500,MATCH(C1030,Projects!$A$2:$A$500,0)),"")</f>
        <v>Operational Excellence</v>
      </c>
      <c r="M1030" s="31" t="n">
        <f aca="false">IF(I1030="Yes",H1030*INDEX(Resources!$I$2:$I$500,MATCH(E1030,Resources!$A$2:$A$500,0)),0)</f>
        <v>14370</v>
      </c>
    </row>
    <row r="1031" customFormat="false" ht="15" hidden="false" customHeight="false" outlineLevel="0" collapsed="false">
      <c r="A1031" s="18" t="s">
        <v>2064</v>
      </c>
      <c r="B1031" s="19" t="n">
        <v>46203</v>
      </c>
      <c r="C1031" s="18" t="s">
        <v>249</v>
      </c>
      <c r="D1031" s="18" t="s">
        <v>869</v>
      </c>
      <c r="E1031" s="18" t="s">
        <v>373</v>
      </c>
      <c r="F1031" s="18"/>
      <c r="G1031" s="18" t="s">
        <v>1019</v>
      </c>
      <c r="H1031" s="30" t="n">
        <v>79.7</v>
      </c>
      <c r="I1031" s="18" t="s">
        <v>513</v>
      </c>
      <c r="J1031" s="28" t="n">
        <v>5853.17</v>
      </c>
      <c r="K1031" s="12" t="str">
        <f aca="false">TEXT(B1031,"yyyy-mm")</f>
        <v>2026-06</v>
      </c>
      <c r="L1031" s="21" t="str">
        <f aca="false">IFERROR(INDEX(Projects!$E$2:$E$500,MATCH(C1031,Projects!$A$2:$A$500,0)),"")</f>
        <v>Operational Excellence</v>
      </c>
      <c r="M1031" s="31" t="n">
        <f aca="false">IF(I1031="Yes",H1031*INDEX(Resources!$I$2:$I$500,MATCH(E1031,Resources!$A$2:$A$500,0)),0)</f>
        <v>11955</v>
      </c>
    </row>
    <row r="1032" customFormat="false" ht="15" hidden="false" customHeight="false" outlineLevel="0" collapsed="false">
      <c r="A1032" s="18" t="s">
        <v>2065</v>
      </c>
      <c r="B1032" s="19" t="n">
        <v>46203</v>
      </c>
      <c r="C1032" s="18" t="s">
        <v>249</v>
      </c>
      <c r="D1032" s="18" t="s">
        <v>869</v>
      </c>
      <c r="E1032" s="18" t="s">
        <v>403</v>
      </c>
      <c r="F1032" s="18"/>
      <c r="G1032" s="18" t="s">
        <v>1019</v>
      </c>
      <c r="H1032" s="30" t="n">
        <v>120.2</v>
      </c>
      <c r="I1032" s="18" t="s">
        <v>513</v>
      </c>
      <c r="J1032" s="28" t="n">
        <v>10284.31</v>
      </c>
      <c r="K1032" s="12" t="str">
        <f aca="false">TEXT(B1032,"yyyy-mm")</f>
        <v>2026-06</v>
      </c>
      <c r="L1032" s="21" t="str">
        <f aca="false">IFERROR(INDEX(Projects!$E$2:$E$500,MATCH(C1032,Projects!$A$2:$A$500,0)),"")</f>
        <v>Operational Excellence</v>
      </c>
      <c r="M1032" s="31" t="n">
        <f aca="false">IF(I1032="Yes",H1032*INDEX(Resources!$I$2:$I$500,MATCH(E1032,Resources!$A$2:$A$500,0)),0)</f>
        <v>20434</v>
      </c>
    </row>
    <row r="1033" customFormat="false" ht="15" hidden="false" customHeight="false" outlineLevel="0" collapsed="false">
      <c r="A1033" s="18" t="s">
        <v>2066</v>
      </c>
      <c r="B1033" s="19" t="n">
        <v>46203</v>
      </c>
      <c r="C1033" s="18" t="s">
        <v>249</v>
      </c>
      <c r="D1033" s="18" t="s">
        <v>869</v>
      </c>
      <c r="E1033" s="18" t="s">
        <v>424</v>
      </c>
      <c r="F1033" s="18"/>
      <c r="G1033" s="18" t="s">
        <v>1019</v>
      </c>
      <c r="H1033" s="30" t="n">
        <v>130.2</v>
      </c>
      <c r="I1033" s="18" t="s">
        <v>513</v>
      </c>
      <c r="J1033" s="28" t="n">
        <v>8853.6</v>
      </c>
      <c r="K1033" s="12" t="str">
        <f aca="false">TEXT(B1033,"yyyy-mm")</f>
        <v>2026-06</v>
      </c>
      <c r="L1033" s="21" t="str">
        <f aca="false">IFERROR(INDEX(Projects!$E$2:$E$500,MATCH(C1033,Projects!$A$2:$A$500,0)),"")</f>
        <v>Operational Excellence</v>
      </c>
      <c r="M1033" s="31" t="n">
        <f aca="false">IF(I1033="Yes",H1033*INDEX(Resources!$I$2:$I$500,MATCH(E1033,Resources!$A$2:$A$500,0)),0)</f>
        <v>14322</v>
      </c>
    </row>
    <row r="1034" customFormat="false" ht="15" hidden="false" customHeight="false" outlineLevel="0" collapsed="false">
      <c r="A1034" s="18" t="s">
        <v>2067</v>
      </c>
      <c r="B1034" s="19" t="n">
        <v>46203</v>
      </c>
      <c r="C1034" s="18" t="s">
        <v>249</v>
      </c>
      <c r="D1034" s="18" t="s">
        <v>872</v>
      </c>
      <c r="E1034" s="18"/>
      <c r="F1034" s="18" t="s">
        <v>1924</v>
      </c>
      <c r="G1034" s="18" t="s">
        <v>1026</v>
      </c>
      <c r="H1034" s="30" t="n">
        <v>0</v>
      </c>
      <c r="I1034" s="18" t="s">
        <v>527</v>
      </c>
      <c r="J1034" s="28" t="n">
        <v>1451.31</v>
      </c>
      <c r="K1034" s="12" t="str">
        <f aca="false">TEXT(B1034,"yyyy-mm")</f>
        <v>2026-06</v>
      </c>
      <c r="L1034" s="21" t="str">
        <f aca="false">IFERROR(INDEX(Projects!$E$2:$E$500,MATCH(C1034,Projects!$A$2:$A$500,0)),"")</f>
        <v>Operational Excellence</v>
      </c>
      <c r="M1034" s="31" t="n">
        <f aca="false">IF(I1034="Yes",H1034*INDEX(Resources!$I$2:$I$500,MATCH(E1034,Resources!$A$2:$A$500,0)),0)</f>
        <v>0</v>
      </c>
    </row>
    <row r="1035" customFormat="false" ht="15" hidden="false" customHeight="false" outlineLevel="0" collapsed="false">
      <c r="A1035" s="18" t="s">
        <v>2068</v>
      </c>
      <c r="B1035" s="19" t="n">
        <v>46203</v>
      </c>
      <c r="C1035" s="18" t="s">
        <v>249</v>
      </c>
      <c r="D1035" s="18" t="s">
        <v>495</v>
      </c>
      <c r="E1035" s="18"/>
      <c r="F1035" s="18" t="s">
        <v>1373</v>
      </c>
      <c r="G1035" s="18" t="s">
        <v>1026</v>
      </c>
      <c r="H1035" s="30" t="n">
        <v>0</v>
      </c>
      <c r="I1035" s="18" t="s">
        <v>527</v>
      </c>
      <c r="J1035" s="28" t="n">
        <v>857.8</v>
      </c>
      <c r="K1035" s="12" t="str">
        <f aca="false">TEXT(B1035,"yyyy-mm")</f>
        <v>2026-06</v>
      </c>
      <c r="L1035" s="21" t="str">
        <f aca="false">IFERROR(INDEX(Projects!$E$2:$E$500,MATCH(C1035,Projects!$A$2:$A$500,0)),"")</f>
        <v>Operational Excellence</v>
      </c>
      <c r="M1035" s="31" t="n">
        <f aca="false">IF(I1035="Yes",H1035*INDEX(Resources!$I$2:$I$500,MATCH(E1035,Resources!$A$2:$A$500,0)),0)</f>
        <v>0</v>
      </c>
    </row>
    <row r="1036" customFormat="false" ht="15" hidden="false" customHeight="false" outlineLevel="0" collapsed="false">
      <c r="A1036" s="18" t="s">
        <v>2069</v>
      </c>
      <c r="B1036" s="19" t="n">
        <v>46203</v>
      </c>
      <c r="C1036" s="18" t="s">
        <v>249</v>
      </c>
      <c r="D1036" s="18" t="s">
        <v>876</v>
      </c>
      <c r="E1036" s="18"/>
      <c r="F1036" s="18" t="s">
        <v>1032</v>
      </c>
      <c r="G1036" s="18" t="s">
        <v>1033</v>
      </c>
      <c r="H1036" s="30" t="n">
        <v>0</v>
      </c>
      <c r="I1036" s="18" t="s">
        <v>527</v>
      </c>
      <c r="J1036" s="28" t="n">
        <v>687.36</v>
      </c>
      <c r="K1036" s="12" t="str">
        <f aca="false">TEXT(B1036,"yyyy-mm")</f>
        <v>2026-06</v>
      </c>
      <c r="L1036" s="21" t="str">
        <f aca="false">IFERROR(INDEX(Projects!$E$2:$E$500,MATCH(C1036,Projects!$A$2:$A$500,0)),"")</f>
        <v>Operational Excellence</v>
      </c>
      <c r="M1036" s="31" t="n">
        <f aca="false">IF(I1036="Yes",H1036*INDEX(Resources!$I$2:$I$500,MATCH(E1036,Resources!$A$2:$A$500,0)),0)</f>
        <v>0</v>
      </c>
    </row>
    <row r="1037" customFormat="false" ht="15" hidden="false" customHeight="false" outlineLevel="0" collapsed="false">
      <c r="A1037" s="18" t="s">
        <v>2070</v>
      </c>
      <c r="B1037" s="19" t="n">
        <v>46203</v>
      </c>
      <c r="C1037" s="18" t="s">
        <v>253</v>
      </c>
      <c r="D1037" s="18" t="s">
        <v>869</v>
      </c>
      <c r="E1037" s="18" t="s">
        <v>231</v>
      </c>
      <c r="F1037" s="18"/>
      <c r="G1037" s="18" t="s">
        <v>1019</v>
      </c>
      <c r="H1037" s="30" t="n">
        <v>110.7</v>
      </c>
      <c r="I1037" s="18" t="s">
        <v>513</v>
      </c>
      <c r="J1037" s="28" t="n">
        <v>11300.26</v>
      </c>
      <c r="K1037" s="12" t="str">
        <f aca="false">TEXT(B1037,"yyyy-mm")</f>
        <v>2026-06</v>
      </c>
      <c r="L1037" s="21" t="str">
        <f aca="false">IFERROR(INDEX(Projects!$E$2:$E$500,MATCH(C1037,Projects!$A$2:$A$500,0)),"")</f>
        <v>Customer Experience</v>
      </c>
      <c r="M1037" s="31" t="n">
        <f aca="false">IF(I1037="Yes",H1037*INDEX(Resources!$I$2:$I$500,MATCH(E1037,Resources!$A$2:$A$500,0)),0)</f>
        <v>22693.5</v>
      </c>
    </row>
    <row r="1038" customFormat="false" ht="15" hidden="false" customHeight="false" outlineLevel="0" collapsed="false">
      <c r="A1038" s="18" t="s">
        <v>2071</v>
      </c>
      <c r="B1038" s="19" t="n">
        <v>46203</v>
      </c>
      <c r="C1038" s="18" t="s">
        <v>253</v>
      </c>
      <c r="D1038" s="18" t="s">
        <v>869</v>
      </c>
      <c r="E1038" s="18" t="s">
        <v>407</v>
      </c>
      <c r="F1038" s="18"/>
      <c r="G1038" s="18" t="s">
        <v>1019</v>
      </c>
      <c r="H1038" s="30" t="n">
        <v>203.4</v>
      </c>
      <c r="I1038" s="18" t="s">
        <v>513</v>
      </c>
      <c r="J1038" s="28" t="n">
        <v>17402.9</v>
      </c>
      <c r="K1038" s="12" t="str">
        <f aca="false">TEXT(B1038,"yyyy-mm")</f>
        <v>2026-06</v>
      </c>
      <c r="L1038" s="21" t="str">
        <f aca="false">IFERROR(INDEX(Projects!$E$2:$E$500,MATCH(C1038,Projects!$A$2:$A$500,0)),"")</f>
        <v>Customer Experience</v>
      </c>
      <c r="M1038" s="31" t="n">
        <f aca="false">IF(I1038="Yes",H1038*INDEX(Resources!$I$2:$I$500,MATCH(E1038,Resources!$A$2:$A$500,0)),0)</f>
        <v>34578</v>
      </c>
    </row>
    <row r="1039" customFormat="false" ht="15" hidden="false" customHeight="false" outlineLevel="0" collapsed="false">
      <c r="A1039" s="18" t="s">
        <v>2072</v>
      </c>
      <c r="B1039" s="19" t="n">
        <v>46203</v>
      </c>
      <c r="C1039" s="18" t="s">
        <v>253</v>
      </c>
      <c r="D1039" s="18" t="s">
        <v>869</v>
      </c>
      <c r="E1039" s="18" t="s">
        <v>426</v>
      </c>
      <c r="F1039" s="18"/>
      <c r="G1039" s="18" t="s">
        <v>1019</v>
      </c>
      <c r="H1039" s="30" t="n">
        <v>115</v>
      </c>
      <c r="I1039" s="18" t="s">
        <v>513</v>
      </c>
      <c r="J1039" s="28" t="n">
        <v>8537.6</v>
      </c>
      <c r="K1039" s="12" t="str">
        <f aca="false">TEXT(B1039,"yyyy-mm")</f>
        <v>2026-06</v>
      </c>
      <c r="L1039" s="21" t="str">
        <f aca="false">IFERROR(INDEX(Projects!$E$2:$E$500,MATCH(C1039,Projects!$A$2:$A$500,0)),"")</f>
        <v>Customer Experience</v>
      </c>
      <c r="M1039" s="31" t="n">
        <f aca="false">IF(I1039="Yes",H1039*INDEX(Resources!$I$2:$I$500,MATCH(E1039,Resources!$A$2:$A$500,0)),0)</f>
        <v>17250</v>
      </c>
    </row>
    <row r="1040" customFormat="false" ht="15" hidden="false" customHeight="false" outlineLevel="0" collapsed="false">
      <c r="A1040" s="18" t="s">
        <v>2073</v>
      </c>
      <c r="B1040" s="19" t="n">
        <v>46203</v>
      </c>
      <c r="C1040" s="18" t="s">
        <v>253</v>
      </c>
      <c r="D1040" s="18" t="s">
        <v>869</v>
      </c>
      <c r="E1040" s="18" t="s">
        <v>446</v>
      </c>
      <c r="F1040" s="18"/>
      <c r="G1040" s="18" t="s">
        <v>1019</v>
      </c>
      <c r="H1040" s="30" t="n">
        <v>106.3</v>
      </c>
      <c r="I1040" s="18" t="s">
        <v>513</v>
      </c>
      <c r="J1040" s="28" t="n">
        <v>5952.8</v>
      </c>
      <c r="K1040" s="12" t="str">
        <f aca="false">TEXT(B1040,"yyyy-mm")</f>
        <v>2026-06</v>
      </c>
      <c r="L1040" s="21" t="str">
        <f aca="false">IFERROR(INDEX(Projects!$E$2:$E$500,MATCH(C1040,Projects!$A$2:$A$500,0)),"")</f>
        <v>Customer Experience</v>
      </c>
      <c r="M1040" s="31" t="n">
        <f aca="false">IF(I1040="Yes",H1040*INDEX(Resources!$I$2:$I$500,MATCH(E1040,Resources!$A$2:$A$500,0)),0)</f>
        <v>12224.5</v>
      </c>
    </row>
    <row r="1041" customFormat="false" ht="15" hidden="false" customHeight="false" outlineLevel="0" collapsed="false">
      <c r="A1041" s="18" t="s">
        <v>2074</v>
      </c>
      <c r="B1041" s="19" t="n">
        <v>46203</v>
      </c>
      <c r="C1041" s="18" t="s">
        <v>253</v>
      </c>
      <c r="D1041" s="18" t="s">
        <v>872</v>
      </c>
      <c r="E1041" s="18"/>
      <c r="F1041" s="18" t="s">
        <v>1025</v>
      </c>
      <c r="G1041" s="18" t="s">
        <v>1026</v>
      </c>
      <c r="H1041" s="30" t="n">
        <v>0</v>
      </c>
      <c r="I1041" s="18" t="s">
        <v>527</v>
      </c>
      <c r="J1041" s="28" t="n">
        <v>2994.29</v>
      </c>
      <c r="K1041" s="12" t="str">
        <f aca="false">TEXT(B1041,"yyyy-mm")</f>
        <v>2026-06</v>
      </c>
      <c r="L1041" s="21" t="str">
        <f aca="false">IFERROR(INDEX(Projects!$E$2:$E$500,MATCH(C1041,Projects!$A$2:$A$500,0)),"")</f>
        <v>Customer Experience</v>
      </c>
      <c r="M1041" s="31" t="n">
        <f aca="false">IF(I1041="Yes",H1041*INDEX(Resources!$I$2:$I$500,MATCH(E1041,Resources!$A$2:$A$500,0)),0)</f>
        <v>0</v>
      </c>
    </row>
    <row r="1042" customFormat="false" ht="15" hidden="false" customHeight="false" outlineLevel="0" collapsed="false">
      <c r="A1042" s="18" t="s">
        <v>2075</v>
      </c>
      <c r="B1042" s="19" t="n">
        <v>46203</v>
      </c>
      <c r="C1042" s="18" t="s">
        <v>253</v>
      </c>
      <c r="D1042" s="18" t="s">
        <v>874</v>
      </c>
      <c r="E1042" s="18"/>
      <c r="F1042" s="18" t="s">
        <v>1224</v>
      </c>
      <c r="G1042" s="18" t="s">
        <v>1026</v>
      </c>
      <c r="H1042" s="30" t="n">
        <v>0</v>
      </c>
      <c r="I1042" s="18" t="s">
        <v>527</v>
      </c>
      <c r="J1042" s="28" t="n">
        <v>3901</v>
      </c>
      <c r="K1042" s="12" t="str">
        <f aca="false">TEXT(B1042,"yyyy-mm")</f>
        <v>2026-06</v>
      </c>
      <c r="L1042" s="21" t="str">
        <f aca="false">IFERROR(INDEX(Projects!$E$2:$E$500,MATCH(C1042,Projects!$A$2:$A$500,0)),"")</f>
        <v>Customer Experience</v>
      </c>
      <c r="M1042" s="31" t="n">
        <f aca="false">IF(I1042="Yes",H1042*INDEX(Resources!$I$2:$I$500,MATCH(E1042,Resources!$A$2:$A$500,0)),0)</f>
        <v>0</v>
      </c>
    </row>
    <row r="1043" customFormat="false" ht="15" hidden="false" customHeight="false" outlineLevel="0" collapsed="false">
      <c r="A1043" s="18" t="s">
        <v>2076</v>
      </c>
      <c r="B1043" s="19" t="n">
        <v>46203</v>
      </c>
      <c r="C1043" s="18" t="s">
        <v>253</v>
      </c>
      <c r="D1043" s="18" t="s">
        <v>876</v>
      </c>
      <c r="E1043" s="18"/>
      <c r="F1043" s="18" t="s">
        <v>1032</v>
      </c>
      <c r="G1043" s="18" t="s">
        <v>1033</v>
      </c>
      <c r="H1043" s="30" t="n">
        <v>0</v>
      </c>
      <c r="I1043" s="18" t="s">
        <v>527</v>
      </c>
      <c r="J1043" s="28" t="n">
        <v>814.6</v>
      </c>
      <c r="K1043" s="12" t="str">
        <f aca="false">TEXT(B1043,"yyyy-mm")</f>
        <v>2026-06</v>
      </c>
      <c r="L1043" s="21" t="str">
        <f aca="false">IFERROR(INDEX(Projects!$E$2:$E$500,MATCH(C1043,Projects!$A$2:$A$500,0)),"")</f>
        <v>Customer Experience</v>
      </c>
      <c r="M1043" s="31" t="n">
        <f aca="false">IF(I1043="Yes",H1043*INDEX(Resources!$I$2:$I$500,MATCH(E1043,Resources!$A$2:$A$500,0)),0)</f>
        <v>0</v>
      </c>
    </row>
    <row r="1044" customFormat="false" ht="15" hidden="false" customHeight="false" outlineLevel="0" collapsed="false">
      <c r="A1044" s="18" t="s">
        <v>2077</v>
      </c>
      <c r="B1044" s="19" t="n">
        <v>46203</v>
      </c>
      <c r="C1044" s="18" t="s">
        <v>257</v>
      </c>
      <c r="D1044" s="18" t="s">
        <v>889</v>
      </c>
      <c r="E1044" s="18"/>
      <c r="F1044" s="18" t="s">
        <v>474</v>
      </c>
      <c r="G1044" s="18" t="s">
        <v>1026</v>
      </c>
      <c r="H1044" s="30" t="n">
        <v>0</v>
      </c>
      <c r="I1044" s="18" t="s">
        <v>527</v>
      </c>
      <c r="J1044" s="28" t="n">
        <v>2964.76</v>
      </c>
      <c r="K1044" s="12" t="str">
        <f aca="false">TEXT(B1044,"yyyy-mm")</f>
        <v>2026-06</v>
      </c>
      <c r="L1044" s="21" t="str">
        <f aca="false">IFERROR(INDEX(Projects!$E$2:$E$500,MATCH(C1044,Projects!$A$2:$A$500,0)),"")</f>
        <v>Data &amp; AI</v>
      </c>
      <c r="M1044" s="31" t="n">
        <f aca="false">IF(I1044="Yes",H1044*INDEX(Resources!$I$2:$I$500,MATCH(E1044,Resources!$A$2:$A$500,0)),0)</f>
        <v>0</v>
      </c>
    </row>
    <row r="1045" customFormat="false" ht="15" hidden="false" customHeight="false" outlineLevel="0" collapsed="false">
      <c r="A1045" s="18" t="s">
        <v>2078</v>
      </c>
      <c r="B1045" s="19" t="n">
        <v>46203</v>
      </c>
      <c r="C1045" s="18" t="s">
        <v>257</v>
      </c>
      <c r="D1045" s="18" t="s">
        <v>869</v>
      </c>
      <c r="E1045" s="18" t="s">
        <v>226</v>
      </c>
      <c r="F1045" s="18"/>
      <c r="G1045" s="18" t="s">
        <v>1019</v>
      </c>
      <c r="H1045" s="30" t="n">
        <v>44</v>
      </c>
      <c r="I1045" s="18" t="s">
        <v>527</v>
      </c>
      <c r="J1045" s="28" t="n">
        <v>3872</v>
      </c>
      <c r="K1045" s="12" t="str">
        <f aca="false">TEXT(B1045,"yyyy-mm")</f>
        <v>2026-06</v>
      </c>
      <c r="L1045" s="21" t="str">
        <f aca="false">IFERROR(INDEX(Projects!$E$2:$E$500,MATCH(C1045,Projects!$A$2:$A$500,0)),"")</f>
        <v>Data &amp; AI</v>
      </c>
      <c r="M1045" s="31" t="n">
        <f aca="false">IF(I1045="Yes",H1045*INDEX(Resources!$I$2:$I$500,MATCH(E1045,Resources!$A$2:$A$500,0)),0)</f>
        <v>0</v>
      </c>
    </row>
    <row r="1046" customFormat="false" ht="15" hidden="false" customHeight="false" outlineLevel="0" collapsed="false">
      <c r="A1046" s="18" t="s">
        <v>2079</v>
      </c>
      <c r="B1046" s="19" t="n">
        <v>46203</v>
      </c>
      <c r="C1046" s="18" t="s">
        <v>257</v>
      </c>
      <c r="D1046" s="18" t="s">
        <v>869</v>
      </c>
      <c r="E1046" s="18" t="s">
        <v>357</v>
      </c>
      <c r="F1046" s="18"/>
      <c r="G1046" s="18" t="s">
        <v>1019</v>
      </c>
      <c r="H1046" s="30" t="n">
        <v>47.6</v>
      </c>
      <c r="I1046" s="18" t="s">
        <v>513</v>
      </c>
      <c r="J1046" s="28" t="n">
        <v>5757.7</v>
      </c>
      <c r="K1046" s="12" t="str">
        <f aca="false">TEXT(B1046,"yyyy-mm")</f>
        <v>2026-06</v>
      </c>
      <c r="L1046" s="21" t="str">
        <f aca="false">IFERROR(INDEX(Projects!$E$2:$E$500,MATCH(C1046,Projects!$A$2:$A$500,0)),"")</f>
        <v>Data &amp; AI</v>
      </c>
      <c r="M1046" s="31" t="n">
        <f aca="false">IF(I1046="Yes",H1046*INDEX(Resources!$I$2:$I$500,MATCH(E1046,Resources!$A$2:$A$500,0)),0)</f>
        <v>11662</v>
      </c>
    </row>
    <row r="1047" customFormat="false" ht="15" hidden="false" customHeight="false" outlineLevel="0" collapsed="false">
      <c r="A1047" s="18" t="s">
        <v>2080</v>
      </c>
      <c r="B1047" s="19" t="n">
        <v>46203</v>
      </c>
      <c r="C1047" s="18" t="s">
        <v>257</v>
      </c>
      <c r="D1047" s="18" t="s">
        <v>869</v>
      </c>
      <c r="E1047" s="18" t="s">
        <v>428</v>
      </c>
      <c r="F1047" s="18"/>
      <c r="G1047" s="18" t="s">
        <v>1019</v>
      </c>
      <c r="H1047" s="30" t="n">
        <v>95.1</v>
      </c>
      <c r="I1047" s="18" t="s">
        <v>513</v>
      </c>
      <c r="J1047" s="28" t="n">
        <v>5173.44</v>
      </c>
      <c r="K1047" s="12" t="str">
        <f aca="false">TEXT(B1047,"yyyy-mm")</f>
        <v>2026-06</v>
      </c>
      <c r="L1047" s="21" t="str">
        <f aca="false">IFERROR(INDEX(Projects!$E$2:$E$500,MATCH(C1047,Projects!$A$2:$A$500,0)),"")</f>
        <v>Data &amp; AI</v>
      </c>
      <c r="M1047" s="31" t="n">
        <f aca="false">IF(I1047="Yes",H1047*INDEX(Resources!$I$2:$I$500,MATCH(E1047,Resources!$A$2:$A$500,0)),0)</f>
        <v>10461</v>
      </c>
    </row>
    <row r="1048" customFormat="false" ht="15" hidden="false" customHeight="false" outlineLevel="0" collapsed="false">
      <c r="A1048" s="18" t="s">
        <v>2081</v>
      </c>
      <c r="B1048" s="19" t="n">
        <v>46203</v>
      </c>
      <c r="C1048" s="18" t="s">
        <v>257</v>
      </c>
      <c r="D1048" s="18" t="s">
        <v>869</v>
      </c>
      <c r="E1048" s="18" t="s">
        <v>457</v>
      </c>
      <c r="F1048" s="18"/>
      <c r="G1048" s="18" t="s">
        <v>1019</v>
      </c>
      <c r="H1048" s="30" t="n">
        <v>112.9</v>
      </c>
      <c r="I1048" s="18" t="s">
        <v>513</v>
      </c>
      <c r="J1048" s="28" t="n">
        <v>11786.76</v>
      </c>
      <c r="K1048" s="12" t="str">
        <f aca="false">TEXT(B1048,"yyyy-mm")</f>
        <v>2026-06</v>
      </c>
      <c r="L1048" s="21" t="str">
        <f aca="false">IFERROR(INDEX(Projects!$E$2:$E$500,MATCH(C1048,Projects!$A$2:$A$500,0)),"")</f>
        <v>Data &amp; AI</v>
      </c>
      <c r="M1048" s="31" t="n">
        <f aca="false">IF(I1048="Yes",H1048*INDEX(Resources!$I$2:$I$500,MATCH(E1048,Resources!$A$2:$A$500,0)),0)</f>
        <v>23709</v>
      </c>
    </row>
    <row r="1049" customFormat="false" ht="15" hidden="false" customHeight="false" outlineLevel="0" collapsed="false">
      <c r="A1049" s="18" t="s">
        <v>2082</v>
      </c>
      <c r="B1049" s="19" t="n">
        <v>46203</v>
      </c>
      <c r="C1049" s="18" t="s">
        <v>257</v>
      </c>
      <c r="D1049" s="18" t="s">
        <v>869</v>
      </c>
      <c r="E1049" s="18" t="s">
        <v>466</v>
      </c>
      <c r="F1049" s="18"/>
      <c r="G1049" s="18" t="s">
        <v>1019</v>
      </c>
      <c r="H1049" s="30" t="n">
        <v>131.1</v>
      </c>
      <c r="I1049" s="18" t="s">
        <v>513</v>
      </c>
      <c r="J1049" s="28" t="n">
        <v>12847.8</v>
      </c>
      <c r="K1049" s="12" t="str">
        <f aca="false">TEXT(B1049,"yyyy-mm")</f>
        <v>2026-06</v>
      </c>
      <c r="L1049" s="21" t="str">
        <f aca="false">IFERROR(INDEX(Projects!$E$2:$E$500,MATCH(C1049,Projects!$A$2:$A$500,0)),"")</f>
        <v>Data &amp; AI</v>
      </c>
      <c r="M1049" s="31" t="n">
        <f aca="false">IF(I1049="Yes",H1049*INDEX(Resources!$I$2:$I$500,MATCH(E1049,Resources!$A$2:$A$500,0)),0)</f>
        <v>26220</v>
      </c>
    </row>
    <row r="1050" customFormat="false" ht="15" hidden="false" customHeight="false" outlineLevel="0" collapsed="false">
      <c r="A1050" s="18" t="s">
        <v>2083</v>
      </c>
      <c r="B1050" s="19" t="n">
        <v>46203</v>
      </c>
      <c r="C1050" s="18" t="s">
        <v>257</v>
      </c>
      <c r="D1050" s="18" t="s">
        <v>872</v>
      </c>
      <c r="E1050" s="18"/>
      <c r="F1050" s="18" t="s">
        <v>1059</v>
      </c>
      <c r="G1050" s="18" t="s">
        <v>1026</v>
      </c>
      <c r="H1050" s="30" t="n">
        <v>0</v>
      </c>
      <c r="I1050" s="18" t="s">
        <v>527</v>
      </c>
      <c r="J1050" s="28" t="n">
        <v>1975.8</v>
      </c>
      <c r="K1050" s="12" t="str">
        <f aca="false">TEXT(B1050,"yyyy-mm")</f>
        <v>2026-06</v>
      </c>
      <c r="L1050" s="21" t="str">
        <f aca="false">IFERROR(INDEX(Projects!$E$2:$E$500,MATCH(C1050,Projects!$A$2:$A$500,0)),"")</f>
        <v>Data &amp; AI</v>
      </c>
      <c r="M1050" s="31" t="n">
        <f aca="false">IF(I1050="Yes",H1050*INDEX(Resources!$I$2:$I$500,MATCH(E1050,Resources!$A$2:$A$500,0)),0)</f>
        <v>0</v>
      </c>
    </row>
    <row r="1051" customFormat="false" ht="15" hidden="false" customHeight="false" outlineLevel="0" collapsed="false">
      <c r="A1051" s="18" t="s">
        <v>2084</v>
      </c>
      <c r="B1051" s="19" t="n">
        <v>46203</v>
      </c>
      <c r="C1051" s="18" t="s">
        <v>257</v>
      </c>
      <c r="D1051" s="18" t="s">
        <v>876</v>
      </c>
      <c r="E1051" s="18"/>
      <c r="F1051" s="18" t="s">
        <v>1071</v>
      </c>
      <c r="G1051" s="18" t="s">
        <v>1033</v>
      </c>
      <c r="H1051" s="30" t="n">
        <v>0</v>
      </c>
      <c r="I1051" s="18" t="s">
        <v>527</v>
      </c>
      <c r="J1051" s="28" t="n">
        <v>515.92</v>
      </c>
      <c r="K1051" s="12" t="str">
        <f aca="false">TEXT(B1051,"yyyy-mm")</f>
        <v>2026-06</v>
      </c>
      <c r="L1051" s="21" t="str">
        <f aca="false">IFERROR(INDEX(Projects!$E$2:$E$500,MATCH(C1051,Projects!$A$2:$A$500,0)),"")</f>
        <v>Data &amp; AI</v>
      </c>
      <c r="M1051" s="31" t="n">
        <f aca="false">IF(I1051="Yes",H1051*INDEX(Resources!$I$2:$I$500,MATCH(E1051,Resources!$A$2:$A$500,0)),0)</f>
        <v>0</v>
      </c>
    </row>
    <row r="1052" customFormat="false" ht="15" hidden="false" customHeight="false" outlineLevel="0" collapsed="false">
      <c r="A1052" s="18" t="s">
        <v>2085</v>
      </c>
      <c r="B1052" s="19" t="n">
        <v>46203</v>
      </c>
      <c r="C1052" s="18" t="s">
        <v>261</v>
      </c>
      <c r="D1052" s="18" t="s">
        <v>889</v>
      </c>
      <c r="E1052" s="18"/>
      <c r="F1052" s="18" t="s">
        <v>1035</v>
      </c>
      <c r="G1052" s="18" t="s">
        <v>1026</v>
      </c>
      <c r="H1052" s="30" t="n">
        <v>0</v>
      </c>
      <c r="I1052" s="18" t="s">
        <v>527</v>
      </c>
      <c r="J1052" s="28" t="n">
        <v>4238.98</v>
      </c>
      <c r="K1052" s="12" t="str">
        <f aca="false">TEXT(B1052,"yyyy-mm")</f>
        <v>2026-06</v>
      </c>
      <c r="L1052" s="21" t="str">
        <f aca="false">IFERROR(INDEX(Projects!$E$2:$E$500,MATCH(C1052,Projects!$A$2:$A$500,0)),"")</f>
        <v>Data &amp; AI</v>
      </c>
      <c r="M1052" s="31" t="n">
        <f aca="false">IF(I1052="Yes",H1052*INDEX(Resources!$I$2:$I$500,MATCH(E1052,Resources!$A$2:$A$500,0)),0)</f>
        <v>0</v>
      </c>
    </row>
    <row r="1053" customFormat="false" ht="15" hidden="false" customHeight="false" outlineLevel="0" collapsed="false">
      <c r="A1053" s="18" t="s">
        <v>2086</v>
      </c>
      <c r="B1053" s="19" t="n">
        <v>46203</v>
      </c>
      <c r="C1053" s="18" t="s">
        <v>261</v>
      </c>
      <c r="D1053" s="18" t="s">
        <v>869</v>
      </c>
      <c r="E1053" s="18" t="s">
        <v>247</v>
      </c>
      <c r="F1053" s="18"/>
      <c r="G1053" s="18" t="s">
        <v>1019</v>
      </c>
      <c r="H1053" s="30" t="n">
        <v>88.1</v>
      </c>
      <c r="I1053" s="18" t="s">
        <v>513</v>
      </c>
      <c r="J1053" s="28" t="n">
        <v>7752.8</v>
      </c>
      <c r="K1053" s="12" t="str">
        <f aca="false">TEXT(B1053,"yyyy-mm")</f>
        <v>2026-06</v>
      </c>
      <c r="L1053" s="21" t="str">
        <f aca="false">IFERROR(INDEX(Projects!$E$2:$E$500,MATCH(C1053,Projects!$A$2:$A$500,0)),"")</f>
        <v>Data &amp; AI</v>
      </c>
      <c r="M1053" s="31" t="n">
        <f aca="false">IF(I1053="Yes",H1053*INDEX(Resources!$I$2:$I$500,MATCH(E1053,Resources!$A$2:$A$500,0)),0)</f>
        <v>15417.5</v>
      </c>
    </row>
    <row r="1054" customFormat="false" ht="15" hidden="false" customHeight="false" outlineLevel="0" collapsed="false">
      <c r="A1054" s="18" t="s">
        <v>2087</v>
      </c>
      <c r="B1054" s="19" t="n">
        <v>46203</v>
      </c>
      <c r="C1054" s="18" t="s">
        <v>261</v>
      </c>
      <c r="D1054" s="18" t="s">
        <v>869</v>
      </c>
      <c r="E1054" s="18" t="s">
        <v>348</v>
      </c>
      <c r="F1054" s="18"/>
      <c r="G1054" s="18" t="s">
        <v>1019</v>
      </c>
      <c r="H1054" s="30" t="n">
        <v>44.6</v>
      </c>
      <c r="I1054" s="18" t="s">
        <v>513</v>
      </c>
      <c r="J1054" s="28" t="n">
        <v>5794.43</v>
      </c>
      <c r="K1054" s="12" t="str">
        <f aca="false">TEXT(B1054,"yyyy-mm")</f>
        <v>2026-06</v>
      </c>
      <c r="L1054" s="21" t="str">
        <f aca="false">IFERROR(INDEX(Projects!$E$2:$E$500,MATCH(C1054,Projects!$A$2:$A$500,0)),"")</f>
        <v>Data &amp; AI</v>
      </c>
      <c r="M1054" s="31" t="n">
        <f aca="false">IF(I1054="Yes",H1054*INDEX(Resources!$I$2:$I$500,MATCH(E1054,Resources!$A$2:$A$500,0)),0)</f>
        <v>11596</v>
      </c>
    </row>
    <row r="1055" customFormat="false" ht="15" hidden="false" customHeight="false" outlineLevel="0" collapsed="false">
      <c r="A1055" s="18" t="s">
        <v>2088</v>
      </c>
      <c r="B1055" s="19" t="n">
        <v>46203</v>
      </c>
      <c r="C1055" s="18" t="s">
        <v>261</v>
      </c>
      <c r="D1055" s="18" t="s">
        <v>869</v>
      </c>
      <c r="E1055" s="18" t="s">
        <v>430</v>
      </c>
      <c r="F1055" s="18"/>
      <c r="G1055" s="18" t="s">
        <v>1019</v>
      </c>
      <c r="H1055" s="30" t="n">
        <v>95</v>
      </c>
      <c r="I1055" s="18" t="s">
        <v>513</v>
      </c>
      <c r="J1055" s="28" t="n">
        <v>6080</v>
      </c>
      <c r="K1055" s="12" t="str">
        <f aca="false">TEXT(B1055,"yyyy-mm")</f>
        <v>2026-06</v>
      </c>
      <c r="L1055" s="21" t="str">
        <f aca="false">IFERROR(INDEX(Projects!$E$2:$E$500,MATCH(C1055,Projects!$A$2:$A$500,0)),"")</f>
        <v>Data &amp; AI</v>
      </c>
      <c r="M1055" s="31" t="n">
        <f aca="false">IF(I1055="Yes",H1055*INDEX(Resources!$I$2:$I$500,MATCH(E1055,Resources!$A$2:$A$500,0)),0)</f>
        <v>12350</v>
      </c>
    </row>
    <row r="1056" customFormat="false" ht="15" hidden="false" customHeight="false" outlineLevel="0" collapsed="false">
      <c r="A1056" s="18" t="s">
        <v>2089</v>
      </c>
      <c r="B1056" s="19" t="n">
        <v>46203</v>
      </c>
      <c r="C1056" s="18" t="s">
        <v>261</v>
      </c>
      <c r="D1056" s="18" t="s">
        <v>869</v>
      </c>
      <c r="E1056" s="18" t="s">
        <v>459</v>
      </c>
      <c r="F1056" s="18"/>
      <c r="G1056" s="18" t="s">
        <v>1019</v>
      </c>
      <c r="H1056" s="30" t="n">
        <v>128.8</v>
      </c>
      <c r="I1056" s="18" t="s">
        <v>513</v>
      </c>
      <c r="J1056" s="28" t="n">
        <v>12519.36</v>
      </c>
      <c r="K1056" s="12" t="str">
        <f aca="false">TEXT(B1056,"yyyy-mm")</f>
        <v>2026-06</v>
      </c>
      <c r="L1056" s="21" t="str">
        <f aca="false">IFERROR(INDEX(Projects!$E$2:$E$500,MATCH(C1056,Projects!$A$2:$A$500,0)),"")</f>
        <v>Data &amp; AI</v>
      </c>
      <c r="M1056" s="31" t="n">
        <f aca="false">IF(I1056="Yes",H1056*INDEX(Resources!$I$2:$I$500,MATCH(E1056,Resources!$A$2:$A$500,0)),0)</f>
        <v>25116</v>
      </c>
    </row>
    <row r="1057" customFormat="false" ht="15" hidden="false" customHeight="false" outlineLevel="0" collapsed="false">
      <c r="A1057" s="18" t="s">
        <v>2090</v>
      </c>
      <c r="B1057" s="19" t="n">
        <v>46203</v>
      </c>
      <c r="C1057" s="18" t="s">
        <v>261</v>
      </c>
      <c r="D1057" s="18" t="s">
        <v>872</v>
      </c>
      <c r="E1057" s="18"/>
      <c r="F1057" s="18" t="s">
        <v>1025</v>
      </c>
      <c r="G1057" s="18" t="s">
        <v>1026</v>
      </c>
      <c r="H1057" s="30" t="n">
        <v>0</v>
      </c>
      <c r="I1057" s="18" t="s">
        <v>527</v>
      </c>
      <c r="J1057" s="28" t="n">
        <v>2511.44</v>
      </c>
      <c r="K1057" s="12" t="str">
        <f aca="false">TEXT(B1057,"yyyy-mm")</f>
        <v>2026-06</v>
      </c>
      <c r="L1057" s="21" t="str">
        <f aca="false">IFERROR(INDEX(Projects!$E$2:$E$500,MATCH(C1057,Projects!$A$2:$A$500,0)),"")</f>
        <v>Data &amp; AI</v>
      </c>
      <c r="M1057" s="31" t="n">
        <f aca="false">IF(I1057="Yes",H1057*INDEX(Resources!$I$2:$I$500,MATCH(E1057,Resources!$A$2:$A$500,0)),0)</f>
        <v>0</v>
      </c>
    </row>
    <row r="1058" customFormat="false" ht="15" hidden="false" customHeight="false" outlineLevel="0" collapsed="false">
      <c r="A1058" s="18" t="s">
        <v>2091</v>
      </c>
      <c r="B1058" s="19" t="n">
        <v>46203</v>
      </c>
      <c r="C1058" s="18" t="s">
        <v>261</v>
      </c>
      <c r="D1058" s="18" t="s">
        <v>876</v>
      </c>
      <c r="E1058" s="18"/>
      <c r="F1058" s="18" t="s">
        <v>1071</v>
      </c>
      <c r="G1058" s="18" t="s">
        <v>1033</v>
      </c>
      <c r="H1058" s="30" t="n">
        <v>0</v>
      </c>
      <c r="I1058" s="18" t="s">
        <v>527</v>
      </c>
      <c r="J1058" s="28" t="n">
        <v>539.19</v>
      </c>
      <c r="K1058" s="12" t="str">
        <f aca="false">TEXT(B1058,"yyyy-mm")</f>
        <v>2026-06</v>
      </c>
      <c r="L1058" s="21" t="str">
        <f aca="false">IFERROR(INDEX(Projects!$E$2:$E$500,MATCH(C1058,Projects!$A$2:$A$500,0)),"")</f>
        <v>Data &amp; AI</v>
      </c>
      <c r="M1058" s="31" t="n">
        <f aca="false">IF(I1058="Yes",H1058*INDEX(Resources!$I$2:$I$500,MATCH(E1058,Resources!$A$2:$A$500,0)),0)</f>
        <v>0</v>
      </c>
    </row>
    <row r="1059" customFormat="false" ht="15" hidden="false" customHeight="false" outlineLevel="0" collapsed="false">
      <c r="A1059" s="18" t="s">
        <v>2092</v>
      </c>
      <c r="B1059" s="19" t="n">
        <v>46203</v>
      </c>
      <c r="C1059" s="18" t="s">
        <v>265</v>
      </c>
      <c r="D1059" s="18" t="s">
        <v>869</v>
      </c>
      <c r="E1059" s="18" t="s">
        <v>211</v>
      </c>
      <c r="F1059" s="18"/>
      <c r="G1059" s="18" t="s">
        <v>1019</v>
      </c>
      <c r="H1059" s="30" t="n">
        <v>119.1</v>
      </c>
      <c r="I1059" s="18" t="s">
        <v>513</v>
      </c>
      <c r="J1059" s="28" t="n">
        <v>12157.73</v>
      </c>
      <c r="K1059" s="12" t="str">
        <f aca="false">TEXT(B1059,"yyyy-mm")</f>
        <v>2026-06</v>
      </c>
      <c r="L1059" s="21" t="str">
        <f aca="false">IFERROR(INDEX(Projects!$E$2:$E$500,MATCH(C1059,Projects!$A$2:$A$500,0)),"")</f>
        <v>Digital Transformation</v>
      </c>
      <c r="M1059" s="31" t="n">
        <f aca="false">IF(I1059="Yes",H1059*INDEX(Resources!$I$2:$I$500,MATCH(E1059,Resources!$A$2:$A$500,0)),0)</f>
        <v>24415.5</v>
      </c>
    </row>
    <row r="1060" customFormat="false" ht="15" hidden="false" customHeight="false" outlineLevel="0" collapsed="false">
      <c r="A1060" s="18" t="s">
        <v>2093</v>
      </c>
      <c r="B1060" s="19" t="n">
        <v>46203</v>
      </c>
      <c r="C1060" s="18" t="s">
        <v>265</v>
      </c>
      <c r="D1060" s="18" t="s">
        <v>869</v>
      </c>
      <c r="E1060" s="18" t="s">
        <v>375</v>
      </c>
      <c r="F1060" s="18"/>
      <c r="G1060" s="18" t="s">
        <v>1019</v>
      </c>
      <c r="H1060" s="30" t="n">
        <v>154.2</v>
      </c>
      <c r="I1060" s="18" t="s">
        <v>513</v>
      </c>
      <c r="J1060" s="28" t="n">
        <v>11140.95</v>
      </c>
      <c r="K1060" s="12" t="str">
        <f aca="false">TEXT(B1060,"yyyy-mm")</f>
        <v>2026-06</v>
      </c>
      <c r="L1060" s="21" t="str">
        <f aca="false">IFERROR(INDEX(Projects!$E$2:$E$500,MATCH(C1060,Projects!$A$2:$A$500,0)),"")</f>
        <v>Digital Transformation</v>
      </c>
      <c r="M1060" s="31" t="n">
        <f aca="false">IF(I1060="Yes",H1060*INDEX(Resources!$I$2:$I$500,MATCH(E1060,Resources!$A$2:$A$500,0)),0)</f>
        <v>18504</v>
      </c>
    </row>
    <row r="1061" customFormat="false" ht="15" hidden="false" customHeight="false" outlineLevel="0" collapsed="false">
      <c r="A1061" s="18" t="s">
        <v>2094</v>
      </c>
      <c r="B1061" s="19" t="n">
        <v>46203</v>
      </c>
      <c r="C1061" s="18" t="s">
        <v>265</v>
      </c>
      <c r="D1061" s="18" t="s">
        <v>869</v>
      </c>
      <c r="E1061" s="18" t="s">
        <v>403</v>
      </c>
      <c r="F1061" s="18"/>
      <c r="G1061" s="18" t="s">
        <v>1019</v>
      </c>
      <c r="H1061" s="30" t="n">
        <v>177.9</v>
      </c>
      <c r="I1061" s="18" t="s">
        <v>513</v>
      </c>
      <c r="J1061" s="28" t="n">
        <v>15221.12</v>
      </c>
      <c r="K1061" s="12" t="str">
        <f aca="false">TEXT(B1061,"yyyy-mm")</f>
        <v>2026-06</v>
      </c>
      <c r="L1061" s="21" t="str">
        <f aca="false">IFERROR(INDEX(Projects!$E$2:$E$500,MATCH(C1061,Projects!$A$2:$A$500,0)),"")</f>
        <v>Digital Transformation</v>
      </c>
      <c r="M1061" s="31" t="n">
        <f aca="false">IF(I1061="Yes",H1061*INDEX(Resources!$I$2:$I$500,MATCH(E1061,Resources!$A$2:$A$500,0)),0)</f>
        <v>30243</v>
      </c>
    </row>
    <row r="1062" customFormat="false" ht="15" hidden="false" customHeight="false" outlineLevel="0" collapsed="false">
      <c r="A1062" s="18" t="s">
        <v>2095</v>
      </c>
      <c r="B1062" s="19" t="n">
        <v>46203</v>
      </c>
      <c r="C1062" s="18" t="s">
        <v>265</v>
      </c>
      <c r="D1062" s="18" t="s">
        <v>869</v>
      </c>
      <c r="E1062" s="18" t="s">
        <v>432</v>
      </c>
      <c r="F1062" s="18"/>
      <c r="G1062" s="18" t="s">
        <v>1019</v>
      </c>
      <c r="H1062" s="30" t="n">
        <v>102.9</v>
      </c>
      <c r="I1062" s="18" t="s">
        <v>513</v>
      </c>
      <c r="J1062" s="28" t="n">
        <v>6585.6</v>
      </c>
      <c r="K1062" s="12" t="str">
        <f aca="false">TEXT(B1062,"yyyy-mm")</f>
        <v>2026-06</v>
      </c>
      <c r="L1062" s="21" t="str">
        <f aca="false">IFERROR(INDEX(Projects!$E$2:$E$500,MATCH(C1062,Projects!$A$2:$A$500,0)),"")</f>
        <v>Digital Transformation</v>
      </c>
      <c r="M1062" s="31" t="n">
        <f aca="false">IF(I1062="Yes",H1062*INDEX(Resources!$I$2:$I$500,MATCH(E1062,Resources!$A$2:$A$500,0)),0)</f>
        <v>13377</v>
      </c>
    </row>
    <row r="1063" customFormat="false" ht="15" hidden="false" customHeight="false" outlineLevel="0" collapsed="false">
      <c r="A1063" s="18" t="s">
        <v>2096</v>
      </c>
      <c r="B1063" s="19" t="n">
        <v>46203</v>
      </c>
      <c r="C1063" s="18" t="s">
        <v>265</v>
      </c>
      <c r="D1063" s="18" t="s">
        <v>869</v>
      </c>
      <c r="E1063" s="18" t="s">
        <v>448</v>
      </c>
      <c r="F1063" s="18"/>
      <c r="G1063" s="18" t="s">
        <v>1019</v>
      </c>
      <c r="H1063" s="30" t="n">
        <v>102</v>
      </c>
      <c r="I1063" s="18" t="s">
        <v>513</v>
      </c>
      <c r="J1063" s="28" t="n">
        <v>6625.92</v>
      </c>
      <c r="K1063" s="12" t="str">
        <f aca="false">TEXT(B1063,"yyyy-mm")</f>
        <v>2026-06</v>
      </c>
      <c r="L1063" s="21" t="str">
        <f aca="false">IFERROR(INDEX(Projects!$E$2:$E$500,MATCH(C1063,Projects!$A$2:$A$500,0)),"")</f>
        <v>Digital Transformation</v>
      </c>
      <c r="M1063" s="31" t="n">
        <f aca="false">IF(I1063="Yes",H1063*INDEX(Resources!$I$2:$I$500,MATCH(E1063,Resources!$A$2:$A$500,0)),0)</f>
        <v>13770</v>
      </c>
    </row>
    <row r="1064" customFormat="false" ht="15" hidden="false" customHeight="false" outlineLevel="0" collapsed="false">
      <c r="A1064" s="18" t="s">
        <v>2097</v>
      </c>
      <c r="B1064" s="19" t="n">
        <v>46203</v>
      </c>
      <c r="C1064" s="18" t="s">
        <v>265</v>
      </c>
      <c r="D1064" s="18" t="s">
        <v>869</v>
      </c>
      <c r="E1064" s="18" t="s">
        <v>496</v>
      </c>
      <c r="F1064" s="18"/>
      <c r="G1064" s="18" t="s">
        <v>1019</v>
      </c>
      <c r="H1064" s="30" t="n">
        <v>47.7</v>
      </c>
      <c r="I1064" s="18" t="s">
        <v>513</v>
      </c>
      <c r="J1064" s="28" t="n">
        <v>3709.15</v>
      </c>
      <c r="K1064" s="12" t="str">
        <f aca="false">TEXT(B1064,"yyyy-mm")</f>
        <v>2026-06</v>
      </c>
      <c r="L1064" s="21" t="str">
        <f aca="false">IFERROR(INDEX(Projects!$E$2:$E$500,MATCH(C1064,Projects!$A$2:$A$500,0)),"")</f>
        <v>Digital Transformation</v>
      </c>
      <c r="M1064" s="31" t="n">
        <f aca="false">IF(I1064="Yes",H1064*INDEX(Resources!$I$2:$I$500,MATCH(E1064,Resources!$A$2:$A$500,0)),0)</f>
        <v>7632</v>
      </c>
    </row>
    <row r="1065" customFormat="false" ht="15" hidden="false" customHeight="false" outlineLevel="0" collapsed="false">
      <c r="A1065" s="18" t="s">
        <v>2098</v>
      </c>
      <c r="B1065" s="19" t="n">
        <v>46203</v>
      </c>
      <c r="C1065" s="18" t="s">
        <v>265</v>
      </c>
      <c r="D1065" s="18" t="s">
        <v>872</v>
      </c>
      <c r="E1065" s="18"/>
      <c r="F1065" s="18" t="s">
        <v>353</v>
      </c>
      <c r="G1065" s="18" t="s">
        <v>1026</v>
      </c>
      <c r="H1065" s="30" t="n">
        <v>0</v>
      </c>
      <c r="I1065" s="18" t="s">
        <v>527</v>
      </c>
      <c r="J1065" s="28" t="n">
        <v>4031.09</v>
      </c>
      <c r="K1065" s="12" t="str">
        <f aca="false">TEXT(B1065,"yyyy-mm")</f>
        <v>2026-06</v>
      </c>
      <c r="L1065" s="21" t="str">
        <f aca="false">IFERROR(INDEX(Projects!$E$2:$E$500,MATCH(C1065,Projects!$A$2:$A$500,0)),"")</f>
        <v>Digital Transformation</v>
      </c>
      <c r="M1065" s="31" t="n">
        <f aca="false">IF(I1065="Yes",H1065*INDEX(Resources!$I$2:$I$500,MATCH(E1065,Resources!$A$2:$A$500,0)),0)</f>
        <v>0</v>
      </c>
    </row>
    <row r="1066" customFormat="false" ht="15" hidden="false" customHeight="false" outlineLevel="0" collapsed="false">
      <c r="A1066" s="18" t="s">
        <v>2099</v>
      </c>
      <c r="B1066" s="19" t="n">
        <v>46203</v>
      </c>
      <c r="C1066" s="18" t="s">
        <v>265</v>
      </c>
      <c r="D1066" s="18" t="s">
        <v>874</v>
      </c>
      <c r="E1066" s="18"/>
      <c r="F1066" s="18" t="s">
        <v>1028</v>
      </c>
      <c r="G1066" s="18" t="s">
        <v>1026</v>
      </c>
      <c r="H1066" s="30" t="n">
        <v>0</v>
      </c>
      <c r="I1066" s="18" t="s">
        <v>527</v>
      </c>
      <c r="J1066" s="28" t="n">
        <v>6047.11</v>
      </c>
      <c r="K1066" s="12" t="str">
        <f aca="false">TEXT(B1066,"yyyy-mm")</f>
        <v>2026-06</v>
      </c>
      <c r="L1066" s="21" t="str">
        <f aca="false">IFERROR(INDEX(Projects!$E$2:$E$500,MATCH(C1066,Projects!$A$2:$A$500,0)),"")</f>
        <v>Digital Transformation</v>
      </c>
      <c r="M1066" s="31" t="n">
        <f aca="false">IF(I1066="Yes",H1066*INDEX(Resources!$I$2:$I$500,MATCH(E1066,Resources!$A$2:$A$500,0)),0)</f>
        <v>0</v>
      </c>
    </row>
    <row r="1067" customFormat="false" ht="15" hidden="false" customHeight="false" outlineLevel="0" collapsed="false">
      <c r="A1067" s="18" t="s">
        <v>2100</v>
      </c>
      <c r="B1067" s="19" t="n">
        <v>46203</v>
      </c>
      <c r="C1067" s="18" t="s">
        <v>265</v>
      </c>
      <c r="D1067" s="18" t="s">
        <v>495</v>
      </c>
      <c r="E1067" s="18"/>
      <c r="F1067" s="18" t="s">
        <v>1030</v>
      </c>
      <c r="G1067" s="18" t="s">
        <v>1026</v>
      </c>
      <c r="H1067" s="30" t="n">
        <v>0</v>
      </c>
      <c r="I1067" s="18" t="s">
        <v>527</v>
      </c>
      <c r="J1067" s="28" t="n">
        <v>1260.31</v>
      </c>
      <c r="K1067" s="12" t="str">
        <f aca="false">TEXT(B1067,"yyyy-mm")</f>
        <v>2026-06</v>
      </c>
      <c r="L1067" s="21" t="str">
        <f aca="false">IFERROR(INDEX(Projects!$E$2:$E$500,MATCH(C1067,Projects!$A$2:$A$500,0)),"")</f>
        <v>Digital Transformation</v>
      </c>
      <c r="M1067" s="31" t="n">
        <f aca="false">IF(I1067="Yes",H1067*INDEX(Resources!$I$2:$I$500,MATCH(E1067,Resources!$A$2:$A$500,0)),0)</f>
        <v>0</v>
      </c>
    </row>
    <row r="1068" customFormat="false" ht="15" hidden="false" customHeight="false" outlineLevel="0" collapsed="false">
      <c r="A1068" s="18" t="s">
        <v>2101</v>
      </c>
      <c r="B1068" s="19" t="n">
        <v>46203</v>
      </c>
      <c r="C1068" s="18" t="s">
        <v>265</v>
      </c>
      <c r="D1068" s="18" t="s">
        <v>876</v>
      </c>
      <c r="E1068" s="18"/>
      <c r="F1068" s="18" t="s">
        <v>1032</v>
      </c>
      <c r="G1068" s="18" t="s">
        <v>1033</v>
      </c>
      <c r="H1068" s="30" t="n">
        <v>0</v>
      </c>
      <c r="I1068" s="18" t="s">
        <v>527</v>
      </c>
      <c r="J1068" s="28" t="n">
        <v>1106.58</v>
      </c>
      <c r="K1068" s="12" t="str">
        <f aca="false">TEXT(B1068,"yyyy-mm")</f>
        <v>2026-06</v>
      </c>
      <c r="L1068" s="21" t="str">
        <f aca="false">IFERROR(INDEX(Projects!$E$2:$E$500,MATCH(C1068,Projects!$A$2:$A$500,0)),"")</f>
        <v>Digital Transformation</v>
      </c>
      <c r="M1068" s="31" t="n">
        <f aca="false">IF(I1068="Yes",H1068*INDEX(Resources!$I$2:$I$500,MATCH(E1068,Resources!$A$2:$A$500,0)),0)</f>
        <v>0</v>
      </c>
    </row>
    <row r="1069" customFormat="false" ht="15" hidden="false" customHeight="false" outlineLevel="0" collapsed="false">
      <c r="A1069" s="18" t="s">
        <v>2102</v>
      </c>
      <c r="B1069" s="19" t="n">
        <v>46203</v>
      </c>
      <c r="C1069" s="18" t="s">
        <v>267</v>
      </c>
      <c r="D1069" s="18" t="s">
        <v>889</v>
      </c>
      <c r="E1069" s="18"/>
      <c r="F1069" s="18" t="s">
        <v>1035</v>
      </c>
      <c r="G1069" s="18" t="s">
        <v>1026</v>
      </c>
      <c r="H1069" s="30" t="n">
        <v>0</v>
      </c>
      <c r="I1069" s="18" t="s">
        <v>527</v>
      </c>
      <c r="J1069" s="28" t="n">
        <v>5513.19</v>
      </c>
      <c r="K1069" s="12" t="str">
        <f aca="false">TEXT(B1069,"yyyy-mm")</f>
        <v>2026-06</v>
      </c>
      <c r="L1069" s="21" t="str">
        <f aca="false">IFERROR(INDEX(Projects!$E$2:$E$500,MATCH(C1069,Projects!$A$2:$A$500,0)),"")</f>
        <v>Cloud &amp; Infrastructure</v>
      </c>
      <c r="M1069" s="31" t="n">
        <f aca="false">IF(I1069="Yes",H1069*INDEX(Resources!$I$2:$I$500,MATCH(E1069,Resources!$A$2:$A$500,0)),0)</f>
        <v>0</v>
      </c>
    </row>
    <row r="1070" customFormat="false" ht="15" hidden="false" customHeight="false" outlineLevel="0" collapsed="false">
      <c r="A1070" s="18" t="s">
        <v>2103</v>
      </c>
      <c r="B1070" s="19" t="n">
        <v>46203</v>
      </c>
      <c r="C1070" s="18" t="s">
        <v>267</v>
      </c>
      <c r="D1070" s="18" t="s">
        <v>869</v>
      </c>
      <c r="E1070" s="18" t="s">
        <v>242</v>
      </c>
      <c r="F1070" s="18"/>
      <c r="G1070" s="18" t="s">
        <v>1019</v>
      </c>
      <c r="H1070" s="30" t="n">
        <v>40.9</v>
      </c>
      <c r="I1070" s="18" t="s">
        <v>513</v>
      </c>
      <c r="J1070" s="28" t="n">
        <v>3887.14</v>
      </c>
      <c r="K1070" s="12" t="str">
        <f aca="false">TEXT(B1070,"yyyy-mm")</f>
        <v>2026-06</v>
      </c>
      <c r="L1070" s="21" t="str">
        <f aca="false">IFERROR(INDEX(Projects!$E$2:$E$500,MATCH(C1070,Projects!$A$2:$A$500,0)),"")</f>
        <v>Cloud &amp; Infrastructure</v>
      </c>
      <c r="M1070" s="31" t="n">
        <f aca="false">IF(I1070="Yes",H1070*INDEX(Resources!$I$2:$I$500,MATCH(E1070,Resources!$A$2:$A$500,0)),0)</f>
        <v>7771</v>
      </c>
    </row>
    <row r="1071" customFormat="false" ht="15" hidden="false" customHeight="false" outlineLevel="0" collapsed="false">
      <c r="A1071" s="18" t="s">
        <v>2104</v>
      </c>
      <c r="B1071" s="19" t="n">
        <v>46203</v>
      </c>
      <c r="C1071" s="18" t="s">
        <v>267</v>
      </c>
      <c r="D1071" s="18" t="s">
        <v>869</v>
      </c>
      <c r="E1071" s="18" t="s">
        <v>405</v>
      </c>
      <c r="F1071" s="18"/>
      <c r="G1071" s="18" t="s">
        <v>1019</v>
      </c>
      <c r="H1071" s="30" t="n">
        <v>91.3</v>
      </c>
      <c r="I1071" s="18" t="s">
        <v>513</v>
      </c>
      <c r="J1071" s="28" t="n">
        <v>9071.57</v>
      </c>
      <c r="K1071" s="12" t="str">
        <f aca="false">TEXT(B1071,"yyyy-mm")</f>
        <v>2026-06</v>
      </c>
      <c r="L1071" s="21" t="str">
        <f aca="false">IFERROR(INDEX(Projects!$E$2:$E$500,MATCH(C1071,Projects!$A$2:$A$500,0)),"")</f>
        <v>Cloud &amp; Infrastructure</v>
      </c>
      <c r="M1071" s="31" t="n">
        <f aca="false">IF(I1071="Yes",H1071*INDEX(Resources!$I$2:$I$500,MATCH(E1071,Resources!$A$2:$A$500,0)),0)</f>
        <v>18260</v>
      </c>
    </row>
    <row r="1072" customFormat="false" ht="15" hidden="false" customHeight="false" outlineLevel="0" collapsed="false">
      <c r="A1072" s="18" t="s">
        <v>2105</v>
      </c>
      <c r="B1072" s="19" t="n">
        <v>46203</v>
      </c>
      <c r="C1072" s="18" t="s">
        <v>267</v>
      </c>
      <c r="D1072" s="18" t="s">
        <v>869</v>
      </c>
      <c r="E1072" s="18" t="s">
        <v>477</v>
      </c>
      <c r="F1072" s="18"/>
      <c r="G1072" s="18" t="s">
        <v>1019</v>
      </c>
      <c r="H1072" s="30" t="n">
        <v>131.8</v>
      </c>
      <c r="I1072" s="18" t="s">
        <v>513</v>
      </c>
      <c r="J1072" s="28" t="n">
        <v>14371.47</v>
      </c>
      <c r="K1072" s="12" t="str">
        <f aca="false">TEXT(B1072,"yyyy-mm")</f>
        <v>2026-06</v>
      </c>
      <c r="L1072" s="21" t="str">
        <f aca="false">IFERROR(INDEX(Projects!$E$2:$E$500,MATCH(C1072,Projects!$A$2:$A$500,0)),"")</f>
        <v>Cloud &amp; Infrastructure</v>
      </c>
      <c r="M1072" s="31" t="n">
        <f aca="false">IF(I1072="Yes",H1072*INDEX(Resources!$I$2:$I$500,MATCH(E1072,Resources!$A$2:$A$500,0)),0)</f>
        <v>28996</v>
      </c>
    </row>
    <row r="1073" customFormat="false" ht="15" hidden="false" customHeight="false" outlineLevel="0" collapsed="false">
      <c r="A1073" s="18" t="s">
        <v>2106</v>
      </c>
      <c r="B1073" s="19" t="n">
        <v>46203</v>
      </c>
      <c r="C1073" s="18" t="s">
        <v>267</v>
      </c>
      <c r="D1073" s="18" t="s">
        <v>869</v>
      </c>
      <c r="E1073" s="18" t="s">
        <v>489</v>
      </c>
      <c r="F1073" s="18"/>
      <c r="G1073" s="18" t="s">
        <v>1019</v>
      </c>
      <c r="H1073" s="30" t="n">
        <v>94.3</v>
      </c>
      <c r="I1073" s="18" t="s">
        <v>513</v>
      </c>
      <c r="J1073" s="28" t="n">
        <v>8109.8</v>
      </c>
      <c r="K1073" s="12" t="str">
        <f aca="false">TEXT(B1073,"yyyy-mm")</f>
        <v>2026-06</v>
      </c>
      <c r="L1073" s="21" t="str">
        <f aca="false">IFERROR(INDEX(Projects!$E$2:$E$500,MATCH(C1073,Projects!$A$2:$A$500,0)),"")</f>
        <v>Cloud &amp; Infrastructure</v>
      </c>
      <c r="M1073" s="31" t="n">
        <f aca="false">IF(I1073="Yes",H1073*INDEX(Resources!$I$2:$I$500,MATCH(E1073,Resources!$A$2:$A$500,0)),0)</f>
        <v>16502.5</v>
      </c>
    </row>
    <row r="1074" customFormat="false" ht="15" hidden="false" customHeight="false" outlineLevel="0" collapsed="false">
      <c r="A1074" s="18" t="s">
        <v>2107</v>
      </c>
      <c r="B1074" s="19" t="n">
        <v>46203</v>
      </c>
      <c r="C1074" s="18" t="s">
        <v>267</v>
      </c>
      <c r="D1074" s="18" t="s">
        <v>872</v>
      </c>
      <c r="E1074" s="18"/>
      <c r="F1074" s="18" t="s">
        <v>1059</v>
      </c>
      <c r="G1074" s="18" t="s">
        <v>1026</v>
      </c>
      <c r="H1074" s="30" t="n">
        <v>0</v>
      </c>
      <c r="I1074" s="18" t="s">
        <v>527</v>
      </c>
      <c r="J1074" s="28" t="n">
        <v>1678.02</v>
      </c>
      <c r="K1074" s="12" t="str">
        <f aca="false">TEXT(B1074,"yyyy-mm")</f>
        <v>2026-06</v>
      </c>
      <c r="L1074" s="21" t="str">
        <f aca="false">IFERROR(INDEX(Projects!$E$2:$E$500,MATCH(C1074,Projects!$A$2:$A$500,0)),"")</f>
        <v>Cloud &amp; Infrastructure</v>
      </c>
      <c r="M1074" s="31" t="n">
        <f aca="false">IF(I1074="Yes",H1074*INDEX(Resources!$I$2:$I$500,MATCH(E1074,Resources!$A$2:$A$500,0)),0)</f>
        <v>0</v>
      </c>
    </row>
    <row r="1075" customFormat="false" ht="15" hidden="false" customHeight="false" outlineLevel="0" collapsed="false">
      <c r="A1075" s="18" t="s">
        <v>2108</v>
      </c>
      <c r="B1075" s="19" t="n">
        <v>46203</v>
      </c>
      <c r="C1075" s="18" t="s">
        <v>267</v>
      </c>
      <c r="D1075" s="18" t="s">
        <v>876</v>
      </c>
      <c r="E1075" s="18"/>
      <c r="F1075" s="18" t="s">
        <v>1032</v>
      </c>
      <c r="G1075" s="18" t="s">
        <v>1033</v>
      </c>
      <c r="H1075" s="30" t="n">
        <v>0</v>
      </c>
      <c r="I1075" s="18" t="s">
        <v>527</v>
      </c>
      <c r="J1075" s="28" t="n">
        <v>777.33</v>
      </c>
      <c r="K1075" s="12" t="str">
        <f aca="false">TEXT(B1075,"yyyy-mm")</f>
        <v>2026-06</v>
      </c>
      <c r="L1075" s="21" t="str">
        <f aca="false">IFERROR(INDEX(Projects!$E$2:$E$500,MATCH(C1075,Projects!$A$2:$A$500,0)),"")</f>
        <v>Cloud &amp; Infrastructure</v>
      </c>
      <c r="M1075" s="31" t="n">
        <f aca="false">IF(I1075="Yes",H1075*INDEX(Resources!$I$2:$I$500,MATCH(E1075,Resources!$A$2:$A$500,0)),0)</f>
        <v>0</v>
      </c>
    </row>
    <row r="1076" customFormat="false" ht="15" hidden="false" customHeight="false" outlineLevel="0" collapsed="false">
      <c r="A1076" s="18" t="s">
        <v>2109</v>
      </c>
      <c r="B1076" s="19" t="n">
        <v>46203</v>
      </c>
      <c r="C1076" s="18" t="s">
        <v>270</v>
      </c>
      <c r="D1076" s="18" t="s">
        <v>869</v>
      </c>
      <c r="E1076" s="18" t="s">
        <v>237</v>
      </c>
      <c r="F1076" s="18"/>
      <c r="G1076" s="18" t="s">
        <v>1019</v>
      </c>
      <c r="H1076" s="30" t="n">
        <v>115.2</v>
      </c>
      <c r="I1076" s="18" t="s">
        <v>513</v>
      </c>
      <c r="J1076" s="28" t="n">
        <v>8616.96</v>
      </c>
      <c r="K1076" s="12" t="str">
        <f aca="false">TEXT(B1076,"yyyy-mm")</f>
        <v>2026-06</v>
      </c>
      <c r="L1076" s="21" t="str">
        <f aca="false">IFERROR(INDEX(Projects!$E$2:$E$500,MATCH(C1076,Projects!$A$2:$A$500,0)),"")</f>
        <v>Digital Transformation</v>
      </c>
      <c r="M1076" s="31" t="n">
        <f aca="false">IF(I1076="Yes",H1076*INDEX(Resources!$I$2:$I$500,MATCH(E1076,Resources!$A$2:$A$500,0)),0)</f>
        <v>17280</v>
      </c>
    </row>
    <row r="1077" customFormat="false" ht="15" hidden="false" customHeight="false" outlineLevel="0" collapsed="false">
      <c r="A1077" s="18" t="s">
        <v>2110</v>
      </c>
      <c r="B1077" s="19" t="n">
        <v>46203</v>
      </c>
      <c r="C1077" s="18" t="s">
        <v>270</v>
      </c>
      <c r="D1077" s="18" t="s">
        <v>869</v>
      </c>
      <c r="E1077" s="18" t="s">
        <v>357</v>
      </c>
      <c r="F1077" s="18"/>
      <c r="G1077" s="18" t="s">
        <v>1019</v>
      </c>
      <c r="H1077" s="30" t="n">
        <v>59.4</v>
      </c>
      <c r="I1077" s="18" t="s">
        <v>513</v>
      </c>
      <c r="J1077" s="28" t="n">
        <v>7185.02</v>
      </c>
      <c r="K1077" s="12" t="str">
        <f aca="false">TEXT(B1077,"yyyy-mm")</f>
        <v>2026-06</v>
      </c>
      <c r="L1077" s="21" t="str">
        <f aca="false">IFERROR(INDEX(Projects!$E$2:$E$500,MATCH(C1077,Projects!$A$2:$A$500,0)),"")</f>
        <v>Digital Transformation</v>
      </c>
      <c r="M1077" s="31" t="n">
        <f aca="false">IF(I1077="Yes",H1077*INDEX(Resources!$I$2:$I$500,MATCH(E1077,Resources!$A$2:$A$500,0)),0)</f>
        <v>14553</v>
      </c>
    </row>
    <row r="1078" customFormat="false" ht="15" hidden="false" customHeight="false" outlineLevel="0" collapsed="false">
      <c r="A1078" s="18" t="s">
        <v>2111</v>
      </c>
      <c r="B1078" s="19" t="n">
        <v>46203</v>
      </c>
      <c r="C1078" s="18" t="s">
        <v>270</v>
      </c>
      <c r="D1078" s="18" t="s">
        <v>869</v>
      </c>
      <c r="E1078" s="18" t="s">
        <v>363</v>
      </c>
      <c r="F1078" s="18"/>
      <c r="G1078" s="18" t="s">
        <v>1019</v>
      </c>
      <c r="H1078" s="30" t="n">
        <v>105</v>
      </c>
      <c r="I1078" s="18" t="s">
        <v>513</v>
      </c>
      <c r="J1078" s="28" t="n">
        <v>8282.4</v>
      </c>
      <c r="K1078" s="12" t="str">
        <f aca="false">TEXT(B1078,"yyyy-mm")</f>
        <v>2026-06</v>
      </c>
      <c r="L1078" s="21" t="str">
        <f aca="false">IFERROR(INDEX(Projects!$E$2:$E$500,MATCH(C1078,Projects!$A$2:$A$500,0)),"")</f>
        <v>Digital Transformation</v>
      </c>
      <c r="M1078" s="31" t="n">
        <f aca="false">IF(I1078="Yes",H1078*INDEX(Resources!$I$2:$I$500,MATCH(E1078,Resources!$A$2:$A$500,0)),0)</f>
        <v>16800</v>
      </c>
    </row>
    <row r="1079" customFormat="false" ht="15" hidden="false" customHeight="false" outlineLevel="0" collapsed="false">
      <c r="A1079" s="18" t="s">
        <v>2112</v>
      </c>
      <c r="B1079" s="19" t="n">
        <v>46203</v>
      </c>
      <c r="C1079" s="18" t="s">
        <v>270</v>
      </c>
      <c r="D1079" s="18" t="s">
        <v>869</v>
      </c>
      <c r="E1079" s="18" t="s">
        <v>393</v>
      </c>
      <c r="F1079" s="18"/>
      <c r="G1079" s="18" t="s">
        <v>1019</v>
      </c>
      <c r="H1079" s="30" t="n">
        <v>179.5</v>
      </c>
      <c r="I1079" s="18" t="s">
        <v>513</v>
      </c>
      <c r="J1079" s="28" t="n">
        <v>17835.12</v>
      </c>
      <c r="K1079" s="12" t="str">
        <f aca="false">TEXT(B1079,"yyyy-mm")</f>
        <v>2026-06</v>
      </c>
      <c r="L1079" s="21" t="str">
        <f aca="false">IFERROR(INDEX(Projects!$E$2:$E$500,MATCH(C1079,Projects!$A$2:$A$500,0)),"")</f>
        <v>Digital Transformation</v>
      </c>
      <c r="M1079" s="31" t="n">
        <f aca="false">IF(I1079="Yes",H1079*INDEX(Resources!$I$2:$I$500,MATCH(E1079,Resources!$A$2:$A$500,0)),0)</f>
        <v>35900</v>
      </c>
    </row>
    <row r="1080" customFormat="false" ht="15" hidden="false" customHeight="false" outlineLevel="0" collapsed="false">
      <c r="A1080" s="18" t="s">
        <v>2113</v>
      </c>
      <c r="B1080" s="19" t="n">
        <v>46203</v>
      </c>
      <c r="C1080" s="18" t="s">
        <v>270</v>
      </c>
      <c r="D1080" s="18" t="s">
        <v>869</v>
      </c>
      <c r="E1080" s="18" t="s">
        <v>430</v>
      </c>
      <c r="F1080" s="18"/>
      <c r="G1080" s="18" t="s">
        <v>1019</v>
      </c>
      <c r="H1080" s="30" t="n">
        <v>150.4</v>
      </c>
      <c r="I1080" s="18" t="s">
        <v>513</v>
      </c>
      <c r="J1080" s="28" t="n">
        <v>9625.6</v>
      </c>
      <c r="K1080" s="12" t="str">
        <f aca="false">TEXT(B1080,"yyyy-mm")</f>
        <v>2026-06</v>
      </c>
      <c r="L1080" s="21" t="str">
        <f aca="false">IFERROR(INDEX(Projects!$E$2:$E$500,MATCH(C1080,Projects!$A$2:$A$500,0)),"")</f>
        <v>Digital Transformation</v>
      </c>
      <c r="M1080" s="31" t="n">
        <f aca="false">IF(I1080="Yes",H1080*INDEX(Resources!$I$2:$I$500,MATCH(E1080,Resources!$A$2:$A$500,0)),0)</f>
        <v>19552</v>
      </c>
    </row>
    <row r="1081" customFormat="false" ht="15" hidden="false" customHeight="false" outlineLevel="0" collapsed="false">
      <c r="A1081" s="18" t="s">
        <v>2114</v>
      </c>
      <c r="B1081" s="19" t="n">
        <v>46203</v>
      </c>
      <c r="C1081" s="18" t="s">
        <v>270</v>
      </c>
      <c r="D1081" s="18" t="s">
        <v>872</v>
      </c>
      <c r="E1081" s="18"/>
      <c r="F1081" s="18" t="s">
        <v>1025</v>
      </c>
      <c r="G1081" s="18" t="s">
        <v>1026</v>
      </c>
      <c r="H1081" s="30" t="n">
        <v>0</v>
      </c>
      <c r="I1081" s="18" t="s">
        <v>527</v>
      </c>
      <c r="J1081" s="28" t="n">
        <v>3625.31</v>
      </c>
      <c r="K1081" s="12" t="str">
        <f aca="false">TEXT(B1081,"yyyy-mm")</f>
        <v>2026-06</v>
      </c>
      <c r="L1081" s="21" t="str">
        <f aca="false">IFERROR(INDEX(Projects!$E$2:$E$500,MATCH(C1081,Projects!$A$2:$A$500,0)),"")</f>
        <v>Digital Transformation</v>
      </c>
      <c r="M1081" s="31" t="n">
        <f aca="false">IF(I1081="Yes",H1081*INDEX(Resources!$I$2:$I$500,MATCH(E1081,Resources!$A$2:$A$500,0)),0)</f>
        <v>0</v>
      </c>
    </row>
    <row r="1082" customFormat="false" ht="15" hidden="false" customHeight="false" outlineLevel="0" collapsed="false">
      <c r="A1082" s="18" t="s">
        <v>2115</v>
      </c>
      <c r="B1082" s="19" t="n">
        <v>46203</v>
      </c>
      <c r="C1082" s="18" t="s">
        <v>270</v>
      </c>
      <c r="D1082" s="18" t="s">
        <v>874</v>
      </c>
      <c r="E1082" s="18"/>
      <c r="F1082" s="18" t="s">
        <v>1028</v>
      </c>
      <c r="G1082" s="18" t="s">
        <v>1026</v>
      </c>
      <c r="H1082" s="30" t="n">
        <v>0</v>
      </c>
      <c r="I1082" s="18" t="s">
        <v>527</v>
      </c>
      <c r="J1082" s="28" t="n">
        <v>4312.32</v>
      </c>
      <c r="K1082" s="12" t="str">
        <f aca="false">TEXT(B1082,"yyyy-mm")</f>
        <v>2026-06</v>
      </c>
      <c r="L1082" s="21" t="str">
        <f aca="false">IFERROR(INDEX(Projects!$E$2:$E$500,MATCH(C1082,Projects!$A$2:$A$500,0)),"")</f>
        <v>Digital Transformation</v>
      </c>
      <c r="M1082" s="31" t="n">
        <f aca="false">IF(I1082="Yes",H1082*INDEX(Resources!$I$2:$I$500,MATCH(E1082,Resources!$A$2:$A$500,0)),0)</f>
        <v>0</v>
      </c>
    </row>
    <row r="1083" customFormat="false" ht="15" hidden="false" customHeight="false" outlineLevel="0" collapsed="false">
      <c r="A1083" s="18" t="s">
        <v>2116</v>
      </c>
      <c r="B1083" s="19" t="n">
        <v>46203</v>
      </c>
      <c r="C1083" s="18" t="s">
        <v>270</v>
      </c>
      <c r="D1083" s="18" t="s">
        <v>495</v>
      </c>
      <c r="E1083" s="18"/>
      <c r="F1083" s="18" t="s">
        <v>1373</v>
      </c>
      <c r="G1083" s="18" t="s">
        <v>1026</v>
      </c>
      <c r="H1083" s="30" t="n">
        <v>0</v>
      </c>
      <c r="I1083" s="18" t="s">
        <v>527</v>
      </c>
      <c r="J1083" s="28" t="n">
        <v>1336.95</v>
      </c>
      <c r="K1083" s="12" t="str">
        <f aca="false">TEXT(B1083,"yyyy-mm")</f>
        <v>2026-06</v>
      </c>
      <c r="L1083" s="21" t="str">
        <f aca="false">IFERROR(INDEX(Projects!$E$2:$E$500,MATCH(C1083,Projects!$A$2:$A$500,0)),"")</f>
        <v>Digital Transformation</v>
      </c>
      <c r="M1083" s="31" t="n">
        <f aca="false">IF(I1083="Yes",H1083*INDEX(Resources!$I$2:$I$500,MATCH(E1083,Resources!$A$2:$A$500,0)),0)</f>
        <v>0</v>
      </c>
    </row>
    <row r="1084" customFormat="false" ht="15" hidden="false" customHeight="false" outlineLevel="0" collapsed="false">
      <c r="A1084" s="18" t="s">
        <v>2117</v>
      </c>
      <c r="B1084" s="19" t="n">
        <v>46203</v>
      </c>
      <c r="C1084" s="18" t="s">
        <v>270</v>
      </c>
      <c r="D1084" s="18" t="s">
        <v>876</v>
      </c>
      <c r="E1084" s="18"/>
      <c r="F1084" s="18" t="s">
        <v>1032</v>
      </c>
      <c r="G1084" s="18" t="s">
        <v>1033</v>
      </c>
      <c r="H1084" s="30" t="n">
        <v>0</v>
      </c>
      <c r="I1084" s="18" t="s">
        <v>527</v>
      </c>
      <c r="J1084" s="28" t="n">
        <v>1073.85</v>
      </c>
      <c r="K1084" s="12" t="str">
        <f aca="false">TEXT(B1084,"yyyy-mm")</f>
        <v>2026-06</v>
      </c>
      <c r="L1084" s="21" t="str">
        <f aca="false">IFERROR(INDEX(Projects!$E$2:$E$500,MATCH(C1084,Projects!$A$2:$A$500,0)),"")</f>
        <v>Digital Transformation</v>
      </c>
      <c r="M1084" s="31" t="n">
        <f aca="false">IF(I1084="Yes",H1084*INDEX(Resources!$I$2:$I$500,MATCH(E1084,Resources!$A$2:$A$500,0)),0)</f>
        <v>0</v>
      </c>
    </row>
    <row r="1085" customFormat="false" ht="15" hidden="false" customHeight="false" outlineLevel="0" collapsed="false">
      <c r="A1085" s="18" t="s">
        <v>2118</v>
      </c>
      <c r="B1085" s="19" t="n">
        <v>46203</v>
      </c>
      <c r="C1085" s="18" t="s">
        <v>272</v>
      </c>
      <c r="D1085" s="18" t="s">
        <v>882</v>
      </c>
      <c r="E1085" s="18"/>
      <c r="F1085" s="18" t="s">
        <v>1616</v>
      </c>
      <c r="G1085" s="18" t="s">
        <v>1026</v>
      </c>
      <c r="H1085" s="30" t="n">
        <v>0</v>
      </c>
      <c r="I1085" s="18" t="s">
        <v>527</v>
      </c>
      <c r="J1085" s="28" t="n">
        <v>12005.88</v>
      </c>
      <c r="K1085" s="12" t="str">
        <f aca="false">TEXT(B1085,"yyyy-mm")</f>
        <v>2026-06</v>
      </c>
      <c r="L1085" s="21" t="str">
        <f aca="false">IFERROR(INDEX(Projects!$E$2:$E$500,MATCH(C1085,Projects!$A$2:$A$500,0)),"")</f>
        <v>Operational Excellence</v>
      </c>
      <c r="M1085" s="31" t="n">
        <f aca="false">IF(I1085="Yes",H1085*INDEX(Resources!$I$2:$I$500,MATCH(E1085,Resources!$A$2:$A$500,0)),0)</f>
        <v>0</v>
      </c>
    </row>
    <row r="1086" customFormat="false" ht="15" hidden="false" customHeight="false" outlineLevel="0" collapsed="false">
      <c r="A1086" s="18" t="s">
        <v>2119</v>
      </c>
      <c r="B1086" s="19" t="n">
        <v>46203</v>
      </c>
      <c r="C1086" s="18" t="s">
        <v>272</v>
      </c>
      <c r="D1086" s="18" t="s">
        <v>869</v>
      </c>
      <c r="E1086" s="18" t="s">
        <v>201</v>
      </c>
      <c r="F1086" s="18"/>
      <c r="G1086" s="18" t="s">
        <v>1019</v>
      </c>
      <c r="H1086" s="30" t="n">
        <v>40.4</v>
      </c>
      <c r="I1086" s="18" t="s">
        <v>527</v>
      </c>
      <c r="J1086" s="28" t="n">
        <v>4124.03</v>
      </c>
      <c r="K1086" s="12" t="str">
        <f aca="false">TEXT(B1086,"yyyy-mm")</f>
        <v>2026-06</v>
      </c>
      <c r="L1086" s="21" t="str">
        <f aca="false">IFERROR(INDEX(Projects!$E$2:$E$500,MATCH(C1086,Projects!$A$2:$A$500,0)),"")</f>
        <v>Operational Excellence</v>
      </c>
      <c r="M1086" s="31" t="n">
        <f aca="false">IF(I1086="Yes",H1086*INDEX(Resources!$I$2:$I$500,MATCH(E1086,Resources!$A$2:$A$500,0)),0)</f>
        <v>0</v>
      </c>
    </row>
    <row r="1087" customFormat="false" ht="15" hidden="false" customHeight="false" outlineLevel="0" collapsed="false">
      <c r="A1087" s="18" t="s">
        <v>2120</v>
      </c>
      <c r="B1087" s="19" t="n">
        <v>46203</v>
      </c>
      <c r="C1087" s="18" t="s">
        <v>272</v>
      </c>
      <c r="D1087" s="18" t="s">
        <v>869</v>
      </c>
      <c r="E1087" s="18" t="s">
        <v>373</v>
      </c>
      <c r="F1087" s="18"/>
      <c r="G1087" s="18" t="s">
        <v>1019</v>
      </c>
      <c r="H1087" s="30" t="n">
        <v>89.3</v>
      </c>
      <c r="I1087" s="18" t="s">
        <v>513</v>
      </c>
      <c r="J1087" s="28" t="n">
        <v>6558.19</v>
      </c>
      <c r="K1087" s="12" t="str">
        <f aca="false">TEXT(B1087,"yyyy-mm")</f>
        <v>2026-06</v>
      </c>
      <c r="L1087" s="21" t="str">
        <f aca="false">IFERROR(INDEX(Projects!$E$2:$E$500,MATCH(C1087,Projects!$A$2:$A$500,0)),"")</f>
        <v>Operational Excellence</v>
      </c>
      <c r="M1087" s="31" t="n">
        <f aca="false">IF(I1087="Yes",H1087*INDEX(Resources!$I$2:$I$500,MATCH(E1087,Resources!$A$2:$A$500,0)),0)</f>
        <v>13395</v>
      </c>
    </row>
    <row r="1088" customFormat="false" ht="15" hidden="false" customHeight="false" outlineLevel="0" collapsed="false">
      <c r="A1088" s="18" t="s">
        <v>2121</v>
      </c>
      <c r="B1088" s="19" t="n">
        <v>46203</v>
      </c>
      <c r="C1088" s="18" t="s">
        <v>272</v>
      </c>
      <c r="D1088" s="18" t="s">
        <v>869</v>
      </c>
      <c r="E1088" s="18" t="s">
        <v>395</v>
      </c>
      <c r="F1088" s="18"/>
      <c r="G1088" s="18" t="s">
        <v>1019</v>
      </c>
      <c r="H1088" s="30" t="n">
        <v>80.7</v>
      </c>
      <c r="I1088" s="18" t="s">
        <v>513</v>
      </c>
      <c r="J1088" s="28" t="n">
        <v>8630.86</v>
      </c>
      <c r="K1088" s="12" t="str">
        <f aca="false">TEXT(B1088,"yyyy-mm")</f>
        <v>2026-06</v>
      </c>
      <c r="L1088" s="21" t="str">
        <f aca="false">IFERROR(INDEX(Projects!$E$2:$E$500,MATCH(C1088,Projects!$A$2:$A$500,0)),"")</f>
        <v>Operational Excellence</v>
      </c>
      <c r="M1088" s="31" t="n">
        <f aca="false">IF(I1088="Yes",H1088*INDEX(Resources!$I$2:$I$500,MATCH(E1088,Resources!$A$2:$A$500,0)),0)</f>
        <v>13719</v>
      </c>
    </row>
    <row r="1089" customFormat="false" ht="15" hidden="false" customHeight="false" outlineLevel="0" collapsed="false">
      <c r="A1089" s="18" t="s">
        <v>2122</v>
      </c>
      <c r="B1089" s="19" t="n">
        <v>46203</v>
      </c>
      <c r="C1089" s="18" t="s">
        <v>272</v>
      </c>
      <c r="D1089" s="18" t="s">
        <v>869</v>
      </c>
      <c r="E1089" s="18" t="s">
        <v>426</v>
      </c>
      <c r="F1089" s="18"/>
      <c r="G1089" s="18" t="s">
        <v>1019</v>
      </c>
      <c r="H1089" s="30" t="n">
        <v>85.4</v>
      </c>
      <c r="I1089" s="18" t="s">
        <v>513</v>
      </c>
      <c r="J1089" s="28" t="n">
        <v>6340.1</v>
      </c>
      <c r="K1089" s="12" t="str">
        <f aca="false">TEXT(B1089,"yyyy-mm")</f>
        <v>2026-06</v>
      </c>
      <c r="L1089" s="21" t="str">
        <f aca="false">IFERROR(INDEX(Projects!$E$2:$E$500,MATCH(C1089,Projects!$A$2:$A$500,0)),"")</f>
        <v>Operational Excellence</v>
      </c>
      <c r="M1089" s="31" t="n">
        <f aca="false">IF(I1089="Yes",H1089*INDEX(Resources!$I$2:$I$500,MATCH(E1089,Resources!$A$2:$A$500,0)),0)</f>
        <v>12810</v>
      </c>
    </row>
    <row r="1090" customFormat="false" ht="15" hidden="false" customHeight="false" outlineLevel="0" collapsed="false">
      <c r="A1090" s="18" t="s">
        <v>2123</v>
      </c>
      <c r="B1090" s="19" t="n">
        <v>46203</v>
      </c>
      <c r="C1090" s="18" t="s">
        <v>272</v>
      </c>
      <c r="D1090" s="18" t="s">
        <v>872</v>
      </c>
      <c r="E1090" s="18"/>
      <c r="F1090" s="18" t="s">
        <v>353</v>
      </c>
      <c r="G1090" s="18" t="s">
        <v>1026</v>
      </c>
      <c r="H1090" s="30" t="n">
        <v>0</v>
      </c>
      <c r="I1090" s="18" t="s">
        <v>527</v>
      </c>
      <c r="J1090" s="28" t="n">
        <v>1555.89</v>
      </c>
      <c r="K1090" s="12" t="str">
        <f aca="false">TEXT(B1090,"yyyy-mm")</f>
        <v>2026-06</v>
      </c>
      <c r="L1090" s="21" t="str">
        <f aca="false">IFERROR(INDEX(Projects!$E$2:$E$500,MATCH(C1090,Projects!$A$2:$A$500,0)),"")</f>
        <v>Operational Excellence</v>
      </c>
      <c r="M1090" s="31" t="n">
        <f aca="false">IF(I1090="Yes",H1090*INDEX(Resources!$I$2:$I$500,MATCH(E1090,Resources!$A$2:$A$500,0)),0)</f>
        <v>0</v>
      </c>
    </row>
    <row r="1091" customFormat="false" ht="15" hidden="false" customHeight="false" outlineLevel="0" collapsed="false">
      <c r="A1091" s="18" t="s">
        <v>2124</v>
      </c>
      <c r="B1091" s="19" t="n">
        <v>46203</v>
      </c>
      <c r="C1091" s="18" t="s">
        <v>272</v>
      </c>
      <c r="D1091" s="18" t="s">
        <v>495</v>
      </c>
      <c r="E1091" s="18"/>
      <c r="F1091" s="18" t="s">
        <v>1030</v>
      </c>
      <c r="G1091" s="18" t="s">
        <v>1026</v>
      </c>
      <c r="H1091" s="30" t="n">
        <v>0</v>
      </c>
      <c r="I1091" s="18" t="s">
        <v>527</v>
      </c>
      <c r="J1091" s="28" t="n">
        <v>697.51</v>
      </c>
      <c r="K1091" s="12" t="str">
        <f aca="false">TEXT(B1091,"yyyy-mm")</f>
        <v>2026-06</v>
      </c>
      <c r="L1091" s="21" t="str">
        <f aca="false">IFERROR(INDEX(Projects!$E$2:$E$500,MATCH(C1091,Projects!$A$2:$A$500,0)),"")</f>
        <v>Operational Excellence</v>
      </c>
      <c r="M1091" s="31" t="n">
        <f aca="false">IF(I1091="Yes",H1091*INDEX(Resources!$I$2:$I$500,MATCH(E1091,Resources!$A$2:$A$500,0)),0)</f>
        <v>0</v>
      </c>
    </row>
    <row r="1092" customFormat="false" ht="15" hidden="false" customHeight="false" outlineLevel="0" collapsed="false">
      <c r="A1092" s="18" t="s">
        <v>2125</v>
      </c>
      <c r="B1092" s="19" t="n">
        <v>46203</v>
      </c>
      <c r="C1092" s="18" t="s">
        <v>272</v>
      </c>
      <c r="D1092" s="18" t="s">
        <v>876</v>
      </c>
      <c r="E1092" s="18"/>
      <c r="F1092" s="18" t="s">
        <v>1032</v>
      </c>
      <c r="G1092" s="18" t="s">
        <v>1033</v>
      </c>
      <c r="H1092" s="30" t="n">
        <v>0</v>
      </c>
      <c r="I1092" s="18" t="s">
        <v>527</v>
      </c>
      <c r="J1092" s="28" t="n">
        <v>542.89</v>
      </c>
      <c r="K1092" s="12" t="str">
        <f aca="false">TEXT(B1092,"yyyy-mm")</f>
        <v>2026-06</v>
      </c>
      <c r="L1092" s="21" t="str">
        <f aca="false">IFERROR(INDEX(Projects!$E$2:$E$500,MATCH(C1092,Projects!$A$2:$A$500,0)),"")</f>
        <v>Operational Excellence</v>
      </c>
      <c r="M1092" s="31" t="n">
        <f aca="false">IF(I1092="Yes",H1092*INDEX(Resources!$I$2:$I$500,MATCH(E1092,Resources!$A$2:$A$500,0)),0)</f>
        <v>0</v>
      </c>
    </row>
    <row r="1093" customFormat="false" ht="15" hidden="false" customHeight="false" outlineLevel="0" collapsed="false">
      <c r="A1093" s="18" t="s">
        <v>2126</v>
      </c>
      <c r="B1093" s="19" t="n">
        <v>46203</v>
      </c>
      <c r="C1093" s="18" t="s">
        <v>275</v>
      </c>
      <c r="D1093" s="18" t="s">
        <v>869</v>
      </c>
      <c r="E1093" s="18" t="s">
        <v>218</v>
      </c>
      <c r="F1093" s="18"/>
      <c r="G1093" s="18" t="s">
        <v>1019</v>
      </c>
      <c r="H1093" s="30" t="n">
        <v>125.4</v>
      </c>
      <c r="I1093" s="18" t="s">
        <v>513</v>
      </c>
      <c r="J1093" s="28" t="n">
        <v>9379.92</v>
      </c>
      <c r="K1093" s="12" t="str">
        <f aca="false">TEXT(B1093,"yyyy-mm")</f>
        <v>2026-06</v>
      </c>
      <c r="L1093" s="21" t="str">
        <f aca="false">IFERROR(INDEX(Projects!$E$2:$E$500,MATCH(C1093,Projects!$A$2:$A$500,0)),"")</f>
        <v>Customer Experience</v>
      </c>
      <c r="M1093" s="31" t="n">
        <f aca="false">IF(I1093="Yes",H1093*INDEX(Resources!$I$2:$I$500,MATCH(E1093,Resources!$A$2:$A$500,0)),0)</f>
        <v>18810</v>
      </c>
    </row>
    <row r="1094" customFormat="false" ht="15" hidden="false" customHeight="false" outlineLevel="0" collapsed="false">
      <c r="A1094" s="18" t="s">
        <v>2127</v>
      </c>
      <c r="B1094" s="19" t="n">
        <v>46203</v>
      </c>
      <c r="C1094" s="18" t="s">
        <v>275</v>
      </c>
      <c r="D1094" s="18" t="s">
        <v>869</v>
      </c>
      <c r="E1094" s="18" t="s">
        <v>371</v>
      </c>
      <c r="F1094" s="18"/>
      <c r="G1094" s="18" t="s">
        <v>1019</v>
      </c>
      <c r="H1094" s="30" t="n">
        <v>29</v>
      </c>
      <c r="I1094" s="18" t="s">
        <v>513</v>
      </c>
      <c r="J1094" s="28" t="n">
        <v>1833.96</v>
      </c>
      <c r="K1094" s="12" t="str">
        <f aca="false">TEXT(B1094,"yyyy-mm")</f>
        <v>2026-06</v>
      </c>
      <c r="L1094" s="21" t="str">
        <f aca="false">IFERROR(INDEX(Projects!$E$2:$E$500,MATCH(C1094,Projects!$A$2:$A$500,0)),"")</f>
        <v>Customer Experience</v>
      </c>
      <c r="M1094" s="31" t="n">
        <f aca="false">IF(I1094="Yes",H1094*INDEX(Resources!$I$2:$I$500,MATCH(E1094,Resources!$A$2:$A$500,0)),0)</f>
        <v>3770</v>
      </c>
    </row>
    <row r="1095" customFormat="false" ht="15" hidden="false" customHeight="false" outlineLevel="0" collapsed="false">
      <c r="A1095" s="18" t="s">
        <v>2128</v>
      </c>
      <c r="B1095" s="19" t="n">
        <v>46203</v>
      </c>
      <c r="C1095" s="18" t="s">
        <v>275</v>
      </c>
      <c r="D1095" s="18" t="s">
        <v>869</v>
      </c>
      <c r="E1095" s="18" t="s">
        <v>387</v>
      </c>
      <c r="F1095" s="18"/>
      <c r="G1095" s="18" t="s">
        <v>1019</v>
      </c>
      <c r="H1095" s="30" t="n">
        <v>30.6</v>
      </c>
      <c r="I1095" s="18" t="s">
        <v>513</v>
      </c>
      <c r="J1095" s="28" t="n">
        <v>1924.74</v>
      </c>
      <c r="K1095" s="12" t="str">
        <f aca="false">TEXT(B1095,"yyyy-mm")</f>
        <v>2026-06</v>
      </c>
      <c r="L1095" s="21" t="str">
        <f aca="false">IFERROR(INDEX(Projects!$E$2:$E$500,MATCH(C1095,Projects!$A$2:$A$500,0)),"")</f>
        <v>Customer Experience</v>
      </c>
      <c r="M1095" s="31" t="n">
        <f aca="false">IF(I1095="Yes",H1095*INDEX(Resources!$I$2:$I$500,MATCH(E1095,Resources!$A$2:$A$500,0)),0)</f>
        <v>3978</v>
      </c>
    </row>
    <row r="1096" customFormat="false" ht="15" hidden="false" customHeight="false" outlineLevel="0" collapsed="false">
      <c r="A1096" s="18" t="s">
        <v>2129</v>
      </c>
      <c r="B1096" s="19" t="n">
        <v>46203</v>
      </c>
      <c r="C1096" s="18" t="s">
        <v>275</v>
      </c>
      <c r="D1096" s="18" t="s">
        <v>869</v>
      </c>
      <c r="E1096" s="18" t="s">
        <v>400</v>
      </c>
      <c r="F1096" s="18"/>
      <c r="G1096" s="18" t="s">
        <v>1019</v>
      </c>
      <c r="H1096" s="30" t="n">
        <v>127</v>
      </c>
      <c r="I1096" s="18" t="s">
        <v>513</v>
      </c>
      <c r="J1096" s="28" t="n">
        <v>12618.72</v>
      </c>
      <c r="K1096" s="12" t="str">
        <f aca="false">TEXT(B1096,"yyyy-mm")</f>
        <v>2026-06</v>
      </c>
      <c r="L1096" s="21" t="str">
        <f aca="false">IFERROR(INDEX(Projects!$E$2:$E$500,MATCH(C1096,Projects!$A$2:$A$500,0)),"")</f>
        <v>Customer Experience</v>
      </c>
      <c r="M1096" s="31" t="n">
        <f aca="false">IF(I1096="Yes",H1096*INDEX(Resources!$I$2:$I$500,MATCH(E1096,Resources!$A$2:$A$500,0)),0)</f>
        <v>25400</v>
      </c>
    </row>
    <row r="1097" customFormat="false" ht="15" hidden="false" customHeight="false" outlineLevel="0" collapsed="false">
      <c r="A1097" s="18" t="s">
        <v>2130</v>
      </c>
      <c r="B1097" s="19" t="n">
        <v>46203</v>
      </c>
      <c r="C1097" s="18" t="s">
        <v>275</v>
      </c>
      <c r="D1097" s="18" t="s">
        <v>869</v>
      </c>
      <c r="E1097" s="18" t="s">
        <v>422</v>
      </c>
      <c r="F1097" s="18"/>
      <c r="G1097" s="18" t="s">
        <v>1019</v>
      </c>
      <c r="H1097" s="30" t="n">
        <v>113.6</v>
      </c>
      <c r="I1097" s="18" t="s">
        <v>513</v>
      </c>
      <c r="J1097" s="28" t="n">
        <v>6761.47</v>
      </c>
      <c r="K1097" s="12" t="str">
        <f aca="false">TEXT(B1097,"yyyy-mm")</f>
        <v>2026-06</v>
      </c>
      <c r="L1097" s="21" t="str">
        <f aca="false">IFERROR(INDEX(Projects!$E$2:$E$500,MATCH(C1097,Projects!$A$2:$A$500,0)),"")</f>
        <v>Customer Experience</v>
      </c>
      <c r="M1097" s="31" t="n">
        <f aca="false">IF(I1097="Yes",H1097*INDEX(Resources!$I$2:$I$500,MATCH(E1097,Resources!$A$2:$A$500,0)),0)</f>
        <v>13632</v>
      </c>
    </row>
    <row r="1098" customFormat="false" ht="15" hidden="false" customHeight="false" outlineLevel="0" collapsed="false">
      <c r="A1098" s="18" t="s">
        <v>2131</v>
      </c>
      <c r="B1098" s="19" t="n">
        <v>46203</v>
      </c>
      <c r="C1098" s="18" t="s">
        <v>275</v>
      </c>
      <c r="D1098" s="18" t="s">
        <v>869</v>
      </c>
      <c r="E1098" s="18" t="s">
        <v>439</v>
      </c>
      <c r="F1098" s="18"/>
      <c r="G1098" s="18" t="s">
        <v>1019</v>
      </c>
      <c r="H1098" s="30" t="n">
        <v>126.9</v>
      </c>
      <c r="I1098" s="18" t="s">
        <v>513</v>
      </c>
      <c r="J1098" s="28" t="n">
        <v>10304.28</v>
      </c>
      <c r="K1098" s="12" t="str">
        <f aca="false">TEXT(B1098,"yyyy-mm")</f>
        <v>2026-06</v>
      </c>
      <c r="L1098" s="21" t="str">
        <f aca="false">IFERROR(INDEX(Projects!$E$2:$E$500,MATCH(C1098,Projects!$A$2:$A$500,0)),"")</f>
        <v>Customer Experience</v>
      </c>
      <c r="M1098" s="31" t="n">
        <f aca="false">IF(I1098="Yes",H1098*INDEX(Resources!$I$2:$I$500,MATCH(E1098,Resources!$A$2:$A$500,0)),0)</f>
        <v>17131.5</v>
      </c>
    </row>
    <row r="1099" customFormat="false" ht="15" hidden="false" customHeight="false" outlineLevel="0" collapsed="false">
      <c r="A1099" s="18" t="s">
        <v>2132</v>
      </c>
      <c r="B1099" s="19" t="n">
        <v>46203</v>
      </c>
      <c r="C1099" s="18" t="s">
        <v>275</v>
      </c>
      <c r="D1099" s="18" t="s">
        <v>872</v>
      </c>
      <c r="E1099" s="18"/>
      <c r="F1099" s="18" t="s">
        <v>353</v>
      </c>
      <c r="G1099" s="18" t="s">
        <v>1026</v>
      </c>
      <c r="H1099" s="30" t="n">
        <v>0</v>
      </c>
      <c r="I1099" s="18" t="s">
        <v>527</v>
      </c>
      <c r="J1099" s="28" t="n">
        <v>2095.66</v>
      </c>
      <c r="K1099" s="12" t="str">
        <f aca="false">TEXT(B1099,"yyyy-mm")</f>
        <v>2026-06</v>
      </c>
      <c r="L1099" s="21" t="str">
        <f aca="false">IFERROR(INDEX(Projects!$E$2:$E$500,MATCH(C1099,Projects!$A$2:$A$500,0)),"")</f>
        <v>Customer Experience</v>
      </c>
      <c r="M1099" s="31" t="n">
        <f aca="false">IF(I1099="Yes",H1099*INDEX(Resources!$I$2:$I$500,MATCH(E1099,Resources!$A$2:$A$500,0)),0)</f>
        <v>0</v>
      </c>
    </row>
    <row r="1100" customFormat="false" ht="15" hidden="false" customHeight="false" outlineLevel="0" collapsed="false">
      <c r="A1100" s="18" t="s">
        <v>2133</v>
      </c>
      <c r="B1100" s="19" t="n">
        <v>46203</v>
      </c>
      <c r="C1100" s="18" t="s">
        <v>275</v>
      </c>
      <c r="D1100" s="18" t="s">
        <v>874</v>
      </c>
      <c r="E1100" s="18"/>
      <c r="F1100" s="18" t="s">
        <v>1028</v>
      </c>
      <c r="G1100" s="18" t="s">
        <v>1026</v>
      </c>
      <c r="H1100" s="30" t="n">
        <v>0</v>
      </c>
      <c r="I1100" s="18" t="s">
        <v>527</v>
      </c>
      <c r="J1100" s="28" t="n">
        <v>3292.79</v>
      </c>
      <c r="K1100" s="12" t="str">
        <f aca="false">TEXT(B1100,"yyyy-mm")</f>
        <v>2026-06</v>
      </c>
      <c r="L1100" s="21" t="str">
        <f aca="false">IFERROR(INDEX(Projects!$E$2:$E$500,MATCH(C1100,Projects!$A$2:$A$500,0)),"")</f>
        <v>Customer Experience</v>
      </c>
      <c r="M1100" s="31" t="n">
        <f aca="false">IF(I1100="Yes",H1100*INDEX(Resources!$I$2:$I$500,MATCH(E1100,Resources!$A$2:$A$500,0)),0)</f>
        <v>0</v>
      </c>
    </row>
    <row r="1101" customFormat="false" ht="15" hidden="false" customHeight="false" outlineLevel="0" collapsed="false">
      <c r="A1101" s="18" t="s">
        <v>2134</v>
      </c>
      <c r="B1101" s="19" t="n">
        <v>46203</v>
      </c>
      <c r="C1101" s="18" t="s">
        <v>275</v>
      </c>
      <c r="D1101" s="18" t="s">
        <v>876</v>
      </c>
      <c r="E1101" s="18"/>
      <c r="F1101" s="18" t="s">
        <v>1032</v>
      </c>
      <c r="G1101" s="18" t="s">
        <v>1033</v>
      </c>
      <c r="H1101" s="30" t="n">
        <v>0</v>
      </c>
      <c r="I1101" s="18" t="s">
        <v>527</v>
      </c>
      <c r="J1101" s="28" t="n">
        <v>628.58</v>
      </c>
      <c r="K1101" s="12" t="str">
        <f aca="false">TEXT(B1101,"yyyy-mm")</f>
        <v>2026-06</v>
      </c>
      <c r="L1101" s="21" t="str">
        <f aca="false">IFERROR(INDEX(Projects!$E$2:$E$500,MATCH(C1101,Projects!$A$2:$A$500,0)),"")</f>
        <v>Customer Experience</v>
      </c>
      <c r="M1101" s="31" t="n">
        <f aca="false">IF(I1101="Yes",H1101*INDEX(Resources!$I$2:$I$500,MATCH(E1101,Resources!$A$2:$A$500,0)),0)</f>
        <v>0</v>
      </c>
    </row>
    <row r="1102" customFormat="false" ht="15" hidden="false" customHeight="false" outlineLevel="0" collapsed="false">
      <c r="A1102" s="18" t="s">
        <v>2135</v>
      </c>
      <c r="B1102" s="19" t="n">
        <v>46203</v>
      </c>
      <c r="C1102" s="18" t="s">
        <v>283</v>
      </c>
      <c r="D1102" s="18" t="s">
        <v>869</v>
      </c>
      <c r="E1102" s="18" t="s">
        <v>226</v>
      </c>
      <c r="F1102" s="18"/>
      <c r="G1102" s="18" t="s">
        <v>1019</v>
      </c>
      <c r="H1102" s="30" t="n">
        <v>4.3</v>
      </c>
      <c r="I1102" s="18" t="s">
        <v>527</v>
      </c>
      <c r="J1102" s="28" t="n">
        <v>378.4</v>
      </c>
      <c r="K1102" s="12" t="str">
        <f aca="false">TEXT(B1102,"yyyy-mm")</f>
        <v>2026-06</v>
      </c>
      <c r="L1102" s="21" t="str">
        <f aca="false">IFERROR(INDEX(Projects!$E$2:$E$500,MATCH(C1102,Projects!$A$2:$A$500,0)),"")</f>
        <v>Data &amp; AI</v>
      </c>
      <c r="M1102" s="31" t="n">
        <f aca="false">IF(I1102="Yes",H1102*INDEX(Resources!$I$2:$I$500,MATCH(E1102,Resources!$A$2:$A$500,0)),0)</f>
        <v>0</v>
      </c>
    </row>
    <row r="1103" customFormat="false" ht="15" hidden="false" customHeight="false" outlineLevel="0" collapsed="false">
      <c r="A1103" s="18" t="s">
        <v>2136</v>
      </c>
      <c r="B1103" s="19" t="n">
        <v>46203</v>
      </c>
      <c r="C1103" s="18" t="s">
        <v>283</v>
      </c>
      <c r="D1103" s="18" t="s">
        <v>869</v>
      </c>
      <c r="E1103" s="18" t="s">
        <v>424</v>
      </c>
      <c r="F1103" s="18"/>
      <c r="G1103" s="18" t="s">
        <v>1019</v>
      </c>
      <c r="H1103" s="30" t="n">
        <v>4.1</v>
      </c>
      <c r="I1103" s="18" t="s">
        <v>513</v>
      </c>
      <c r="J1103" s="28" t="n">
        <v>278.8</v>
      </c>
      <c r="K1103" s="12" t="str">
        <f aca="false">TEXT(B1103,"yyyy-mm")</f>
        <v>2026-06</v>
      </c>
      <c r="L1103" s="21" t="str">
        <f aca="false">IFERROR(INDEX(Projects!$E$2:$E$500,MATCH(C1103,Projects!$A$2:$A$500,0)),"")</f>
        <v>Data &amp; AI</v>
      </c>
      <c r="M1103" s="31" t="n">
        <f aca="false">IF(I1103="Yes",H1103*INDEX(Resources!$I$2:$I$500,MATCH(E1103,Resources!$A$2:$A$500,0)),0)</f>
        <v>451</v>
      </c>
    </row>
    <row r="1104" customFormat="false" ht="15" hidden="false" customHeight="false" outlineLevel="0" collapsed="false">
      <c r="A1104" s="18" t="s">
        <v>2137</v>
      </c>
      <c r="B1104" s="19" t="n">
        <v>46203</v>
      </c>
      <c r="C1104" s="18" t="s">
        <v>283</v>
      </c>
      <c r="D1104" s="18" t="s">
        <v>869</v>
      </c>
      <c r="E1104" s="18" t="s">
        <v>439</v>
      </c>
      <c r="F1104" s="18"/>
      <c r="G1104" s="18" t="s">
        <v>1019</v>
      </c>
      <c r="H1104" s="30" t="n">
        <v>1.9</v>
      </c>
      <c r="I1104" s="18" t="s">
        <v>513</v>
      </c>
      <c r="J1104" s="28" t="n">
        <v>154.28</v>
      </c>
      <c r="K1104" s="12" t="str">
        <f aca="false">TEXT(B1104,"yyyy-mm")</f>
        <v>2026-06</v>
      </c>
      <c r="L1104" s="21" t="str">
        <f aca="false">IFERROR(INDEX(Projects!$E$2:$E$500,MATCH(C1104,Projects!$A$2:$A$500,0)),"")</f>
        <v>Data &amp; AI</v>
      </c>
      <c r="M1104" s="31" t="n">
        <f aca="false">IF(I1104="Yes",H1104*INDEX(Resources!$I$2:$I$500,MATCH(E1104,Resources!$A$2:$A$500,0)),0)</f>
        <v>256.5</v>
      </c>
    </row>
    <row r="1105" customFormat="false" ht="15" hidden="false" customHeight="false" outlineLevel="0" collapsed="false">
      <c r="A1105" s="18" t="s">
        <v>2138</v>
      </c>
      <c r="B1105" s="19" t="n">
        <v>46203</v>
      </c>
      <c r="C1105" s="18" t="s">
        <v>283</v>
      </c>
      <c r="D1105" s="18" t="s">
        <v>869</v>
      </c>
      <c r="E1105" s="18" t="s">
        <v>459</v>
      </c>
      <c r="F1105" s="18"/>
      <c r="G1105" s="18" t="s">
        <v>1019</v>
      </c>
      <c r="H1105" s="30" t="n">
        <v>7.9</v>
      </c>
      <c r="I1105" s="18" t="s">
        <v>513</v>
      </c>
      <c r="J1105" s="28" t="n">
        <v>767.88</v>
      </c>
      <c r="K1105" s="12" t="str">
        <f aca="false">TEXT(B1105,"yyyy-mm")</f>
        <v>2026-06</v>
      </c>
      <c r="L1105" s="21" t="str">
        <f aca="false">IFERROR(INDEX(Projects!$E$2:$E$500,MATCH(C1105,Projects!$A$2:$A$500,0)),"")</f>
        <v>Data &amp; AI</v>
      </c>
      <c r="M1105" s="31" t="n">
        <f aca="false">IF(I1105="Yes",H1105*INDEX(Resources!$I$2:$I$500,MATCH(E1105,Resources!$A$2:$A$500,0)),0)</f>
        <v>1540.5</v>
      </c>
    </row>
    <row r="1106" customFormat="false" ht="15" hidden="false" customHeight="false" outlineLevel="0" collapsed="false">
      <c r="A1106" s="18" t="s">
        <v>2139</v>
      </c>
      <c r="B1106" s="19" t="n">
        <v>46203</v>
      </c>
      <c r="C1106" s="18" t="s">
        <v>285</v>
      </c>
      <c r="D1106" s="18" t="s">
        <v>869</v>
      </c>
      <c r="E1106" s="18" t="s">
        <v>247</v>
      </c>
      <c r="F1106" s="18"/>
      <c r="G1106" s="18" t="s">
        <v>1019</v>
      </c>
      <c r="H1106" s="30" t="n">
        <v>49.4</v>
      </c>
      <c r="I1106" s="18" t="s">
        <v>513</v>
      </c>
      <c r="J1106" s="28" t="n">
        <v>4347.2</v>
      </c>
      <c r="K1106" s="12" t="str">
        <f aca="false">TEXT(B1106,"yyyy-mm")</f>
        <v>2026-06</v>
      </c>
      <c r="L1106" s="21" t="str">
        <f aca="false">IFERROR(INDEX(Projects!$E$2:$E$500,MATCH(C1106,Projects!$A$2:$A$500,0)),"")</f>
        <v>Operational Excellence</v>
      </c>
      <c r="M1106" s="31" t="n">
        <f aca="false">IF(I1106="Yes",H1106*INDEX(Resources!$I$2:$I$500,MATCH(E1106,Resources!$A$2:$A$500,0)),0)</f>
        <v>8645</v>
      </c>
    </row>
    <row r="1107" customFormat="false" ht="15" hidden="false" customHeight="false" outlineLevel="0" collapsed="false">
      <c r="A1107" s="18" t="s">
        <v>2140</v>
      </c>
      <c r="B1107" s="19" t="n">
        <v>46203</v>
      </c>
      <c r="C1107" s="18" t="s">
        <v>285</v>
      </c>
      <c r="D1107" s="18" t="s">
        <v>869</v>
      </c>
      <c r="E1107" s="18" t="s">
        <v>368</v>
      </c>
      <c r="F1107" s="18"/>
      <c r="G1107" s="18" t="s">
        <v>1019</v>
      </c>
      <c r="H1107" s="30" t="n">
        <v>87.1</v>
      </c>
      <c r="I1107" s="18" t="s">
        <v>513</v>
      </c>
      <c r="J1107" s="28" t="n">
        <v>6396.62</v>
      </c>
      <c r="K1107" s="12" t="str">
        <f aca="false">TEXT(B1107,"yyyy-mm")</f>
        <v>2026-06</v>
      </c>
      <c r="L1107" s="21" t="str">
        <f aca="false">IFERROR(INDEX(Projects!$E$2:$E$500,MATCH(C1107,Projects!$A$2:$A$500,0)),"")</f>
        <v>Operational Excellence</v>
      </c>
      <c r="M1107" s="31" t="n">
        <f aca="false">IF(I1107="Yes",H1107*INDEX(Resources!$I$2:$I$500,MATCH(E1107,Resources!$A$2:$A$500,0)),0)</f>
        <v>13065</v>
      </c>
    </row>
    <row r="1108" customFormat="false" ht="15" hidden="false" customHeight="false" outlineLevel="0" collapsed="false">
      <c r="A1108" s="18" t="s">
        <v>2141</v>
      </c>
      <c r="B1108" s="19" t="n">
        <v>46203</v>
      </c>
      <c r="C1108" s="18" t="s">
        <v>285</v>
      </c>
      <c r="D1108" s="18" t="s">
        <v>869</v>
      </c>
      <c r="E1108" s="18" t="s">
        <v>398</v>
      </c>
      <c r="F1108" s="18"/>
      <c r="G1108" s="18" t="s">
        <v>1019</v>
      </c>
      <c r="H1108" s="30" t="n">
        <v>133.7</v>
      </c>
      <c r="I1108" s="18" t="s">
        <v>513</v>
      </c>
      <c r="J1108" s="28" t="n">
        <v>11439.37</v>
      </c>
      <c r="K1108" s="12" t="str">
        <f aca="false">TEXT(B1108,"yyyy-mm")</f>
        <v>2026-06</v>
      </c>
      <c r="L1108" s="21" t="str">
        <f aca="false">IFERROR(INDEX(Projects!$E$2:$E$500,MATCH(C1108,Projects!$A$2:$A$500,0)),"")</f>
        <v>Operational Excellence</v>
      </c>
      <c r="M1108" s="31" t="n">
        <f aca="false">IF(I1108="Yes",H1108*INDEX(Resources!$I$2:$I$500,MATCH(E1108,Resources!$A$2:$A$500,0)),0)</f>
        <v>22729</v>
      </c>
    </row>
    <row r="1109" customFormat="false" ht="15" hidden="false" customHeight="false" outlineLevel="0" collapsed="false">
      <c r="A1109" s="18" t="s">
        <v>2142</v>
      </c>
      <c r="B1109" s="19" t="n">
        <v>46203</v>
      </c>
      <c r="C1109" s="18" t="s">
        <v>285</v>
      </c>
      <c r="D1109" s="18" t="s">
        <v>869</v>
      </c>
      <c r="E1109" s="18" t="s">
        <v>414</v>
      </c>
      <c r="F1109" s="18"/>
      <c r="G1109" s="18" t="s">
        <v>1019</v>
      </c>
      <c r="H1109" s="30" t="n">
        <v>97.9</v>
      </c>
      <c r="I1109" s="18" t="s">
        <v>513</v>
      </c>
      <c r="J1109" s="28" t="n">
        <v>5827.01</v>
      </c>
      <c r="K1109" s="12" t="str">
        <f aca="false">TEXT(B1109,"yyyy-mm")</f>
        <v>2026-06</v>
      </c>
      <c r="L1109" s="21" t="str">
        <f aca="false">IFERROR(INDEX(Projects!$E$2:$E$500,MATCH(C1109,Projects!$A$2:$A$500,0)),"")</f>
        <v>Operational Excellence</v>
      </c>
      <c r="M1109" s="31" t="n">
        <f aca="false">IF(I1109="Yes",H1109*INDEX(Resources!$I$2:$I$500,MATCH(E1109,Resources!$A$2:$A$500,0)),0)</f>
        <v>11748</v>
      </c>
    </row>
    <row r="1110" customFormat="false" ht="15" hidden="false" customHeight="false" outlineLevel="0" collapsed="false">
      <c r="A1110" s="18" t="s">
        <v>2143</v>
      </c>
      <c r="B1110" s="19" t="n">
        <v>46203</v>
      </c>
      <c r="C1110" s="18" t="s">
        <v>285</v>
      </c>
      <c r="D1110" s="18" t="s">
        <v>869</v>
      </c>
      <c r="E1110" s="18" t="s">
        <v>444</v>
      </c>
      <c r="F1110" s="18"/>
      <c r="G1110" s="18" t="s">
        <v>1019</v>
      </c>
      <c r="H1110" s="30" t="n">
        <v>25.3</v>
      </c>
      <c r="I1110" s="18" t="s">
        <v>513</v>
      </c>
      <c r="J1110" s="28" t="n">
        <v>1317.62</v>
      </c>
      <c r="K1110" s="12" t="str">
        <f aca="false">TEXT(B1110,"yyyy-mm")</f>
        <v>2026-06</v>
      </c>
      <c r="L1110" s="21" t="str">
        <f aca="false">IFERROR(INDEX(Projects!$E$2:$E$500,MATCH(C1110,Projects!$A$2:$A$500,0)),"")</f>
        <v>Operational Excellence</v>
      </c>
      <c r="M1110" s="31" t="n">
        <f aca="false">IF(I1110="Yes",H1110*INDEX(Resources!$I$2:$I$500,MATCH(E1110,Resources!$A$2:$A$500,0)),0)</f>
        <v>2656.5</v>
      </c>
    </row>
    <row r="1111" customFormat="false" ht="15" hidden="false" customHeight="false" outlineLevel="0" collapsed="false">
      <c r="A1111" s="18" t="s">
        <v>2144</v>
      </c>
      <c r="B1111" s="19" t="n">
        <v>46203</v>
      </c>
      <c r="C1111" s="18" t="s">
        <v>285</v>
      </c>
      <c r="D1111" s="18" t="s">
        <v>869</v>
      </c>
      <c r="E1111" s="18" t="s">
        <v>492</v>
      </c>
      <c r="F1111" s="18"/>
      <c r="G1111" s="18" t="s">
        <v>1019</v>
      </c>
      <c r="H1111" s="30" t="n">
        <v>11.8</v>
      </c>
      <c r="I1111" s="18" t="s">
        <v>513</v>
      </c>
      <c r="J1111" s="28" t="n">
        <v>985.54</v>
      </c>
      <c r="K1111" s="12" t="str">
        <f aca="false">TEXT(B1111,"yyyy-mm")</f>
        <v>2026-06</v>
      </c>
      <c r="L1111" s="21" t="str">
        <f aca="false">IFERROR(INDEX(Projects!$E$2:$E$500,MATCH(C1111,Projects!$A$2:$A$500,0)),"")</f>
        <v>Operational Excellence</v>
      </c>
      <c r="M1111" s="31" t="n">
        <f aca="false">IF(I1111="Yes",H1111*INDEX(Resources!$I$2:$I$500,MATCH(E1111,Resources!$A$2:$A$500,0)),0)</f>
        <v>2065</v>
      </c>
    </row>
    <row r="1112" customFormat="false" ht="15" hidden="false" customHeight="false" outlineLevel="0" collapsed="false">
      <c r="A1112" s="18" t="s">
        <v>2145</v>
      </c>
      <c r="B1112" s="19" t="n">
        <v>46203</v>
      </c>
      <c r="C1112" s="18" t="s">
        <v>285</v>
      </c>
      <c r="D1112" s="18" t="s">
        <v>872</v>
      </c>
      <c r="E1112" s="18"/>
      <c r="F1112" s="18" t="s">
        <v>353</v>
      </c>
      <c r="G1112" s="18" t="s">
        <v>1026</v>
      </c>
      <c r="H1112" s="30" t="n">
        <v>0</v>
      </c>
      <c r="I1112" s="18" t="s">
        <v>527</v>
      </c>
      <c r="J1112" s="28" t="n">
        <v>1370.33</v>
      </c>
      <c r="K1112" s="12" t="str">
        <f aca="false">TEXT(B1112,"yyyy-mm")</f>
        <v>2026-06</v>
      </c>
      <c r="L1112" s="21" t="str">
        <f aca="false">IFERROR(INDEX(Projects!$E$2:$E$500,MATCH(C1112,Projects!$A$2:$A$500,0)),"")</f>
        <v>Operational Excellence</v>
      </c>
      <c r="M1112" s="31" t="n">
        <f aca="false">IF(I1112="Yes",H1112*INDEX(Resources!$I$2:$I$500,MATCH(E1112,Resources!$A$2:$A$500,0)),0)</f>
        <v>0</v>
      </c>
    </row>
    <row r="1113" customFormat="false" ht="15" hidden="false" customHeight="false" outlineLevel="0" collapsed="false">
      <c r="A1113" s="18" t="s">
        <v>2146</v>
      </c>
      <c r="B1113" s="19" t="n">
        <v>46203</v>
      </c>
      <c r="C1113" s="18" t="s">
        <v>285</v>
      </c>
      <c r="D1113" s="18" t="s">
        <v>495</v>
      </c>
      <c r="E1113" s="18"/>
      <c r="F1113" s="18" t="s">
        <v>1030</v>
      </c>
      <c r="G1113" s="18" t="s">
        <v>1026</v>
      </c>
      <c r="H1113" s="30" t="n">
        <v>0</v>
      </c>
      <c r="I1113" s="18" t="s">
        <v>527</v>
      </c>
      <c r="J1113" s="28" t="n">
        <v>795.01</v>
      </c>
      <c r="K1113" s="12" t="str">
        <f aca="false">TEXT(B1113,"yyyy-mm")</f>
        <v>2026-06</v>
      </c>
      <c r="L1113" s="21" t="str">
        <f aca="false">IFERROR(INDEX(Projects!$E$2:$E$500,MATCH(C1113,Projects!$A$2:$A$500,0)),"")</f>
        <v>Operational Excellence</v>
      </c>
      <c r="M1113" s="31" t="n">
        <f aca="false">IF(I1113="Yes",H1113*INDEX(Resources!$I$2:$I$500,MATCH(E1113,Resources!$A$2:$A$500,0)),0)</f>
        <v>0</v>
      </c>
    </row>
    <row r="1114" customFormat="false" ht="15" hidden="false" customHeight="false" outlineLevel="0" collapsed="false">
      <c r="A1114" s="18" t="s">
        <v>2147</v>
      </c>
      <c r="B1114" s="19" t="n">
        <v>46203</v>
      </c>
      <c r="C1114" s="18" t="s">
        <v>285</v>
      </c>
      <c r="D1114" s="18" t="s">
        <v>876</v>
      </c>
      <c r="E1114" s="18"/>
      <c r="F1114" s="18" t="s">
        <v>1071</v>
      </c>
      <c r="G1114" s="18" t="s">
        <v>1033</v>
      </c>
      <c r="H1114" s="30" t="n">
        <v>0</v>
      </c>
      <c r="I1114" s="18" t="s">
        <v>527</v>
      </c>
      <c r="J1114" s="28" t="n">
        <v>561.54</v>
      </c>
      <c r="K1114" s="12" t="str">
        <f aca="false">TEXT(B1114,"yyyy-mm")</f>
        <v>2026-06</v>
      </c>
      <c r="L1114" s="21" t="str">
        <f aca="false">IFERROR(INDEX(Projects!$E$2:$E$500,MATCH(C1114,Projects!$A$2:$A$500,0)),"")</f>
        <v>Operational Excellence</v>
      </c>
      <c r="M1114" s="31" t="n">
        <f aca="false">IF(I1114="Yes",H1114*INDEX(Resources!$I$2:$I$500,MATCH(E1114,Resources!$A$2:$A$500,0)),0)</f>
        <v>0</v>
      </c>
    </row>
    <row r="1115" customFormat="false" ht="15" hidden="false" customHeight="false" outlineLevel="0" collapsed="false">
      <c r="A1115" s="18" t="s">
        <v>2148</v>
      </c>
      <c r="B1115" s="19" t="n">
        <v>46234</v>
      </c>
      <c r="C1115" s="18" t="s">
        <v>197</v>
      </c>
      <c r="D1115" s="18" t="s">
        <v>869</v>
      </c>
      <c r="E1115" s="18" t="s">
        <v>201</v>
      </c>
      <c r="F1115" s="18"/>
      <c r="G1115" s="18" t="s">
        <v>1019</v>
      </c>
      <c r="H1115" s="30" t="n">
        <v>90.6</v>
      </c>
      <c r="I1115" s="18" t="s">
        <v>513</v>
      </c>
      <c r="J1115" s="28" t="n">
        <v>9248.45</v>
      </c>
      <c r="K1115" s="12" t="str">
        <f aca="false">TEXT(B1115,"yyyy-mm")</f>
        <v>2026-07</v>
      </c>
      <c r="L1115" s="21" t="str">
        <f aca="false">IFERROR(INDEX(Projects!$E$2:$E$500,MATCH(C1115,Projects!$A$2:$A$500,0)),"")</f>
        <v>Customer Experience</v>
      </c>
      <c r="M1115" s="31" t="n">
        <f aca="false">IF(I1115="Yes",H1115*INDEX(Resources!$I$2:$I$500,MATCH(E1115,Resources!$A$2:$A$500,0)),0)</f>
        <v>18573</v>
      </c>
    </row>
    <row r="1116" customFormat="false" ht="15" hidden="false" customHeight="false" outlineLevel="0" collapsed="false">
      <c r="A1116" s="18" t="s">
        <v>2149</v>
      </c>
      <c r="B1116" s="19" t="n">
        <v>46234</v>
      </c>
      <c r="C1116" s="18" t="s">
        <v>197</v>
      </c>
      <c r="D1116" s="18" t="s">
        <v>869</v>
      </c>
      <c r="E1116" s="18" t="s">
        <v>389</v>
      </c>
      <c r="F1116" s="18"/>
      <c r="G1116" s="18" t="s">
        <v>1019</v>
      </c>
      <c r="H1116" s="30" t="n">
        <v>133.5</v>
      </c>
      <c r="I1116" s="18" t="s">
        <v>513</v>
      </c>
      <c r="J1116" s="28" t="n">
        <v>14247.12</v>
      </c>
      <c r="K1116" s="12" t="str">
        <f aca="false">TEXT(B1116,"yyyy-mm")</f>
        <v>2026-07</v>
      </c>
      <c r="L1116" s="21" t="str">
        <f aca="false">IFERROR(INDEX(Projects!$E$2:$E$500,MATCH(C1116,Projects!$A$2:$A$500,0)),"")</f>
        <v>Customer Experience</v>
      </c>
      <c r="M1116" s="31" t="n">
        <f aca="false">IF(I1116="Yes",H1116*INDEX(Resources!$I$2:$I$500,MATCH(E1116,Resources!$A$2:$A$500,0)),0)</f>
        <v>28702.5</v>
      </c>
    </row>
    <row r="1117" customFormat="false" ht="15" hidden="false" customHeight="false" outlineLevel="0" collapsed="false">
      <c r="A1117" s="18" t="s">
        <v>2150</v>
      </c>
      <c r="B1117" s="19" t="n">
        <v>46234</v>
      </c>
      <c r="C1117" s="18" t="s">
        <v>197</v>
      </c>
      <c r="D1117" s="18" t="s">
        <v>869</v>
      </c>
      <c r="E1117" s="18" t="s">
        <v>409</v>
      </c>
      <c r="F1117" s="18"/>
      <c r="G1117" s="18" t="s">
        <v>1019</v>
      </c>
      <c r="H1117" s="30" t="n">
        <v>188</v>
      </c>
      <c r="I1117" s="18" t="s">
        <v>513</v>
      </c>
      <c r="J1117" s="28" t="n">
        <v>13957.12</v>
      </c>
      <c r="K1117" s="12" t="str">
        <f aca="false">TEXT(B1117,"yyyy-mm")</f>
        <v>2026-07</v>
      </c>
      <c r="L1117" s="21" t="str">
        <f aca="false">IFERROR(INDEX(Projects!$E$2:$E$500,MATCH(C1117,Projects!$A$2:$A$500,0)),"")</f>
        <v>Customer Experience</v>
      </c>
      <c r="M1117" s="31" t="n">
        <f aca="false">IF(I1117="Yes",H1117*INDEX(Resources!$I$2:$I$500,MATCH(E1117,Resources!$A$2:$A$500,0)),0)</f>
        <v>28200</v>
      </c>
    </row>
    <row r="1118" customFormat="false" ht="15" hidden="false" customHeight="false" outlineLevel="0" collapsed="false">
      <c r="A1118" s="18" t="s">
        <v>2151</v>
      </c>
      <c r="B1118" s="19" t="n">
        <v>46234</v>
      </c>
      <c r="C1118" s="18" t="s">
        <v>197</v>
      </c>
      <c r="D1118" s="18" t="s">
        <v>869</v>
      </c>
      <c r="E1118" s="18" t="s">
        <v>434</v>
      </c>
      <c r="F1118" s="18"/>
      <c r="G1118" s="18" t="s">
        <v>1019</v>
      </c>
      <c r="H1118" s="30" t="n">
        <v>99</v>
      </c>
      <c r="I1118" s="18" t="s">
        <v>513</v>
      </c>
      <c r="J1118" s="28" t="n">
        <v>6431.04</v>
      </c>
      <c r="K1118" s="12" t="str">
        <f aca="false">TEXT(B1118,"yyyy-mm")</f>
        <v>2026-07</v>
      </c>
      <c r="L1118" s="21" t="str">
        <f aca="false">IFERROR(INDEX(Projects!$E$2:$E$500,MATCH(C1118,Projects!$A$2:$A$500,0)),"")</f>
        <v>Customer Experience</v>
      </c>
      <c r="M1118" s="31" t="n">
        <f aca="false">IF(I1118="Yes",H1118*INDEX(Resources!$I$2:$I$500,MATCH(E1118,Resources!$A$2:$A$500,0)),0)</f>
        <v>13365</v>
      </c>
    </row>
    <row r="1119" customFormat="false" ht="15" hidden="false" customHeight="false" outlineLevel="0" collapsed="false">
      <c r="A1119" s="18" t="s">
        <v>2152</v>
      </c>
      <c r="B1119" s="19" t="n">
        <v>46234</v>
      </c>
      <c r="C1119" s="18" t="s">
        <v>197</v>
      </c>
      <c r="D1119" s="18" t="s">
        <v>872</v>
      </c>
      <c r="E1119" s="18"/>
      <c r="F1119" s="18" t="s">
        <v>1059</v>
      </c>
      <c r="G1119" s="18" t="s">
        <v>1026</v>
      </c>
      <c r="H1119" s="30" t="n">
        <v>0</v>
      </c>
      <c r="I1119" s="18" t="s">
        <v>527</v>
      </c>
      <c r="J1119" s="28" t="n">
        <v>2992.38</v>
      </c>
      <c r="K1119" s="12" t="str">
        <f aca="false">TEXT(B1119,"yyyy-mm")</f>
        <v>2026-07</v>
      </c>
      <c r="L1119" s="21" t="str">
        <f aca="false">IFERROR(INDEX(Projects!$E$2:$E$500,MATCH(C1119,Projects!$A$2:$A$500,0)),"")</f>
        <v>Customer Experience</v>
      </c>
      <c r="M1119" s="31" t="n">
        <f aca="false">IF(I1119="Yes",H1119*INDEX(Resources!$I$2:$I$500,MATCH(E1119,Resources!$A$2:$A$500,0)),0)</f>
        <v>0</v>
      </c>
    </row>
    <row r="1120" customFormat="false" ht="15" hidden="false" customHeight="false" outlineLevel="0" collapsed="false">
      <c r="A1120" s="18" t="s">
        <v>2153</v>
      </c>
      <c r="B1120" s="19" t="n">
        <v>46234</v>
      </c>
      <c r="C1120" s="18" t="s">
        <v>197</v>
      </c>
      <c r="D1120" s="18" t="s">
        <v>874</v>
      </c>
      <c r="E1120" s="18"/>
      <c r="F1120" s="18" t="s">
        <v>1224</v>
      </c>
      <c r="G1120" s="18" t="s">
        <v>1026</v>
      </c>
      <c r="H1120" s="30" t="n">
        <v>0</v>
      </c>
      <c r="I1120" s="18" t="s">
        <v>527</v>
      </c>
      <c r="J1120" s="28" t="n">
        <v>4286.44</v>
      </c>
      <c r="K1120" s="12" t="str">
        <f aca="false">TEXT(B1120,"yyyy-mm")</f>
        <v>2026-07</v>
      </c>
      <c r="L1120" s="21" t="str">
        <f aca="false">IFERROR(INDEX(Projects!$E$2:$E$500,MATCH(C1120,Projects!$A$2:$A$500,0)),"")</f>
        <v>Customer Experience</v>
      </c>
      <c r="M1120" s="31" t="n">
        <f aca="false">IF(I1120="Yes",H1120*INDEX(Resources!$I$2:$I$500,MATCH(E1120,Resources!$A$2:$A$500,0)),0)</f>
        <v>0</v>
      </c>
    </row>
    <row r="1121" customFormat="false" ht="15" hidden="false" customHeight="false" outlineLevel="0" collapsed="false">
      <c r="A1121" s="18" t="s">
        <v>2154</v>
      </c>
      <c r="B1121" s="19" t="n">
        <v>46234</v>
      </c>
      <c r="C1121" s="18" t="s">
        <v>197</v>
      </c>
      <c r="D1121" s="18" t="s">
        <v>876</v>
      </c>
      <c r="E1121" s="18"/>
      <c r="F1121" s="18" t="s">
        <v>1071</v>
      </c>
      <c r="G1121" s="18" t="s">
        <v>1033</v>
      </c>
      <c r="H1121" s="30" t="n">
        <v>0</v>
      </c>
      <c r="I1121" s="18" t="s">
        <v>527</v>
      </c>
      <c r="J1121" s="28" t="n">
        <v>1083.65</v>
      </c>
      <c r="K1121" s="12" t="str">
        <f aca="false">TEXT(B1121,"yyyy-mm")</f>
        <v>2026-07</v>
      </c>
      <c r="L1121" s="21" t="str">
        <f aca="false">IFERROR(INDEX(Projects!$E$2:$E$500,MATCH(C1121,Projects!$A$2:$A$500,0)),"")</f>
        <v>Customer Experience</v>
      </c>
      <c r="M1121" s="31" t="n">
        <f aca="false">IF(I1121="Yes",H1121*INDEX(Resources!$I$2:$I$500,MATCH(E1121,Resources!$A$2:$A$500,0)),0)</f>
        <v>0</v>
      </c>
    </row>
    <row r="1122" customFormat="false" ht="15" hidden="false" customHeight="false" outlineLevel="0" collapsed="false">
      <c r="A1122" s="18" t="s">
        <v>2155</v>
      </c>
      <c r="B1122" s="19" t="n">
        <v>46234</v>
      </c>
      <c r="C1122" s="18" t="s">
        <v>207</v>
      </c>
      <c r="D1122" s="18" t="s">
        <v>882</v>
      </c>
      <c r="E1122" s="18"/>
      <c r="F1122" s="18" t="s">
        <v>1616</v>
      </c>
      <c r="G1122" s="18" t="s">
        <v>1026</v>
      </c>
      <c r="H1122" s="30" t="n">
        <v>0</v>
      </c>
      <c r="I1122" s="18" t="s">
        <v>527</v>
      </c>
      <c r="J1122" s="28" t="n">
        <v>14044.15</v>
      </c>
      <c r="K1122" s="12" t="str">
        <f aca="false">TEXT(B1122,"yyyy-mm")</f>
        <v>2026-07</v>
      </c>
      <c r="L1122" s="21" t="str">
        <f aca="false">IFERROR(INDEX(Projects!$E$2:$E$500,MATCH(C1122,Projects!$A$2:$A$500,0)),"")</f>
        <v>Operational Excellence</v>
      </c>
      <c r="M1122" s="31" t="n">
        <f aca="false">IF(I1122="Yes",H1122*INDEX(Resources!$I$2:$I$500,MATCH(E1122,Resources!$A$2:$A$500,0)),0)</f>
        <v>0</v>
      </c>
    </row>
    <row r="1123" customFormat="false" ht="15" hidden="false" customHeight="false" outlineLevel="0" collapsed="false">
      <c r="A1123" s="18" t="s">
        <v>2156</v>
      </c>
      <c r="B1123" s="19" t="n">
        <v>46234</v>
      </c>
      <c r="C1123" s="18" t="s">
        <v>207</v>
      </c>
      <c r="D1123" s="18" t="s">
        <v>869</v>
      </c>
      <c r="E1123" s="18" t="s">
        <v>211</v>
      </c>
      <c r="F1123" s="18"/>
      <c r="G1123" s="18" t="s">
        <v>1019</v>
      </c>
      <c r="H1123" s="30" t="n">
        <v>60.8</v>
      </c>
      <c r="I1123" s="18" t="s">
        <v>513</v>
      </c>
      <c r="J1123" s="28" t="n">
        <v>6206.46</v>
      </c>
      <c r="K1123" s="12" t="str">
        <f aca="false">TEXT(B1123,"yyyy-mm")</f>
        <v>2026-07</v>
      </c>
      <c r="L1123" s="21" t="str">
        <f aca="false">IFERROR(INDEX(Projects!$E$2:$E$500,MATCH(C1123,Projects!$A$2:$A$500,0)),"")</f>
        <v>Operational Excellence</v>
      </c>
      <c r="M1123" s="31" t="n">
        <f aca="false">IF(I1123="Yes",H1123*INDEX(Resources!$I$2:$I$500,MATCH(E1123,Resources!$A$2:$A$500,0)),0)</f>
        <v>12464</v>
      </c>
    </row>
    <row r="1124" customFormat="false" ht="15" hidden="false" customHeight="false" outlineLevel="0" collapsed="false">
      <c r="A1124" s="18" t="s">
        <v>2157</v>
      </c>
      <c r="B1124" s="19" t="n">
        <v>46234</v>
      </c>
      <c r="C1124" s="18" t="s">
        <v>207</v>
      </c>
      <c r="D1124" s="18" t="s">
        <v>869</v>
      </c>
      <c r="E1124" s="18" t="s">
        <v>368</v>
      </c>
      <c r="F1124" s="18"/>
      <c r="G1124" s="18" t="s">
        <v>1019</v>
      </c>
      <c r="H1124" s="30" t="n">
        <v>127.9</v>
      </c>
      <c r="I1124" s="18" t="s">
        <v>513</v>
      </c>
      <c r="J1124" s="28" t="n">
        <v>9392.98</v>
      </c>
      <c r="K1124" s="12" t="str">
        <f aca="false">TEXT(B1124,"yyyy-mm")</f>
        <v>2026-07</v>
      </c>
      <c r="L1124" s="21" t="str">
        <f aca="false">IFERROR(INDEX(Projects!$E$2:$E$500,MATCH(C1124,Projects!$A$2:$A$500,0)),"")</f>
        <v>Operational Excellence</v>
      </c>
      <c r="M1124" s="31" t="n">
        <f aca="false">IF(I1124="Yes",H1124*INDEX(Resources!$I$2:$I$500,MATCH(E1124,Resources!$A$2:$A$500,0)),0)</f>
        <v>19185</v>
      </c>
    </row>
    <row r="1125" customFormat="false" ht="15" hidden="false" customHeight="false" outlineLevel="0" collapsed="false">
      <c r="A1125" s="18" t="s">
        <v>2158</v>
      </c>
      <c r="B1125" s="19" t="n">
        <v>46234</v>
      </c>
      <c r="C1125" s="18" t="s">
        <v>207</v>
      </c>
      <c r="D1125" s="18" t="s">
        <v>869</v>
      </c>
      <c r="E1125" s="18" t="s">
        <v>393</v>
      </c>
      <c r="F1125" s="18"/>
      <c r="G1125" s="18" t="s">
        <v>1019</v>
      </c>
      <c r="H1125" s="30" t="n">
        <v>125.2</v>
      </c>
      <c r="I1125" s="18" t="s">
        <v>513</v>
      </c>
      <c r="J1125" s="28" t="n">
        <v>12439.87</v>
      </c>
      <c r="K1125" s="12" t="str">
        <f aca="false">TEXT(B1125,"yyyy-mm")</f>
        <v>2026-07</v>
      </c>
      <c r="L1125" s="21" t="str">
        <f aca="false">IFERROR(INDEX(Projects!$E$2:$E$500,MATCH(C1125,Projects!$A$2:$A$500,0)),"")</f>
        <v>Operational Excellence</v>
      </c>
      <c r="M1125" s="31" t="n">
        <f aca="false">IF(I1125="Yes",H1125*INDEX(Resources!$I$2:$I$500,MATCH(E1125,Resources!$A$2:$A$500,0)),0)</f>
        <v>25040</v>
      </c>
    </row>
    <row r="1126" customFormat="false" ht="15" hidden="false" customHeight="false" outlineLevel="0" collapsed="false">
      <c r="A1126" s="18" t="s">
        <v>2159</v>
      </c>
      <c r="B1126" s="19" t="n">
        <v>46234</v>
      </c>
      <c r="C1126" s="18" t="s">
        <v>207</v>
      </c>
      <c r="D1126" s="18" t="s">
        <v>869</v>
      </c>
      <c r="E1126" s="18" t="s">
        <v>412</v>
      </c>
      <c r="F1126" s="18"/>
      <c r="G1126" s="18" t="s">
        <v>1019</v>
      </c>
      <c r="H1126" s="30" t="n">
        <v>179.3</v>
      </c>
      <c r="I1126" s="18" t="s">
        <v>513</v>
      </c>
      <c r="J1126" s="28" t="n">
        <v>10671.94</v>
      </c>
      <c r="K1126" s="12" t="str">
        <f aca="false">TEXT(B1126,"yyyy-mm")</f>
        <v>2026-07</v>
      </c>
      <c r="L1126" s="21" t="str">
        <f aca="false">IFERROR(INDEX(Projects!$E$2:$E$500,MATCH(C1126,Projects!$A$2:$A$500,0)),"")</f>
        <v>Operational Excellence</v>
      </c>
      <c r="M1126" s="31" t="n">
        <f aca="false">IF(I1126="Yes",H1126*INDEX(Resources!$I$2:$I$500,MATCH(E1126,Resources!$A$2:$A$500,0)),0)</f>
        <v>21516</v>
      </c>
    </row>
    <row r="1127" customFormat="false" ht="15" hidden="false" customHeight="false" outlineLevel="0" collapsed="false">
      <c r="A1127" s="18" t="s">
        <v>2160</v>
      </c>
      <c r="B1127" s="19" t="n">
        <v>46234</v>
      </c>
      <c r="C1127" s="18" t="s">
        <v>207</v>
      </c>
      <c r="D1127" s="18" t="s">
        <v>869</v>
      </c>
      <c r="E1127" s="18" t="s">
        <v>439</v>
      </c>
      <c r="F1127" s="18"/>
      <c r="G1127" s="18" t="s">
        <v>1019</v>
      </c>
      <c r="H1127" s="30" t="n">
        <v>65.4</v>
      </c>
      <c r="I1127" s="18" t="s">
        <v>513</v>
      </c>
      <c r="J1127" s="28" t="n">
        <v>5310.48</v>
      </c>
      <c r="K1127" s="12" t="str">
        <f aca="false">TEXT(B1127,"yyyy-mm")</f>
        <v>2026-07</v>
      </c>
      <c r="L1127" s="21" t="str">
        <f aca="false">IFERROR(INDEX(Projects!$E$2:$E$500,MATCH(C1127,Projects!$A$2:$A$500,0)),"")</f>
        <v>Operational Excellence</v>
      </c>
      <c r="M1127" s="31" t="n">
        <f aca="false">IF(I1127="Yes",H1127*INDEX(Resources!$I$2:$I$500,MATCH(E1127,Resources!$A$2:$A$500,0)),0)</f>
        <v>8829</v>
      </c>
    </row>
    <row r="1128" customFormat="false" ht="15" hidden="false" customHeight="false" outlineLevel="0" collapsed="false">
      <c r="A1128" s="18" t="s">
        <v>2161</v>
      </c>
      <c r="B1128" s="19" t="n">
        <v>46234</v>
      </c>
      <c r="C1128" s="18" t="s">
        <v>207</v>
      </c>
      <c r="D1128" s="18" t="s">
        <v>869</v>
      </c>
      <c r="E1128" s="18" t="s">
        <v>492</v>
      </c>
      <c r="F1128" s="18"/>
      <c r="G1128" s="18" t="s">
        <v>1019</v>
      </c>
      <c r="H1128" s="30" t="n">
        <v>64.6</v>
      </c>
      <c r="I1128" s="18" t="s">
        <v>513</v>
      </c>
      <c r="J1128" s="28" t="n">
        <v>5395.39</v>
      </c>
      <c r="K1128" s="12" t="str">
        <f aca="false">TEXT(B1128,"yyyy-mm")</f>
        <v>2026-07</v>
      </c>
      <c r="L1128" s="21" t="str">
        <f aca="false">IFERROR(INDEX(Projects!$E$2:$E$500,MATCH(C1128,Projects!$A$2:$A$500,0)),"")</f>
        <v>Operational Excellence</v>
      </c>
      <c r="M1128" s="31" t="n">
        <f aca="false">IF(I1128="Yes",H1128*INDEX(Resources!$I$2:$I$500,MATCH(E1128,Resources!$A$2:$A$500,0)),0)</f>
        <v>11305</v>
      </c>
    </row>
    <row r="1129" customFormat="false" ht="15" hidden="false" customHeight="false" outlineLevel="0" collapsed="false">
      <c r="A1129" s="18" t="s">
        <v>2162</v>
      </c>
      <c r="B1129" s="19" t="n">
        <v>46234</v>
      </c>
      <c r="C1129" s="18" t="s">
        <v>207</v>
      </c>
      <c r="D1129" s="18" t="s">
        <v>872</v>
      </c>
      <c r="E1129" s="18"/>
      <c r="F1129" s="18" t="s">
        <v>353</v>
      </c>
      <c r="G1129" s="18" t="s">
        <v>1026</v>
      </c>
      <c r="H1129" s="30" t="n">
        <v>0</v>
      </c>
      <c r="I1129" s="18" t="s">
        <v>527</v>
      </c>
      <c r="J1129" s="28" t="n">
        <v>1667.19</v>
      </c>
      <c r="K1129" s="12" t="str">
        <f aca="false">TEXT(B1129,"yyyy-mm")</f>
        <v>2026-07</v>
      </c>
      <c r="L1129" s="21" t="str">
        <f aca="false">IFERROR(INDEX(Projects!$E$2:$E$500,MATCH(C1129,Projects!$A$2:$A$500,0)),"")</f>
        <v>Operational Excellence</v>
      </c>
      <c r="M1129" s="31" t="n">
        <f aca="false">IF(I1129="Yes",H1129*INDEX(Resources!$I$2:$I$500,MATCH(E1129,Resources!$A$2:$A$500,0)),0)</f>
        <v>0</v>
      </c>
    </row>
    <row r="1130" customFormat="false" ht="15" hidden="false" customHeight="false" outlineLevel="0" collapsed="false">
      <c r="A1130" s="18" t="s">
        <v>2163</v>
      </c>
      <c r="B1130" s="19" t="n">
        <v>46234</v>
      </c>
      <c r="C1130" s="18" t="s">
        <v>207</v>
      </c>
      <c r="D1130" s="18" t="s">
        <v>495</v>
      </c>
      <c r="E1130" s="18"/>
      <c r="F1130" s="18" t="s">
        <v>1373</v>
      </c>
      <c r="G1130" s="18" t="s">
        <v>1026</v>
      </c>
      <c r="H1130" s="30" t="n">
        <v>0</v>
      </c>
      <c r="I1130" s="18" t="s">
        <v>527</v>
      </c>
      <c r="J1130" s="28" t="n">
        <v>847.26</v>
      </c>
      <c r="K1130" s="12" t="str">
        <f aca="false">TEXT(B1130,"yyyy-mm")</f>
        <v>2026-07</v>
      </c>
      <c r="L1130" s="21" t="str">
        <f aca="false">IFERROR(INDEX(Projects!$E$2:$E$500,MATCH(C1130,Projects!$A$2:$A$500,0)),"")</f>
        <v>Operational Excellence</v>
      </c>
      <c r="M1130" s="31" t="n">
        <f aca="false">IF(I1130="Yes",H1130*INDEX(Resources!$I$2:$I$500,MATCH(E1130,Resources!$A$2:$A$500,0)),0)</f>
        <v>0</v>
      </c>
    </row>
    <row r="1131" customFormat="false" ht="15" hidden="false" customHeight="false" outlineLevel="0" collapsed="false">
      <c r="A1131" s="18" t="s">
        <v>2164</v>
      </c>
      <c r="B1131" s="19" t="n">
        <v>46234</v>
      </c>
      <c r="C1131" s="18" t="s">
        <v>207</v>
      </c>
      <c r="D1131" s="18" t="s">
        <v>876</v>
      </c>
      <c r="E1131" s="18"/>
      <c r="F1131" s="18" t="s">
        <v>1032</v>
      </c>
      <c r="G1131" s="18" t="s">
        <v>1033</v>
      </c>
      <c r="H1131" s="30" t="n">
        <v>0</v>
      </c>
      <c r="I1131" s="18" t="s">
        <v>527</v>
      </c>
      <c r="J1131" s="28" t="n">
        <v>587.21</v>
      </c>
      <c r="K1131" s="12" t="str">
        <f aca="false">TEXT(B1131,"yyyy-mm")</f>
        <v>2026-07</v>
      </c>
      <c r="L1131" s="21" t="str">
        <f aca="false">IFERROR(INDEX(Projects!$E$2:$E$500,MATCH(C1131,Projects!$A$2:$A$500,0)),"")</f>
        <v>Operational Excellence</v>
      </c>
      <c r="M1131" s="31" t="n">
        <f aca="false">IF(I1131="Yes",H1131*INDEX(Resources!$I$2:$I$500,MATCH(E1131,Resources!$A$2:$A$500,0)),0)</f>
        <v>0</v>
      </c>
    </row>
    <row r="1132" customFormat="false" ht="15" hidden="false" customHeight="false" outlineLevel="0" collapsed="false">
      <c r="A1132" s="18" t="s">
        <v>2165</v>
      </c>
      <c r="B1132" s="19" t="n">
        <v>46234</v>
      </c>
      <c r="C1132" s="18" t="s">
        <v>215</v>
      </c>
      <c r="D1132" s="18" t="s">
        <v>889</v>
      </c>
      <c r="E1132" s="18"/>
      <c r="F1132" s="18" t="s">
        <v>1035</v>
      </c>
      <c r="G1132" s="18" t="s">
        <v>1026</v>
      </c>
      <c r="H1132" s="30" t="n">
        <v>0</v>
      </c>
      <c r="I1132" s="18" t="s">
        <v>527</v>
      </c>
      <c r="J1132" s="28" t="n">
        <v>3983.63</v>
      </c>
      <c r="K1132" s="12" t="str">
        <f aca="false">TEXT(B1132,"yyyy-mm")</f>
        <v>2026-07</v>
      </c>
      <c r="L1132" s="21" t="str">
        <f aca="false">IFERROR(INDEX(Projects!$E$2:$E$500,MATCH(C1132,Projects!$A$2:$A$500,0)),"")</f>
        <v>Data &amp; AI</v>
      </c>
      <c r="M1132" s="31" t="n">
        <f aca="false">IF(I1132="Yes",H1132*INDEX(Resources!$I$2:$I$500,MATCH(E1132,Resources!$A$2:$A$500,0)),0)</f>
        <v>0</v>
      </c>
    </row>
    <row r="1133" customFormat="false" ht="15" hidden="false" customHeight="false" outlineLevel="0" collapsed="false">
      <c r="A1133" s="18" t="s">
        <v>2166</v>
      </c>
      <c r="B1133" s="19" t="n">
        <v>46234</v>
      </c>
      <c r="C1133" s="18" t="s">
        <v>215</v>
      </c>
      <c r="D1133" s="18" t="s">
        <v>869</v>
      </c>
      <c r="E1133" s="18" t="s">
        <v>218</v>
      </c>
      <c r="F1133" s="18"/>
      <c r="G1133" s="18" t="s">
        <v>1019</v>
      </c>
      <c r="H1133" s="30" t="n">
        <v>49.6</v>
      </c>
      <c r="I1133" s="18" t="s">
        <v>527</v>
      </c>
      <c r="J1133" s="28" t="n">
        <v>3710.08</v>
      </c>
      <c r="K1133" s="12" t="str">
        <f aca="false">TEXT(B1133,"yyyy-mm")</f>
        <v>2026-07</v>
      </c>
      <c r="L1133" s="21" t="str">
        <f aca="false">IFERROR(INDEX(Projects!$E$2:$E$500,MATCH(C1133,Projects!$A$2:$A$500,0)),"")</f>
        <v>Data &amp; AI</v>
      </c>
      <c r="M1133" s="31" t="n">
        <f aca="false">IF(I1133="Yes",H1133*INDEX(Resources!$I$2:$I$500,MATCH(E1133,Resources!$A$2:$A$500,0)),0)</f>
        <v>0</v>
      </c>
    </row>
    <row r="1134" customFormat="false" ht="15" hidden="false" customHeight="false" outlineLevel="0" collapsed="false">
      <c r="A1134" s="18" t="s">
        <v>2167</v>
      </c>
      <c r="B1134" s="19" t="n">
        <v>46234</v>
      </c>
      <c r="C1134" s="18" t="s">
        <v>215</v>
      </c>
      <c r="D1134" s="18" t="s">
        <v>869</v>
      </c>
      <c r="E1134" s="18" t="s">
        <v>414</v>
      </c>
      <c r="F1134" s="18"/>
      <c r="G1134" s="18" t="s">
        <v>1019</v>
      </c>
      <c r="H1134" s="30" t="n">
        <v>110.9</v>
      </c>
      <c r="I1134" s="18" t="s">
        <v>513</v>
      </c>
      <c r="J1134" s="28" t="n">
        <v>6600.77</v>
      </c>
      <c r="K1134" s="12" t="str">
        <f aca="false">TEXT(B1134,"yyyy-mm")</f>
        <v>2026-07</v>
      </c>
      <c r="L1134" s="21" t="str">
        <f aca="false">IFERROR(INDEX(Projects!$E$2:$E$500,MATCH(C1134,Projects!$A$2:$A$500,0)),"")</f>
        <v>Data &amp; AI</v>
      </c>
      <c r="M1134" s="31" t="n">
        <f aca="false">IF(I1134="Yes",H1134*INDEX(Resources!$I$2:$I$500,MATCH(E1134,Resources!$A$2:$A$500,0)),0)</f>
        <v>13308</v>
      </c>
    </row>
    <row r="1135" customFormat="false" ht="15" hidden="false" customHeight="false" outlineLevel="0" collapsed="false">
      <c r="A1135" s="18" t="s">
        <v>2168</v>
      </c>
      <c r="B1135" s="19" t="n">
        <v>46234</v>
      </c>
      <c r="C1135" s="18" t="s">
        <v>215</v>
      </c>
      <c r="D1135" s="18" t="s">
        <v>869</v>
      </c>
      <c r="E1135" s="18" t="s">
        <v>442</v>
      </c>
      <c r="F1135" s="18"/>
      <c r="G1135" s="18" t="s">
        <v>1019</v>
      </c>
      <c r="H1135" s="30" t="n">
        <v>99</v>
      </c>
      <c r="I1135" s="18" t="s">
        <v>513</v>
      </c>
      <c r="J1135" s="28" t="n">
        <v>6930</v>
      </c>
      <c r="K1135" s="12" t="str">
        <f aca="false">TEXT(B1135,"yyyy-mm")</f>
        <v>2026-07</v>
      </c>
      <c r="L1135" s="21" t="str">
        <f aca="false">IFERROR(INDEX(Projects!$E$2:$E$500,MATCH(C1135,Projects!$A$2:$A$500,0)),"")</f>
        <v>Data &amp; AI</v>
      </c>
      <c r="M1135" s="31" t="n">
        <f aca="false">IF(I1135="Yes",H1135*INDEX(Resources!$I$2:$I$500,MATCH(E1135,Resources!$A$2:$A$500,0)),0)</f>
        <v>11385</v>
      </c>
    </row>
    <row r="1136" customFormat="false" ht="15" hidden="false" customHeight="false" outlineLevel="0" collapsed="false">
      <c r="A1136" s="18" t="s">
        <v>2169</v>
      </c>
      <c r="B1136" s="19" t="n">
        <v>46234</v>
      </c>
      <c r="C1136" s="18" t="s">
        <v>215</v>
      </c>
      <c r="D1136" s="18" t="s">
        <v>869</v>
      </c>
      <c r="E1136" s="18" t="s">
        <v>450</v>
      </c>
      <c r="F1136" s="18"/>
      <c r="G1136" s="18" t="s">
        <v>1019</v>
      </c>
      <c r="H1136" s="30" t="n">
        <v>197.3</v>
      </c>
      <c r="I1136" s="18" t="s">
        <v>513</v>
      </c>
      <c r="J1136" s="28" t="n">
        <v>20598.12</v>
      </c>
      <c r="K1136" s="12" t="str">
        <f aca="false">TEXT(B1136,"yyyy-mm")</f>
        <v>2026-07</v>
      </c>
      <c r="L1136" s="21" t="str">
        <f aca="false">IFERROR(INDEX(Projects!$E$2:$E$500,MATCH(C1136,Projects!$A$2:$A$500,0)),"")</f>
        <v>Data &amp; AI</v>
      </c>
      <c r="M1136" s="31" t="n">
        <f aca="false">IF(I1136="Yes",H1136*INDEX(Resources!$I$2:$I$500,MATCH(E1136,Resources!$A$2:$A$500,0)),0)</f>
        <v>41433</v>
      </c>
    </row>
    <row r="1137" customFormat="false" ht="15" hidden="false" customHeight="false" outlineLevel="0" collapsed="false">
      <c r="A1137" s="18" t="s">
        <v>2170</v>
      </c>
      <c r="B1137" s="19" t="n">
        <v>46234</v>
      </c>
      <c r="C1137" s="18" t="s">
        <v>215</v>
      </c>
      <c r="D1137" s="18" t="s">
        <v>869</v>
      </c>
      <c r="E1137" s="18" t="s">
        <v>462</v>
      </c>
      <c r="F1137" s="18"/>
      <c r="G1137" s="18" t="s">
        <v>1019</v>
      </c>
      <c r="H1137" s="30" t="n">
        <v>96</v>
      </c>
      <c r="I1137" s="18" t="s">
        <v>513</v>
      </c>
      <c r="J1137" s="28" t="n">
        <v>10913.28</v>
      </c>
      <c r="K1137" s="12" t="str">
        <f aca="false">TEXT(B1137,"yyyy-mm")</f>
        <v>2026-07</v>
      </c>
      <c r="L1137" s="21" t="str">
        <f aca="false">IFERROR(INDEX(Projects!$E$2:$E$500,MATCH(C1137,Projects!$A$2:$A$500,0)),"")</f>
        <v>Data &amp; AI</v>
      </c>
      <c r="M1137" s="31" t="n">
        <f aca="false">IF(I1137="Yes",H1137*INDEX(Resources!$I$2:$I$500,MATCH(E1137,Resources!$A$2:$A$500,0)),0)</f>
        <v>22080</v>
      </c>
    </row>
    <row r="1138" customFormat="false" ht="15" hidden="false" customHeight="false" outlineLevel="0" collapsed="false">
      <c r="A1138" s="18" t="s">
        <v>2171</v>
      </c>
      <c r="B1138" s="19" t="n">
        <v>46234</v>
      </c>
      <c r="C1138" s="18" t="s">
        <v>215</v>
      </c>
      <c r="D1138" s="18" t="s">
        <v>872</v>
      </c>
      <c r="E1138" s="18"/>
      <c r="F1138" s="18" t="s">
        <v>1059</v>
      </c>
      <c r="G1138" s="18" t="s">
        <v>1026</v>
      </c>
      <c r="H1138" s="30" t="n">
        <v>0</v>
      </c>
      <c r="I1138" s="18" t="s">
        <v>527</v>
      </c>
      <c r="J1138" s="28" t="n">
        <v>2982.72</v>
      </c>
      <c r="K1138" s="12" t="str">
        <f aca="false">TEXT(B1138,"yyyy-mm")</f>
        <v>2026-07</v>
      </c>
      <c r="L1138" s="21" t="str">
        <f aca="false">IFERROR(INDEX(Projects!$E$2:$E$500,MATCH(C1138,Projects!$A$2:$A$500,0)),"")</f>
        <v>Data &amp; AI</v>
      </c>
      <c r="M1138" s="31" t="n">
        <f aca="false">IF(I1138="Yes",H1138*INDEX(Resources!$I$2:$I$500,MATCH(E1138,Resources!$A$2:$A$500,0)),0)</f>
        <v>0</v>
      </c>
    </row>
    <row r="1139" customFormat="false" ht="15" hidden="false" customHeight="false" outlineLevel="0" collapsed="false">
      <c r="A1139" s="18" t="s">
        <v>2172</v>
      </c>
      <c r="B1139" s="19" t="n">
        <v>46234</v>
      </c>
      <c r="C1139" s="18" t="s">
        <v>215</v>
      </c>
      <c r="D1139" s="18" t="s">
        <v>876</v>
      </c>
      <c r="E1139" s="18"/>
      <c r="F1139" s="18" t="s">
        <v>1032</v>
      </c>
      <c r="G1139" s="18" t="s">
        <v>1033</v>
      </c>
      <c r="H1139" s="30" t="n">
        <v>0</v>
      </c>
      <c r="I1139" s="18" t="s">
        <v>527</v>
      </c>
      <c r="J1139" s="28" t="n">
        <v>491</v>
      </c>
      <c r="K1139" s="12" t="str">
        <f aca="false">TEXT(B1139,"yyyy-mm")</f>
        <v>2026-07</v>
      </c>
      <c r="L1139" s="21" t="str">
        <f aca="false">IFERROR(INDEX(Projects!$E$2:$E$500,MATCH(C1139,Projects!$A$2:$A$500,0)),"")</f>
        <v>Data &amp; AI</v>
      </c>
      <c r="M1139" s="31" t="n">
        <f aca="false">IF(I1139="Yes",H1139*INDEX(Resources!$I$2:$I$500,MATCH(E1139,Resources!$A$2:$A$500,0)),0)</f>
        <v>0</v>
      </c>
    </row>
    <row r="1140" customFormat="false" ht="15" hidden="false" customHeight="false" outlineLevel="0" collapsed="false">
      <c r="A1140" s="18" t="s">
        <v>2173</v>
      </c>
      <c r="B1140" s="19" t="n">
        <v>46234</v>
      </c>
      <c r="C1140" s="18" t="s">
        <v>222</v>
      </c>
      <c r="D1140" s="18" t="s">
        <v>889</v>
      </c>
      <c r="E1140" s="18"/>
      <c r="F1140" s="18" t="s">
        <v>1035</v>
      </c>
      <c r="G1140" s="18" t="s">
        <v>1026</v>
      </c>
      <c r="H1140" s="30" t="n">
        <v>0</v>
      </c>
      <c r="I1140" s="18" t="s">
        <v>527</v>
      </c>
      <c r="J1140" s="28" t="n">
        <v>6917.73</v>
      </c>
      <c r="K1140" s="12" t="str">
        <f aca="false">TEXT(B1140,"yyyy-mm")</f>
        <v>2026-07</v>
      </c>
      <c r="L1140" s="21" t="str">
        <f aca="false">IFERROR(INDEX(Projects!$E$2:$E$500,MATCH(C1140,Projects!$A$2:$A$500,0)),"")</f>
        <v>Cloud &amp; Infrastructure</v>
      </c>
      <c r="M1140" s="31" t="n">
        <f aca="false">IF(I1140="Yes",H1140*INDEX(Resources!$I$2:$I$500,MATCH(E1140,Resources!$A$2:$A$500,0)),0)</f>
        <v>0</v>
      </c>
    </row>
    <row r="1141" customFormat="false" ht="15" hidden="false" customHeight="false" outlineLevel="0" collapsed="false">
      <c r="A1141" s="18" t="s">
        <v>2174</v>
      </c>
      <c r="B1141" s="19" t="n">
        <v>46234</v>
      </c>
      <c r="C1141" s="18" t="s">
        <v>222</v>
      </c>
      <c r="D1141" s="18" t="s">
        <v>869</v>
      </c>
      <c r="E1141" s="18" t="s">
        <v>226</v>
      </c>
      <c r="F1141" s="18"/>
      <c r="G1141" s="18" t="s">
        <v>1019</v>
      </c>
      <c r="H1141" s="30" t="n">
        <v>49.2</v>
      </c>
      <c r="I1141" s="18" t="s">
        <v>513</v>
      </c>
      <c r="J1141" s="28" t="n">
        <v>4329.6</v>
      </c>
      <c r="K1141" s="12" t="str">
        <f aca="false">TEXT(B1141,"yyyy-mm")</f>
        <v>2026-07</v>
      </c>
      <c r="L1141" s="21" t="str">
        <f aca="false">IFERROR(INDEX(Projects!$E$2:$E$500,MATCH(C1141,Projects!$A$2:$A$500,0)),"")</f>
        <v>Cloud &amp; Infrastructure</v>
      </c>
      <c r="M1141" s="31" t="n">
        <f aca="false">IF(I1141="Yes",H1141*INDEX(Resources!$I$2:$I$500,MATCH(E1141,Resources!$A$2:$A$500,0)),0)</f>
        <v>8610</v>
      </c>
    </row>
    <row r="1142" customFormat="false" ht="15" hidden="false" customHeight="false" outlineLevel="0" collapsed="false">
      <c r="A1142" s="18" t="s">
        <v>2175</v>
      </c>
      <c r="B1142" s="19" t="n">
        <v>46234</v>
      </c>
      <c r="C1142" s="18" t="s">
        <v>222</v>
      </c>
      <c r="D1142" s="18" t="s">
        <v>869</v>
      </c>
      <c r="E1142" s="18" t="s">
        <v>348</v>
      </c>
      <c r="F1142" s="18"/>
      <c r="G1142" s="18" t="s">
        <v>1019</v>
      </c>
      <c r="H1142" s="30" t="n">
        <v>42.5</v>
      </c>
      <c r="I1142" s="18" t="s">
        <v>513</v>
      </c>
      <c r="J1142" s="28" t="n">
        <v>5521.6</v>
      </c>
      <c r="K1142" s="12" t="str">
        <f aca="false">TEXT(B1142,"yyyy-mm")</f>
        <v>2026-07</v>
      </c>
      <c r="L1142" s="21" t="str">
        <f aca="false">IFERROR(INDEX(Projects!$E$2:$E$500,MATCH(C1142,Projects!$A$2:$A$500,0)),"")</f>
        <v>Cloud &amp; Infrastructure</v>
      </c>
      <c r="M1142" s="31" t="n">
        <f aca="false">IF(I1142="Yes",H1142*INDEX(Resources!$I$2:$I$500,MATCH(E1142,Resources!$A$2:$A$500,0)),0)</f>
        <v>11050</v>
      </c>
    </row>
    <row r="1143" customFormat="false" ht="15" hidden="false" customHeight="false" outlineLevel="0" collapsed="false">
      <c r="A1143" s="18" t="s">
        <v>2176</v>
      </c>
      <c r="B1143" s="19" t="n">
        <v>46234</v>
      </c>
      <c r="C1143" s="18" t="s">
        <v>222</v>
      </c>
      <c r="D1143" s="18" t="s">
        <v>869</v>
      </c>
      <c r="E1143" s="18" t="s">
        <v>395</v>
      </c>
      <c r="F1143" s="18"/>
      <c r="G1143" s="18" t="s">
        <v>1019</v>
      </c>
      <c r="H1143" s="30" t="n">
        <v>98.6</v>
      </c>
      <c r="I1143" s="18" t="s">
        <v>513</v>
      </c>
      <c r="J1143" s="28" t="n">
        <v>10545.27</v>
      </c>
      <c r="K1143" s="12" t="str">
        <f aca="false">TEXT(B1143,"yyyy-mm")</f>
        <v>2026-07</v>
      </c>
      <c r="L1143" s="21" t="str">
        <f aca="false">IFERROR(INDEX(Projects!$E$2:$E$500,MATCH(C1143,Projects!$A$2:$A$500,0)),"")</f>
        <v>Cloud &amp; Infrastructure</v>
      </c>
      <c r="M1143" s="31" t="n">
        <f aca="false">IF(I1143="Yes",H1143*INDEX(Resources!$I$2:$I$500,MATCH(E1143,Resources!$A$2:$A$500,0)),0)</f>
        <v>16762</v>
      </c>
    </row>
    <row r="1144" customFormat="false" ht="15" hidden="false" customHeight="false" outlineLevel="0" collapsed="false">
      <c r="A1144" s="18" t="s">
        <v>2177</v>
      </c>
      <c r="B1144" s="19" t="n">
        <v>46234</v>
      </c>
      <c r="C1144" s="18" t="s">
        <v>222</v>
      </c>
      <c r="D1144" s="18" t="s">
        <v>869</v>
      </c>
      <c r="E1144" s="18" t="s">
        <v>470</v>
      </c>
      <c r="F1144" s="18"/>
      <c r="G1144" s="18" t="s">
        <v>1019</v>
      </c>
      <c r="H1144" s="30" t="n">
        <v>170.7</v>
      </c>
      <c r="I1144" s="18" t="s">
        <v>513</v>
      </c>
      <c r="J1144" s="28" t="n">
        <v>18613.13</v>
      </c>
      <c r="K1144" s="12" t="str">
        <f aca="false">TEXT(B1144,"yyyy-mm")</f>
        <v>2026-07</v>
      </c>
      <c r="L1144" s="21" t="str">
        <f aca="false">IFERROR(INDEX(Projects!$E$2:$E$500,MATCH(C1144,Projects!$A$2:$A$500,0)),"")</f>
        <v>Cloud &amp; Infrastructure</v>
      </c>
      <c r="M1144" s="31" t="n">
        <f aca="false">IF(I1144="Yes",H1144*INDEX(Resources!$I$2:$I$500,MATCH(E1144,Resources!$A$2:$A$500,0)),0)</f>
        <v>37554</v>
      </c>
    </row>
    <row r="1145" customFormat="false" ht="15" hidden="false" customHeight="false" outlineLevel="0" collapsed="false">
      <c r="A1145" s="18" t="s">
        <v>2178</v>
      </c>
      <c r="B1145" s="19" t="n">
        <v>46234</v>
      </c>
      <c r="C1145" s="18" t="s">
        <v>222</v>
      </c>
      <c r="D1145" s="18" t="s">
        <v>869</v>
      </c>
      <c r="E1145" s="18" t="s">
        <v>483</v>
      </c>
      <c r="F1145" s="18"/>
      <c r="G1145" s="18" t="s">
        <v>1019</v>
      </c>
      <c r="H1145" s="30" t="n">
        <v>82.8</v>
      </c>
      <c r="I1145" s="18" t="s">
        <v>513</v>
      </c>
      <c r="J1145" s="28" t="n">
        <v>8260.13</v>
      </c>
      <c r="K1145" s="12" t="str">
        <f aca="false">TEXT(B1145,"yyyy-mm")</f>
        <v>2026-07</v>
      </c>
      <c r="L1145" s="21" t="str">
        <f aca="false">IFERROR(INDEX(Projects!$E$2:$E$500,MATCH(C1145,Projects!$A$2:$A$500,0)),"")</f>
        <v>Cloud &amp; Infrastructure</v>
      </c>
      <c r="M1145" s="31" t="n">
        <f aca="false">IF(I1145="Yes",H1145*INDEX(Resources!$I$2:$I$500,MATCH(E1145,Resources!$A$2:$A$500,0)),0)</f>
        <v>16974</v>
      </c>
    </row>
    <row r="1146" customFormat="false" ht="15" hidden="false" customHeight="false" outlineLevel="0" collapsed="false">
      <c r="A1146" s="18" t="s">
        <v>2179</v>
      </c>
      <c r="B1146" s="19" t="n">
        <v>46234</v>
      </c>
      <c r="C1146" s="18" t="s">
        <v>222</v>
      </c>
      <c r="D1146" s="18" t="s">
        <v>872</v>
      </c>
      <c r="E1146" s="18"/>
      <c r="F1146" s="18" t="s">
        <v>353</v>
      </c>
      <c r="G1146" s="18" t="s">
        <v>1026</v>
      </c>
      <c r="H1146" s="30" t="n">
        <v>0</v>
      </c>
      <c r="I1146" s="18" t="s">
        <v>527</v>
      </c>
      <c r="J1146" s="28" t="n">
        <v>2199.21</v>
      </c>
      <c r="K1146" s="12" t="str">
        <f aca="false">TEXT(B1146,"yyyy-mm")</f>
        <v>2026-07</v>
      </c>
      <c r="L1146" s="21" t="str">
        <f aca="false">IFERROR(INDEX(Projects!$E$2:$E$500,MATCH(C1146,Projects!$A$2:$A$500,0)),"")</f>
        <v>Cloud &amp; Infrastructure</v>
      </c>
      <c r="M1146" s="31" t="n">
        <f aca="false">IF(I1146="Yes",H1146*INDEX(Resources!$I$2:$I$500,MATCH(E1146,Resources!$A$2:$A$500,0)),0)</f>
        <v>0</v>
      </c>
    </row>
    <row r="1147" customFormat="false" ht="15" hidden="false" customHeight="false" outlineLevel="0" collapsed="false">
      <c r="A1147" s="18" t="s">
        <v>2180</v>
      </c>
      <c r="B1147" s="19" t="n">
        <v>46234</v>
      </c>
      <c r="C1147" s="18" t="s">
        <v>222</v>
      </c>
      <c r="D1147" s="18" t="s">
        <v>876</v>
      </c>
      <c r="E1147" s="18"/>
      <c r="F1147" s="18" t="s">
        <v>1071</v>
      </c>
      <c r="G1147" s="18" t="s">
        <v>1033</v>
      </c>
      <c r="H1147" s="30" t="n">
        <v>0</v>
      </c>
      <c r="I1147" s="18" t="s">
        <v>527</v>
      </c>
      <c r="J1147" s="28" t="n">
        <v>833.39</v>
      </c>
      <c r="K1147" s="12" t="str">
        <f aca="false">TEXT(B1147,"yyyy-mm")</f>
        <v>2026-07</v>
      </c>
      <c r="L1147" s="21" t="str">
        <f aca="false">IFERROR(INDEX(Projects!$E$2:$E$500,MATCH(C1147,Projects!$A$2:$A$500,0)),"")</f>
        <v>Cloud &amp; Infrastructure</v>
      </c>
      <c r="M1147" s="31" t="n">
        <f aca="false">IF(I1147="Yes",H1147*INDEX(Resources!$I$2:$I$500,MATCH(E1147,Resources!$A$2:$A$500,0)),0)</f>
        <v>0</v>
      </c>
    </row>
    <row r="1148" customFormat="false" ht="15" hidden="false" customHeight="false" outlineLevel="0" collapsed="false">
      <c r="A1148" s="18" t="s">
        <v>2181</v>
      </c>
      <c r="B1148" s="19" t="n">
        <v>46234</v>
      </c>
      <c r="C1148" s="18" t="s">
        <v>228</v>
      </c>
      <c r="D1148" s="18" t="s">
        <v>889</v>
      </c>
      <c r="E1148" s="18"/>
      <c r="F1148" s="18" t="s">
        <v>1035</v>
      </c>
      <c r="G1148" s="18" t="s">
        <v>1026</v>
      </c>
      <c r="H1148" s="30" t="n">
        <v>0</v>
      </c>
      <c r="I1148" s="18" t="s">
        <v>527</v>
      </c>
      <c r="J1148" s="28" t="n">
        <v>3171.66</v>
      </c>
      <c r="K1148" s="12" t="str">
        <f aca="false">TEXT(B1148,"yyyy-mm")</f>
        <v>2026-07</v>
      </c>
      <c r="L1148" s="21" t="str">
        <f aca="false">IFERROR(INDEX(Projects!$E$2:$E$500,MATCH(C1148,Projects!$A$2:$A$500,0)),"")</f>
        <v>Data &amp; AI</v>
      </c>
      <c r="M1148" s="31" t="n">
        <f aca="false">IF(I1148="Yes",H1148*INDEX(Resources!$I$2:$I$500,MATCH(E1148,Resources!$A$2:$A$500,0)),0)</f>
        <v>0</v>
      </c>
    </row>
    <row r="1149" customFormat="false" ht="15" hidden="false" customHeight="false" outlineLevel="0" collapsed="false">
      <c r="A1149" s="18" t="s">
        <v>2182</v>
      </c>
      <c r="B1149" s="19" t="n">
        <v>46234</v>
      </c>
      <c r="C1149" s="18" t="s">
        <v>228</v>
      </c>
      <c r="D1149" s="18" t="s">
        <v>869</v>
      </c>
      <c r="E1149" s="18" t="s">
        <v>231</v>
      </c>
      <c r="F1149" s="18"/>
      <c r="G1149" s="18" t="s">
        <v>1019</v>
      </c>
      <c r="H1149" s="30" t="n">
        <v>65.2</v>
      </c>
      <c r="I1149" s="18" t="s">
        <v>513</v>
      </c>
      <c r="J1149" s="28" t="n">
        <v>6655.62</v>
      </c>
      <c r="K1149" s="12" t="str">
        <f aca="false">TEXT(B1149,"yyyy-mm")</f>
        <v>2026-07</v>
      </c>
      <c r="L1149" s="21" t="str">
        <f aca="false">IFERROR(INDEX(Projects!$E$2:$E$500,MATCH(C1149,Projects!$A$2:$A$500,0)),"")</f>
        <v>Data &amp; AI</v>
      </c>
      <c r="M1149" s="31" t="n">
        <f aca="false">IF(I1149="Yes",H1149*INDEX(Resources!$I$2:$I$500,MATCH(E1149,Resources!$A$2:$A$500,0)),0)</f>
        <v>13366</v>
      </c>
    </row>
    <row r="1150" customFormat="false" ht="15" hidden="false" customHeight="false" outlineLevel="0" collapsed="false">
      <c r="A1150" s="18" t="s">
        <v>2183</v>
      </c>
      <c r="B1150" s="19" t="n">
        <v>46234</v>
      </c>
      <c r="C1150" s="18" t="s">
        <v>228</v>
      </c>
      <c r="D1150" s="18" t="s">
        <v>869</v>
      </c>
      <c r="E1150" s="18" t="s">
        <v>354</v>
      </c>
      <c r="F1150" s="18"/>
      <c r="G1150" s="18" t="s">
        <v>1019</v>
      </c>
      <c r="H1150" s="30" t="n">
        <v>68</v>
      </c>
      <c r="I1150" s="18" t="s">
        <v>513</v>
      </c>
      <c r="J1150" s="28" t="n">
        <v>8834.56</v>
      </c>
      <c r="K1150" s="12" t="str">
        <f aca="false">TEXT(B1150,"yyyy-mm")</f>
        <v>2026-07</v>
      </c>
      <c r="L1150" s="21" t="str">
        <f aca="false">IFERROR(INDEX(Projects!$E$2:$E$500,MATCH(C1150,Projects!$A$2:$A$500,0)),"")</f>
        <v>Data &amp; AI</v>
      </c>
      <c r="M1150" s="31" t="n">
        <f aca="false">IF(I1150="Yes",H1150*INDEX(Resources!$I$2:$I$500,MATCH(E1150,Resources!$A$2:$A$500,0)),0)</f>
        <v>17680</v>
      </c>
    </row>
    <row r="1151" customFormat="false" ht="15" hidden="false" customHeight="false" outlineLevel="0" collapsed="false">
      <c r="A1151" s="18" t="s">
        <v>2184</v>
      </c>
      <c r="B1151" s="19" t="n">
        <v>46234</v>
      </c>
      <c r="C1151" s="18" t="s">
        <v>228</v>
      </c>
      <c r="D1151" s="18" t="s">
        <v>869</v>
      </c>
      <c r="E1151" s="18" t="s">
        <v>417</v>
      </c>
      <c r="F1151" s="18"/>
      <c r="G1151" s="18" t="s">
        <v>1019</v>
      </c>
      <c r="H1151" s="30" t="n">
        <v>93.9</v>
      </c>
      <c r="I1151" s="18" t="s">
        <v>513</v>
      </c>
      <c r="J1151" s="28" t="n">
        <v>5108.16</v>
      </c>
      <c r="K1151" s="12" t="str">
        <f aca="false">TEXT(B1151,"yyyy-mm")</f>
        <v>2026-07</v>
      </c>
      <c r="L1151" s="21" t="str">
        <f aca="false">IFERROR(INDEX(Projects!$E$2:$E$500,MATCH(C1151,Projects!$A$2:$A$500,0)),"")</f>
        <v>Data &amp; AI</v>
      </c>
      <c r="M1151" s="31" t="n">
        <f aca="false">IF(I1151="Yes",H1151*INDEX(Resources!$I$2:$I$500,MATCH(E1151,Resources!$A$2:$A$500,0)),0)</f>
        <v>10329</v>
      </c>
    </row>
    <row r="1152" customFormat="false" ht="15" hidden="false" customHeight="false" outlineLevel="0" collapsed="false">
      <c r="A1152" s="18" t="s">
        <v>2185</v>
      </c>
      <c r="B1152" s="19" t="n">
        <v>46234</v>
      </c>
      <c r="C1152" s="18" t="s">
        <v>228</v>
      </c>
      <c r="D1152" s="18" t="s">
        <v>869</v>
      </c>
      <c r="E1152" s="18" t="s">
        <v>454</v>
      </c>
      <c r="F1152" s="18"/>
      <c r="G1152" s="18" t="s">
        <v>1019</v>
      </c>
      <c r="H1152" s="30" t="n">
        <v>203.4</v>
      </c>
      <c r="I1152" s="18" t="s">
        <v>513</v>
      </c>
      <c r="J1152" s="28" t="n">
        <v>15560.1</v>
      </c>
      <c r="K1152" s="12" t="str">
        <f aca="false">TEXT(B1152,"yyyy-mm")</f>
        <v>2026-07</v>
      </c>
      <c r="L1152" s="21" t="str">
        <f aca="false">IFERROR(INDEX(Projects!$E$2:$E$500,MATCH(C1152,Projects!$A$2:$A$500,0)),"")</f>
        <v>Data &amp; AI</v>
      </c>
      <c r="M1152" s="31" t="n">
        <f aca="false">IF(I1152="Yes",H1152*INDEX(Resources!$I$2:$I$500,MATCH(E1152,Resources!$A$2:$A$500,0)),0)</f>
        <v>31527</v>
      </c>
    </row>
    <row r="1153" customFormat="false" ht="15" hidden="false" customHeight="false" outlineLevel="0" collapsed="false">
      <c r="A1153" s="18" t="s">
        <v>2186</v>
      </c>
      <c r="B1153" s="19" t="n">
        <v>46234</v>
      </c>
      <c r="C1153" s="18" t="s">
        <v>228</v>
      </c>
      <c r="D1153" s="18" t="s">
        <v>869</v>
      </c>
      <c r="E1153" s="18" t="s">
        <v>462</v>
      </c>
      <c r="F1153" s="18"/>
      <c r="G1153" s="18" t="s">
        <v>1019</v>
      </c>
      <c r="H1153" s="30" t="n">
        <v>124.5</v>
      </c>
      <c r="I1153" s="18" t="s">
        <v>513</v>
      </c>
      <c r="J1153" s="28" t="n">
        <v>14153.16</v>
      </c>
      <c r="K1153" s="12" t="str">
        <f aca="false">TEXT(B1153,"yyyy-mm")</f>
        <v>2026-07</v>
      </c>
      <c r="L1153" s="21" t="str">
        <f aca="false">IFERROR(INDEX(Projects!$E$2:$E$500,MATCH(C1153,Projects!$A$2:$A$500,0)),"")</f>
        <v>Data &amp; AI</v>
      </c>
      <c r="M1153" s="31" t="n">
        <f aca="false">IF(I1153="Yes",H1153*INDEX(Resources!$I$2:$I$500,MATCH(E1153,Resources!$A$2:$A$500,0)),0)</f>
        <v>28635</v>
      </c>
    </row>
    <row r="1154" customFormat="false" ht="15" hidden="false" customHeight="false" outlineLevel="0" collapsed="false">
      <c r="A1154" s="18" t="s">
        <v>2187</v>
      </c>
      <c r="B1154" s="19" t="n">
        <v>46234</v>
      </c>
      <c r="C1154" s="18" t="s">
        <v>228</v>
      </c>
      <c r="D1154" s="18" t="s">
        <v>872</v>
      </c>
      <c r="E1154" s="18"/>
      <c r="F1154" s="18" t="s">
        <v>1059</v>
      </c>
      <c r="G1154" s="18" t="s">
        <v>1026</v>
      </c>
      <c r="H1154" s="30" t="n">
        <v>0</v>
      </c>
      <c r="I1154" s="18" t="s">
        <v>527</v>
      </c>
      <c r="J1154" s="28" t="n">
        <v>2137.32</v>
      </c>
      <c r="K1154" s="12" t="str">
        <f aca="false">TEXT(B1154,"yyyy-mm")</f>
        <v>2026-07</v>
      </c>
      <c r="L1154" s="21" t="str">
        <f aca="false">IFERROR(INDEX(Projects!$E$2:$E$500,MATCH(C1154,Projects!$A$2:$A$500,0)),"")</f>
        <v>Data &amp; AI</v>
      </c>
      <c r="M1154" s="31" t="n">
        <f aca="false">IF(I1154="Yes",H1154*INDEX(Resources!$I$2:$I$500,MATCH(E1154,Resources!$A$2:$A$500,0)),0)</f>
        <v>0</v>
      </c>
    </row>
    <row r="1155" customFormat="false" ht="15" hidden="false" customHeight="false" outlineLevel="0" collapsed="false">
      <c r="A1155" s="18" t="s">
        <v>2188</v>
      </c>
      <c r="B1155" s="19" t="n">
        <v>46234</v>
      </c>
      <c r="C1155" s="18" t="s">
        <v>228</v>
      </c>
      <c r="D1155" s="18" t="s">
        <v>876</v>
      </c>
      <c r="E1155" s="18"/>
      <c r="F1155" s="18" t="s">
        <v>1071</v>
      </c>
      <c r="G1155" s="18" t="s">
        <v>1033</v>
      </c>
      <c r="H1155" s="30" t="n">
        <v>0</v>
      </c>
      <c r="I1155" s="18" t="s">
        <v>527</v>
      </c>
      <c r="J1155" s="28" t="n">
        <v>480.22</v>
      </c>
      <c r="K1155" s="12" t="str">
        <f aca="false">TEXT(B1155,"yyyy-mm")</f>
        <v>2026-07</v>
      </c>
      <c r="L1155" s="21" t="str">
        <f aca="false">IFERROR(INDEX(Projects!$E$2:$E$500,MATCH(C1155,Projects!$A$2:$A$500,0)),"")</f>
        <v>Data &amp; AI</v>
      </c>
      <c r="M1155" s="31" t="n">
        <f aca="false">IF(I1155="Yes",H1155*INDEX(Resources!$I$2:$I$500,MATCH(E1155,Resources!$A$2:$A$500,0)),0)</f>
        <v>0</v>
      </c>
    </row>
    <row r="1156" customFormat="false" ht="15" hidden="false" customHeight="false" outlineLevel="0" collapsed="false">
      <c r="A1156" s="18" t="s">
        <v>2189</v>
      </c>
      <c r="B1156" s="19" t="n">
        <v>46234</v>
      </c>
      <c r="C1156" s="18" t="s">
        <v>233</v>
      </c>
      <c r="D1156" s="18" t="s">
        <v>869</v>
      </c>
      <c r="E1156" s="18" t="s">
        <v>237</v>
      </c>
      <c r="F1156" s="18"/>
      <c r="G1156" s="18" t="s">
        <v>1019</v>
      </c>
      <c r="H1156" s="30" t="n">
        <v>107.2</v>
      </c>
      <c r="I1156" s="18" t="s">
        <v>513</v>
      </c>
      <c r="J1156" s="28" t="n">
        <v>8018.56</v>
      </c>
      <c r="K1156" s="12" t="str">
        <f aca="false">TEXT(B1156,"yyyy-mm")</f>
        <v>2026-07</v>
      </c>
      <c r="L1156" s="21" t="str">
        <f aca="false">IFERROR(INDEX(Projects!$E$2:$E$500,MATCH(C1156,Projects!$A$2:$A$500,0)),"")</f>
        <v>Customer Experience</v>
      </c>
      <c r="M1156" s="31" t="n">
        <f aca="false">IF(I1156="Yes",H1156*INDEX(Resources!$I$2:$I$500,MATCH(E1156,Resources!$A$2:$A$500,0)),0)</f>
        <v>16080</v>
      </c>
    </row>
    <row r="1157" customFormat="false" ht="15" hidden="false" customHeight="false" outlineLevel="0" collapsed="false">
      <c r="A1157" s="18" t="s">
        <v>2190</v>
      </c>
      <c r="B1157" s="19" t="n">
        <v>46234</v>
      </c>
      <c r="C1157" s="18" t="s">
        <v>233</v>
      </c>
      <c r="D1157" s="18" t="s">
        <v>869</v>
      </c>
      <c r="E1157" s="18" t="s">
        <v>398</v>
      </c>
      <c r="F1157" s="18"/>
      <c r="G1157" s="18" t="s">
        <v>1019</v>
      </c>
      <c r="H1157" s="30" t="n">
        <v>179.6</v>
      </c>
      <c r="I1157" s="18" t="s">
        <v>513</v>
      </c>
      <c r="J1157" s="28" t="n">
        <v>15366.58</v>
      </c>
      <c r="K1157" s="12" t="str">
        <f aca="false">TEXT(B1157,"yyyy-mm")</f>
        <v>2026-07</v>
      </c>
      <c r="L1157" s="21" t="str">
        <f aca="false">IFERROR(INDEX(Projects!$E$2:$E$500,MATCH(C1157,Projects!$A$2:$A$500,0)),"")</f>
        <v>Customer Experience</v>
      </c>
      <c r="M1157" s="31" t="n">
        <f aca="false">IF(I1157="Yes",H1157*INDEX(Resources!$I$2:$I$500,MATCH(E1157,Resources!$A$2:$A$500,0)),0)</f>
        <v>30532</v>
      </c>
    </row>
    <row r="1158" customFormat="false" ht="15" hidden="false" customHeight="false" outlineLevel="0" collapsed="false">
      <c r="A1158" s="18" t="s">
        <v>2191</v>
      </c>
      <c r="B1158" s="19" t="n">
        <v>46234</v>
      </c>
      <c r="C1158" s="18" t="s">
        <v>233</v>
      </c>
      <c r="D1158" s="18" t="s">
        <v>869</v>
      </c>
      <c r="E1158" s="18" t="s">
        <v>420</v>
      </c>
      <c r="F1158" s="18"/>
      <c r="G1158" s="18" t="s">
        <v>1019</v>
      </c>
      <c r="H1158" s="30" t="n">
        <v>239.5</v>
      </c>
      <c r="I1158" s="18" t="s">
        <v>513</v>
      </c>
      <c r="J1158" s="28" t="n">
        <v>14255.04</v>
      </c>
      <c r="K1158" s="12" t="str">
        <f aca="false">TEXT(B1158,"yyyy-mm")</f>
        <v>2026-07</v>
      </c>
      <c r="L1158" s="21" t="str">
        <f aca="false">IFERROR(INDEX(Projects!$E$2:$E$500,MATCH(C1158,Projects!$A$2:$A$500,0)),"")</f>
        <v>Customer Experience</v>
      </c>
      <c r="M1158" s="31" t="n">
        <f aca="false">IF(I1158="Yes",H1158*INDEX(Resources!$I$2:$I$500,MATCH(E1158,Resources!$A$2:$A$500,0)),0)</f>
        <v>28740</v>
      </c>
    </row>
    <row r="1159" customFormat="false" ht="15" hidden="false" customHeight="false" outlineLevel="0" collapsed="false">
      <c r="A1159" s="18" t="s">
        <v>2192</v>
      </c>
      <c r="B1159" s="19" t="n">
        <v>46234</v>
      </c>
      <c r="C1159" s="18" t="s">
        <v>233</v>
      </c>
      <c r="D1159" s="18" t="s">
        <v>869</v>
      </c>
      <c r="E1159" s="18" t="s">
        <v>444</v>
      </c>
      <c r="F1159" s="18"/>
      <c r="G1159" s="18" t="s">
        <v>1019</v>
      </c>
      <c r="H1159" s="30" t="n">
        <v>115.2</v>
      </c>
      <c r="I1159" s="18" t="s">
        <v>513</v>
      </c>
      <c r="J1159" s="28" t="n">
        <v>5999.62</v>
      </c>
      <c r="K1159" s="12" t="str">
        <f aca="false">TEXT(B1159,"yyyy-mm")</f>
        <v>2026-07</v>
      </c>
      <c r="L1159" s="21" t="str">
        <f aca="false">IFERROR(INDEX(Projects!$E$2:$E$500,MATCH(C1159,Projects!$A$2:$A$500,0)),"")</f>
        <v>Customer Experience</v>
      </c>
      <c r="M1159" s="31" t="n">
        <f aca="false">IF(I1159="Yes",H1159*INDEX(Resources!$I$2:$I$500,MATCH(E1159,Resources!$A$2:$A$500,0)),0)</f>
        <v>12096</v>
      </c>
    </row>
    <row r="1160" customFormat="false" ht="15" hidden="false" customHeight="false" outlineLevel="0" collapsed="false">
      <c r="A1160" s="18" t="s">
        <v>2193</v>
      </c>
      <c r="B1160" s="19" t="n">
        <v>46234</v>
      </c>
      <c r="C1160" s="18" t="s">
        <v>233</v>
      </c>
      <c r="D1160" s="18" t="s">
        <v>872</v>
      </c>
      <c r="E1160" s="18"/>
      <c r="F1160" s="18" t="s">
        <v>353</v>
      </c>
      <c r="G1160" s="18" t="s">
        <v>1026</v>
      </c>
      <c r="H1160" s="30" t="n">
        <v>0</v>
      </c>
      <c r="I1160" s="18" t="s">
        <v>527</v>
      </c>
      <c r="J1160" s="28" t="n">
        <v>2395.47</v>
      </c>
      <c r="K1160" s="12" t="str">
        <f aca="false">TEXT(B1160,"yyyy-mm")</f>
        <v>2026-07</v>
      </c>
      <c r="L1160" s="21" t="str">
        <f aca="false">IFERROR(INDEX(Projects!$E$2:$E$500,MATCH(C1160,Projects!$A$2:$A$500,0)),"")</f>
        <v>Customer Experience</v>
      </c>
      <c r="M1160" s="31" t="n">
        <f aca="false">IF(I1160="Yes",H1160*INDEX(Resources!$I$2:$I$500,MATCH(E1160,Resources!$A$2:$A$500,0)),0)</f>
        <v>0</v>
      </c>
    </row>
    <row r="1161" customFormat="false" ht="15" hidden="false" customHeight="false" outlineLevel="0" collapsed="false">
      <c r="A1161" s="18" t="s">
        <v>2194</v>
      </c>
      <c r="B1161" s="19" t="n">
        <v>46234</v>
      </c>
      <c r="C1161" s="18" t="s">
        <v>233</v>
      </c>
      <c r="D1161" s="18" t="s">
        <v>874</v>
      </c>
      <c r="E1161" s="18"/>
      <c r="F1161" s="18" t="s">
        <v>1028</v>
      </c>
      <c r="G1161" s="18" t="s">
        <v>1026</v>
      </c>
      <c r="H1161" s="30" t="n">
        <v>0</v>
      </c>
      <c r="I1161" s="18" t="s">
        <v>527</v>
      </c>
      <c r="J1161" s="28" t="n">
        <v>3955.12</v>
      </c>
      <c r="K1161" s="12" t="str">
        <f aca="false">TEXT(B1161,"yyyy-mm")</f>
        <v>2026-07</v>
      </c>
      <c r="L1161" s="21" t="str">
        <f aca="false">IFERROR(INDEX(Projects!$E$2:$E$500,MATCH(C1161,Projects!$A$2:$A$500,0)),"")</f>
        <v>Customer Experience</v>
      </c>
      <c r="M1161" s="31" t="n">
        <f aca="false">IF(I1161="Yes",H1161*INDEX(Resources!$I$2:$I$500,MATCH(E1161,Resources!$A$2:$A$500,0)),0)</f>
        <v>0</v>
      </c>
    </row>
    <row r="1162" customFormat="false" ht="15" hidden="false" customHeight="false" outlineLevel="0" collapsed="false">
      <c r="A1162" s="18" t="s">
        <v>2195</v>
      </c>
      <c r="B1162" s="19" t="n">
        <v>46234</v>
      </c>
      <c r="C1162" s="18" t="s">
        <v>233</v>
      </c>
      <c r="D1162" s="18" t="s">
        <v>876</v>
      </c>
      <c r="E1162" s="18"/>
      <c r="F1162" s="18" t="s">
        <v>1071</v>
      </c>
      <c r="G1162" s="18" t="s">
        <v>1033</v>
      </c>
      <c r="H1162" s="30" t="n">
        <v>0</v>
      </c>
      <c r="I1162" s="18" t="s">
        <v>527</v>
      </c>
      <c r="J1162" s="28" t="n">
        <v>742.97</v>
      </c>
      <c r="K1162" s="12" t="str">
        <f aca="false">TEXT(B1162,"yyyy-mm")</f>
        <v>2026-07</v>
      </c>
      <c r="L1162" s="21" t="str">
        <f aca="false">IFERROR(INDEX(Projects!$E$2:$E$500,MATCH(C1162,Projects!$A$2:$A$500,0)),"")</f>
        <v>Customer Experience</v>
      </c>
      <c r="M1162" s="31" t="n">
        <f aca="false">IF(I1162="Yes",H1162*INDEX(Resources!$I$2:$I$500,MATCH(E1162,Resources!$A$2:$A$500,0)),0)</f>
        <v>0</v>
      </c>
    </row>
    <row r="1163" customFormat="false" ht="15" hidden="false" customHeight="false" outlineLevel="0" collapsed="false">
      <c r="A1163" s="18" t="s">
        <v>2196</v>
      </c>
      <c r="B1163" s="19" t="n">
        <v>46234</v>
      </c>
      <c r="C1163" s="18" t="s">
        <v>239</v>
      </c>
      <c r="D1163" s="18" t="s">
        <v>869</v>
      </c>
      <c r="E1163" s="18" t="s">
        <v>242</v>
      </c>
      <c r="F1163" s="18"/>
      <c r="G1163" s="18" t="s">
        <v>1019</v>
      </c>
      <c r="H1163" s="30" t="n">
        <v>98.4</v>
      </c>
      <c r="I1163" s="18" t="s">
        <v>513</v>
      </c>
      <c r="J1163" s="28" t="n">
        <v>9351.94</v>
      </c>
      <c r="K1163" s="12" t="str">
        <f aca="false">TEXT(B1163,"yyyy-mm")</f>
        <v>2026-07</v>
      </c>
      <c r="L1163" s="21" t="str">
        <f aca="false">IFERROR(INDEX(Projects!$E$2:$E$500,MATCH(C1163,Projects!$A$2:$A$500,0)),"")</f>
        <v>Digital Transformation</v>
      </c>
      <c r="M1163" s="31" t="n">
        <f aca="false">IF(I1163="Yes",H1163*INDEX(Resources!$I$2:$I$500,MATCH(E1163,Resources!$A$2:$A$500,0)),0)</f>
        <v>18696</v>
      </c>
    </row>
    <row r="1164" customFormat="false" ht="15" hidden="false" customHeight="false" outlineLevel="0" collapsed="false">
      <c r="A1164" s="18" t="s">
        <v>2197</v>
      </c>
      <c r="B1164" s="19" t="n">
        <v>46234</v>
      </c>
      <c r="C1164" s="18" t="s">
        <v>239</v>
      </c>
      <c r="D1164" s="18" t="s">
        <v>869</v>
      </c>
      <c r="E1164" s="18" t="s">
        <v>360</v>
      </c>
      <c r="F1164" s="18"/>
      <c r="G1164" s="18" t="s">
        <v>1019</v>
      </c>
      <c r="H1164" s="30" t="n">
        <v>84.8</v>
      </c>
      <c r="I1164" s="18" t="s">
        <v>513</v>
      </c>
      <c r="J1164" s="28" t="n">
        <v>8832.77</v>
      </c>
      <c r="K1164" s="12" t="str">
        <f aca="false">TEXT(B1164,"yyyy-mm")</f>
        <v>2026-07</v>
      </c>
      <c r="L1164" s="21" t="str">
        <f aca="false">IFERROR(INDEX(Projects!$E$2:$E$500,MATCH(C1164,Projects!$A$2:$A$500,0)),"")</f>
        <v>Digital Transformation</v>
      </c>
      <c r="M1164" s="31" t="n">
        <f aca="false">IF(I1164="Yes",H1164*INDEX(Resources!$I$2:$I$500,MATCH(E1164,Resources!$A$2:$A$500,0)),0)</f>
        <v>17808</v>
      </c>
    </row>
    <row r="1165" customFormat="false" ht="15" hidden="false" customHeight="false" outlineLevel="0" collapsed="false">
      <c r="A1165" s="18" t="s">
        <v>2198</v>
      </c>
      <c r="B1165" s="19" t="n">
        <v>46234</v>
      </c>
      <c r="C1165" s="18" t="s">
        <v>239</v>
      </c>
      <c r="D1165" s="18" t="s">
        <v>869</v>
      </c>
      <c r="E1165" s="18" t="s">
        <v>371</v>
      </c>
      <c r="F1165" s="18"/>
      <c r="G1165" s="18" t="s">
        <v>1019</v>
      </c>
      <c r="H1165" s="30" t="n">
        <v>98.3</v>
      </c>
      <c r="I1165" s="18" t="s">
        <v>513</v>
      </c>
      <c r="J1165" s="28" t="n">
        <v>6216.49</v>
      </c>
      <c r="K1165" s="12" t="str">
        <f aca="false">TEXT(B1165,"yyyy-mm")</f>
        <v>2026-07</v>
      </c>
      <c r="L1165" s="21" t="str">
        <f aca="false">IFERROR(INDEX(Projects!$E$2:$E$500,MATCH(C1165,Projects!$A$2:$A$500,0)),"")</f>
        <v>Digital Transformation</v>
      </c>
      <c r="M1165" s="31" t="n">
        <f aca="false">IF(I1165="Yes",H1165*INDEX(Resources!$I$2:$I$500,MATCH(E1165,Resources!$A$2:$A$500,0)),0)</f>
        <v>12779</v>
      </c>
    </row>
    <row r="1166" customFormat="false" ht="15" hidden="false" customHeight="false" outlineLevel="0" collapsed="false">
      <c r="A1166" s="18" t="s">
        <v>2199</v>
      </c>
      <c r="B1166" s="19" t="n">
        <v>46234</v>
      </c>
      <c r="C1166" s="18" t="s">
        <v>239</v>
      </c>
      <c r="D1166" s="18" t="s">
        <v>869</v>
      </c>
      <c r="E1166" s="18" t="s">
        <v>400</v>
      </c>
      <c r="F1166" s="18"/>
      <c r="G1166" s="18" t="s">
        <v>1019</v>
      </c>
      <c r="H1166" s="30" t="n">
        <v>132.1</v>
      </c>
      <c r="I1166" s="18" t="s">
        <v>513</v>
      </c>
      <c r="J1166" s="28" t="n">
        <v>13125.46</v>
      </c>
      <c r="K1166" s="12" t="str">
        <f aca="false">TEXT(B1166,"yyyy-mm")</f>
        <v>2026-07</v>
      </c>
      <c r="L1166" s="21" t="str">
        <f aca="false">IFERROR(INDEX(Projects!$E$2:$E$500,MATCH(C1166,Projects!$A$2:$A$500,0)),"")</f>
        <v>Digital Transformation</v>
      </c>
      <c r="M1166" s="31" t="n">
        <f aca="false">IF(I1166="Yes",H1166*INDEX(Resources!$I$2:$I$500,MATCH(E1166,Resources!$A$2:$A$500,0)),0)</f>
        <v>26420</v>
      </c>
    </row>
    <row r="1167" customFormat="false" ht="15" hidden="false" customHeight="false" outlineLevel="0" collapsed="false">
      <c r="A1167" s="18" t="s">
        <v>2200</v>
      </c>
      <c r="B1167" s="19" t="n">
        <v>46234</v>
      </c>
      <c r="C1167" s="18" t="s">
        <v>239</v>
      </c>
      <c r="D1167" s="18" t="s">
        <v>869</v>
      </c>
      <c r="E1167" s="18" t="s">
        <v>422</v>
      </c>
      <c r="F1167" s="18"/>
      <c r="G1167" s="18" t="s">
        <v>1019</v>
      </c>
      <c r="H1167" s="30" t="n">
        <v>82.7</v>
      </c>
      <c r="I1167" s="18" t="s">
        <v>513</v>
      </c>
      <c r="J1167" s="28" t="n">
        <v>4922.3</v>
      </c>
      <c r="K1167" s="12" t="str">
        <f aca="false">TEXT(B1167,"yyyy-mm")</f>
        <v>2026-07</v>
      </c>
      <c r="L1167" s="21" t="str">
        <f aca="false">IFERROR(INDEX(Projects!$E$2:$E$500,MATCH(C1167,Projects!$A$2:$A$500,0)),"")</f>
        <v>Digital Transformation</v>
      </c>
      <c r="M1167" s="31" t="n">
        <f aca="false">IF(I1167="Yes",H1167*INDEX(Resources!$I$2:$I$500,MATCH(E1167,Resources!$A$2:$A$500,0)),0)</f>
        <v>9924</v>
      </c>
    </row>
    <row r="1168" customFormat="false" ht="15" hidden="false" customHeight="false" outlineLevel="0" collapsed="false">
      <c r="A1168" s="18" t="s">
        <v>2201</v>
      </c>
      <c r="B1168" s="19" t="n">
        <v>46234</v>
      </c>
      <c r="C1168" s="18" t="s">
        <v>239</v>
      </c>
      <c r="D1168" s="18" t="s">
        <v>872</v>
      </c>
      <c r="E1168" s="18"/>
      <c r="F1168" s="18" t="s">
        <v>1059</v>
      </c>
      <c r="G1168" s="18" t="s">
        <v>1026</v>
      </c>
      <c r="H1168" s="30" t="n">
        <v>0</v>
      </c>
      <c r="I1168" s="18" t="s">
        <v>527</v>
      </c>
      <c r="J1168" s="28" t="n">
        <v>3886.13</v>
      </c>
      <c r="K1168" s="12" t="str">
        <f aca="false">TEXT(B1168,"yyyy-mm")</f>
        <v>2026-07</v>
      </c>
      <c r="L1168" s="21" t="str">
        <f aca="false">IFERROR(INDEX(Projects!$E$2:$E$500,MATCH(C1168,Projects!$A$2:$A$500,0)),"")</f>
        <v>Digital Transformation</v>
      </c>
      <c r="M1168" s="31" t="n">
        <f aca="false">IF(I1168="Yes",H1168*INDEX(Resources!$I$2:$I$500,MATCH(E1168,Resources!$A$2:$A$500,0)),0)</f>
        <v>0</v>
      </c>
    </row>
    <row r="1169" customFormat="false" ht="15" hidden="false" customHeight="false" outlineLevel="0" collapsed="false">
      <c r="A1169" s="18" t="s">
        <v>2202</v>
      </c>
      <c r="B1169" s="19" t="n">
        <v>46234</v>
      </c>
      <c r="C1169" s="18" t="s">
        <v>239</v>
      </c>
      <c r="D1169" s="18" t="s">
        <v>874</v>
      </c>
      <c r="E1169" s="18"/>
      <c r="F1169" s="18" t="s">
        <v>1028</v>
      </c>
      <c r="G1169" s="18" t="s">
        <v>1026</v>
      </c>
      <c r="H1169" s="30" t="n">
        <v>0</v>
      </c>
      <c r="I1169" s="18" t="s">
        <v>527</v>
      </c>
      <c r="J1169" s="28" t="n">
        <v>4894.34</v>
      </c>
      <c r="K1169" s="12" t="str">
        <f aca="false">TEXT(B1169,"yyyy-mm")</f>
        <v>2026-07</v>
      </c>
      <c r="L1169" s="21" t="str">
        <f aca="false">IFERROR(INDEX(Projects!$E$2:$E$500,MATCH(C1169,Projects!$A$2:$A$500,0)),"")</f>
        <v>Digital Transformation</v>
      </c>
      <c r="M1169" s="31" t="n">
        <f aca="false">IF(I1169="Yes",H1169*INDEX(Resources!$I$2:$I$500,MATCH(E1169,Resources!$A$2:$A$500,0)),0)</f>
        <v>0</v>
      </c>
    </row>
    <row r="1170" customFormat="false" ht="15" hidden="false" customHeight="false" outlineLevel="0" collapsed="false">
      <c r="A1170" s="18" t="s">
        <v>2203</v>
      </c>
      <c r="B1170" s="19" t="n">
        <v>46234</v>
      </c>
      <c r="C1170" s="18" t="s">
        <v>239</v>
      </c>
      <c r="D1170" s="18" t="s">
        <v>495</v>
      </c>
      <c r="E1170" s="18"/>
      <c r="F1170" s="18" t="s">
        <v>1373</v>
      </c>
      <c r="G1170" s="18" t="s">
        <v>1026</v>
      </c>
      <c r="H1170" s="30" t="n">
        <v>0</v>
      </c>
      <c r="I1170" s="18" t="s">
        <v>527</v>
      </c>
      <c r="J1170" s="28" t="n">
        <v>1202.74</v>
      </c>
      <c r="K1170" s="12" t="str">
        <f aca="false">TEXT(B1170,"yyyy-mm")</f>
        <v>2026-07</v>
      </c>
      <c r="L1170" s="21" t="str">
        <f aca="false">IFERROR(INDEX(Projects!$E$2:$E$500,MATCH(C1170,Projects!$A$2:$A$500,0)),"")</f>
        <v>Digital Transformation</v>
      </c>
      <c r="M1170" s="31" t="n">
        <f aca="false">IF(I1170="Yes",H1170*INDEX(Resources!$I$2:$I$500,MATCH(E1170,Resources!$A$2:$A$500,0)),0)</f>
        <v>0</v>
      </c>
    </row>
    <row r="1171" customFormat="false" ht="15" hidden="false" customHeight="false" outlineLevel="0" collapsed="false">
      <c r="A1171" s="18" t="s">
        <v>2204</v>
      </c>
      <c r="B1171" s="19" t="n">
        <v>46234</v>
      </c>
      <c r="C1171" s="18" t="s">
        <v>239</v>
      </c>
      <c r="D1171" s="18" t="s">
        <v>876</v>
      </c>
      <c r="E1171" s="18"/>
      <c r="F1171" s="18" t="s">
        <v>1071</v>
      </c>
      <c r="G1171" s="18" t="s">
        <v>1033</v>
      </c>
      <c r="H1171" s="30" t="n">
        <v>0</v>
      </c>
      <c r="I1171" s="18" t="s">
        <v>527</v>
      </c>
      <c r="J1171" s="28" t="n">
        <v>745.41</v>
      </c>
      <c r="K1171" s="12" t="str">
        <f aca="false">TEXT(B1171,"yyyy-mm")</f>
        <v>2026-07</v>
      </c>
      <c r="L1171" s="21" t="str">
        <f aca="false">IFERROR(INDEX(Projects!$E$2:$E$500,MATCH(C1171,Projects!$A$2:$A$500,0)),"")</f>
        <v>Digital Transformation</v>
      </c>
      <c r="M1171" s="31" t="n">
        <f aca="false">IF(I1171="Yes",H1171*INDEX(Resources!$I$2:$I$500,MATCH(E1171,Resources!$A$2:$A$500,0)),0)</f>
        <v>0</v>
      </c>
    </row>
    <row r="1172" customFormat="false" ht="15" hidden="false" customHeight="false" outlineLevel="0" collapsed="false">
      <c r="A1172" s="18" t="s">
        <v>2205</v>
      </c>
      <c r="B1172" s="19" t="n">
        <v>46234</v>
      </c>
      <c r="C1172" s="18" t="s">
        <v>244</v>
      </c>
      <c r="D1172" s="18" t="s">
        <v>889</v>
      </c>
      <c r="E1172" s="18"/>
      <c r="F1172" s="18" t="s">
        <v>474</v>
      </c>
      <c r="G1172" s="18" t="s">
        <v>1026</v>
      </c>
      <c r="H1172" s="30" t="n">
        <v>0</v>
      </c>
      <c r="I1172" s="18" t="s">
        <v>527</v>
      </c>
      <c r="J1172" s="28" t="n">
        <v>5192.04</v>
      </c>
      <c r="K1172" s="12" t="str">
        <f aca="false">TEXT(B1172,"yyyy-mm")</f>
        <v>2026-07</v>
      </c>
      <c r="L1172" s="21" t="str">
        <f aca="false">IFERROR(INDEX(Projects!$E$2:$E$500,MATCH(C1172,Projects!$A$2:$A$500,0)),"")</f>
        <v>Cloud &amp; Infrastructure</v>
      </c>
      <c r="M1172" s="31" t="n">
        <f aca="false">IF(I1172="Yes",H1172*INDEX(Resources!$I$2:$I$500,MATCH(E1172,Resources!$A$2:$A$500,0)),0)</f>
        <v>0</v>
      </c>
    </row>
    <row r="1173" customFormat="false" ht="15" hidden="false" customHeight="false" outlineLevel="0" collapsed="false">
      <c r="A1173" s="18" t="s">
        <v>2206</v>
      </c>
      <c r="B1173" s="19" t="n">
        <v>46234</v>
      </c>
      <c r="C1173" s="18" t="s">
        <v>244</v>
      </c>
      <c r="D1173" s="18" t="s">
        <v>869</v>
      </c>
      <c r="E1173" s="18" t="s">
        <v>247</v>
      </c>
      <c r="F1173" s="18"/>
      <c r="G1173" s="18" t="s">
        <v>1019</v>
      </c>
      <c r="H1173" s="30" t="n">
        <v>53.9</v>
      </c>
      <c r="I1173" s="18" t="s">
        <v>527</v>
      </c>
      <c r="J1173" s="28" t="n">
        <v>4743.2</v>
      </c>
      <c r="K1173" s="12" t="str">
        <f aca="false">TEXT(B1173,"yyyy-mm")</f>
        <v>2026-07</v>
      </c>
      <c r="L1173" s="21" t="str">
        <f aca="false">IFERROR(INDEX(Projects!$E$2:$E$500,MATCH(C1173,Projects!$A$2:$A$500,0)),"")</f>
        <v>Cloud &amp; Infrastructure</v>
      </c>
      <c r="M1173" s="31" t="n">
        <f aca="false">IF(I1173="Yes",H1173*INDEX(Resources!$I$2:$I$500,MATCH(E1173,Resources!$A$2:$A$500,0)),0)</f>
        <v>0</v>
      </c>
    </row>
    <row r="1174" customFormat="false" ht="15" hidden="false" customHeight="false" outlineLevel="0" collapsed="false">
      <c r="A1174" s="18" t="s">
        <v>2207</v>
      </c>
      <c r="B1174" s="19" t="n">
        <v>46234</v>
      </c>
      <c r="C1174" s="18" t="s">
        <v>244</v>
      </c>
      <c r="D1174" s="18" t="s">
        <v>869</v>
      </c>
      <c r="E1174" s="18" t="s">
        <v>405</v>
      </c>
      <c r="F1174" s="18"/>
      <c r="G1174" s="18" t="s">
        <v>1019</v>
      </c>
      <c r="H1174" s="30" t="n">
        <v>112.8</v>
      </c>
      <c r="I1174" s="18" t="s">
        <v>513</v>
      </c>
      <c r="J1174" s="28" t="n">
        <v>11207.81</v>
      </c>
      <c r="K1174" s="12" t="str">
        <f aca="false">TEXT(B1174,"yyyy-mm")</f>
        <v>2026-07</v>
      </c>
      <c r="L1174" s="21" t="str">
        <f aca="false">IFERROR(INDEX(Projects!$E$2:$E$500,MATCH(C1174,Projects!$A$2:$A$500,0)),"")</f>
        <v>Cloud &amp; Infrastructure</v>
      </c>
      <c r="M1174" s="31" t="n">
        <f aca="false">IF(I1174="Yes",H1174*INDEX(Resources!$I$2:$I$500,MATCH(E1174,Resources!$A$2:$A$500,0)),0)</f>
        <v>22560</v>
      </c>
    </row>
    <row r="1175" customFormat="false" ht="15" hidden="false" customHeight="false" outlineLevel="0" collapsed="false">
      <c r="A1175" s="18" t="s">
        <v>2208</v>
      </c>
      <c r="B1175" s="19" t="n">
        <v>46234</v>
      </c>
      <c r="C1175" s="18" t="s">
        <v>244</v>
      </c>
      <c r="D1175" s="18" t="s">
        <v>869</v>
      </c>
      <c r="E1175" s="18" t="s">
        <v>475</v>
      </c>
      <c r="F1175" s="18"/>
      <c r="G1175" s="18" t="s">
        <v>1019</v>
      </c>
      <c r="H1175" s="30" t="n">
        <v>174</v>
      </c>
      <c r="I1175" s="18" t="s">
        <v>513</v>
      </c>
      <c r="J1175" s="28" t="n">
        <v>20445</v>
      </c>
      <c r="K1175" s="12" t="str">
        <f aca="false">TEXT(B1175,"yyyy-mm")</f>
        <v>2026-07</v>
      </c>
      <c r="L1175" s="21" t="str">
        <f aca="false">IFERROR(INDEX(Projects!$E$2:$E$500,MATCH(C1175,Projects!$A$2:$A$500,0)),"")</f>
        <v>Cloud &amp; Infrastructure</v>
      </c>
      <c r="M1175" s="31" t="n">
        <f aca="false">IF(I1175="Yes",H1175*INDEX(Resources!$I$2:$I$500,MATCH(E1175,Resources!$A$2:$A$500,0)),0)</f>
        <v>33060</v>
      </c>
    </row>
    <row r="1176" customFormat="false" ht="15" hidden="false" customHeight="false" outlineLevel="0" collapsed="false">
      <c r="A1176" s="18" t="s">
        <v>2209</v>
      </c>
      <c r="B1176" s="19" t="n">
        <v>46234</v>
      </c>
      <c r="C1176" s="18" t="s">
        <v>244</v>
      </c>
      <c r="D1176" s="18" t="s">
        <v>869</v>
      </c>
      <c r="E1176" s="18" t="s">
        <v>487</v>
      </c>
      <c r="F1176" s="18"/>
      <c r="G1176" s="18" t="s">
        <v>1019</v>
      </c>
      <c r="H1176" s="30" t="n">
        <v>123.4</v>
      </c>
      <c r="I1176" s="18" t="s">
        <v>513</v>
      </c>
      <c r="J1176" s="28" t="n">
        <v>9869.53</v>
      </c>
      <c r="K1176" s="12" t="str">
        <f aca="false">TEXT(B1176,"yyyy-mm")</f>
        <v>2026-07</v>
      </c>
      <c r="L1176" s="21" t="str">
        <f aca="false">IFERROR(INDEX(Projects!$E$2:$E$500,MATCH(C1176,Projects!$A$2:$A$500,0)),"")</f>
        <v>Cloud &amp; Infrastructure</v>
      </c>
      <c r="M1176" s="31" t="n">
        <f aca="false">IF(I1176="Yes",H1176*INDEX(Resources!$I$2:$I$500,MATCH(E1176,Resources!$A$2:$A$500,0)),0)</f>
        <v>20361</v>
      </c>
    </row>
    <row r="1177" customFormat="false" ht="15" hidden="false" customHeight="false" outlineLevel="0" collapsed="false">
      <c r="A1177" s="18" t="s">
        <v>2210</v>
      </c>
      <c r="B1177" s="19" t="n">
        <v>46234</v>
      </c>
      <c r="C1177" s="18" t="s">
        <v>244</v>
      </c>
      <c r="D1177" s="18" t="s">
        <v>872</v>
      </c>
      <c r="E1177" s="18"/>
      <c r="F1177" s="18" t="s">
        <v>1025</v>
      </c>
      <c r="G1177" s="18" t="s">
        <v>1026</v>
      </c>
      <c r="H1177" s="30" t="n">
        <v>0</v>
      </c>
      <c r="I1177" s="18" t="s">
        <v>527</v>
      </c>
      <c r="J1177" s="28" t="n">
        <v>2440.02</v>
      </c>
      <c r="K1177" s="12" t="str">
        <f aca="false">TEXT(B1177,"yyyy-mm")</f>
        <v>2026-07</v>
      </c>
      <c r="L1177" s="21" t="str">
        <f aca="false">IFERROR(INDEX(Projects!$E$2:$E$500,MATCH(C1177,Projects!$A$2:$A$500,0)),"")</f>
        <v>Cloud &amp; Infrastructure</v>
      </c>
      <c r="M1177" s="31" t="n">
        <f aca="false">IF(I1177="Yes",H1177*INDEX(Resources!$I$2:$I$500,MATCH(E1177,Resources!$A$2:$A$500,0)),0)</f>
        <v>0</v>
      </c>
    </row>
    <row r="1178" customFormat="false" ht="15" hidden="false" customHeight="false" outlineLevel="0" collapsed="false">
      <c r="A1178" s="18" t="s">
        <v>2211</v>
      </c>
      <c r="B1178" s="19" t="n">
        <v>46234</v>
      </c>
      <c r="C1178" s="18" t="s">
        <v>244</v>
      </c>
      <c r="D1178" s="18" t="s">
        <v>876</v>
      </c>
      <c r="E1178" s="18"/>
      <c r="F1178" s="18" t="s">
        <v>1032</v>
      </c>
      <c r="G1178" s="18" t="s">
        <v>1033</v>
      </c>
      <c r="H1178" s="30" t="n">
        <v>0</v>
      </c>
      <c r="I1178" s="18" t="s">
        <v>527</v>
      </c>
      <c r="J1178" s="28" t="n">
        <v>867.33</v>
      </c>
      <c r="K1178" s="12" t="str">
        <f aca="false">TEXT(B1178,"yyyy-mm")</f>
        <v>2026-07</v>
      </c>
      <c r="L1178" s="21" t="str">
        <f aca="false">IFERROR(INDEX(Projects!$E$2:$E$500,MATCH(C1178,Projects!$A$2:$A$500,0)),"")</f>
        <v>Cloud &amp; Infrastructure</v>
      </c>
      <c r="M1178" s="31" t="n">
        <f aca="false">IF(I1178="Yes",H1178*INDEX(Resources!$I$2:$I$500,MATCH(E1178,Resources!$A$2:$A$500,0)),0)</f>
        <v>0</v>
      </c>
    </row>
    <row r="1179" customFormat="false" ht="15" hidden="false" customHeight="false" outlineLevel="0" collapsed="false">
      <c r="A1179" s="18" t="s">
        <v>2212</v>
      </c>
      <c r="B1179" s="19" t="n">
        <v>46234</v>
      </c>
      <c r="C1179" s="18" t="s">
        <v>249</v>
      </c>
      <c r="D1179" s="18" t="s">
        <v>882</v>
      </c>
      <c r="E1179" s="18"/>
      <c r="F1179" s="18" t="s">
        <v>1616</v>
      </c>
      <c r="G1179" s="18" t="s">
        <v>1026</v>
      </c>
      <c r="H1179" s="30" t="n">
        <v>0</v>
      </c>
      <c r="I1179" s="18" t="s">
        <v>527</v>
      </c>
      <c r="J1179" s="28" t="n">
        <v>13460.95</v>
      </c>
      <c r="K1179" s="12" t="str">
        <f aca="false">TEXT(B1179,"yyyy-mm")</f>
        <v>2026-07</v>
      </c>
      <c r="L1179" s="21" t="str">
        <f aca="false">IFERROR(INDEX(Projects!$E$2:$E$500,MATCH(C1179,Projects!$A$2:$A$500,0)),"")</f>
        <v>Operational Excellence</v>
      </c>
      <c r="M1179" s="31" t="n">
        <f aca="false">IF(I1179="Yes",H1179*INDEX(Resources!$I$2:$I$500,MATCH(E1179,Resources!$A$2:$A$500,0)),0)</f>
        <v>0</v>
      </c>
    </row>
    <row r="1180" customFormat="false" ht="15" hidden="false" customHeight="false" outlineLevel="0" collapsed="false">
      <c r="A1180" s="18" t="s">
        <v>2213</v>
      </c>
      <c r="B1180" s="19" t="n">
        <v>46234</v>
      </c>
      <c r="C1180" s="18" t="s">
        <v>249</v>
      </c>
      <c r="D1180" s="18" t="s">
        <v>869</v>
      </c>
      <c r="E1180" s="18" t="s">
        <v>218</v>
      </c>
      <c r="F1180" s="18"/>
      <c r="G1180" s="18" t="s">
        <v>1019</v>
      </c>
      <c r="H1180" s="30" t="n">
        <v>89.1</v>
      </c>
      <c r="I1180" s="18" t="s">
        <v>513</v>
      </c>
      <c r="J1180" s="28" t="n">
        <v>6664.68</v>
      </c>
      <c r="K1180" s="12" t="str">
        <f aca="false">TEXT(B1180,"yyyy-mm")</f>
        <v>2026-07</v>
      </c>
      <c r="L1180" s="21" t="str">
        <f aca="false">IFERROR(INDEX(Projects!$E$2:$E$500,MATCH(C1180,Projects!$A$2:$A$500,0)),"")</f>
        <v>Operational Excellence</v>
      </c>
      <c r="M1180" s="31" t="n">
        <f aca="false">IF(I1180="Yes",H1180*INDEX(Resources!$I$2:$I$500,MATCH(E1180,Resources!$A$2:$A$500,0)),0)</f>
        <v>13365</v>
      </c>
    </row>
    <row r="1181" customFormat="false" ht="15" hidden="false" customHeight="false" outlineLevel="0" collapsed="false">
      <c r="A1181" s="18" t="s">
        <v>2214</v>
      </c>
      <c r="B1181" s="19" t="n">
        <v>46234</v>
      </c>
      <c r="C1181" s="18" t="s">
        <v>249</v>
      </c>
      <c r="D1181" s="18" t="s">
        <v>869</v>
      </c>
      <c r="E1181" s="18" t="s">
        <v>373</v>
      </c>
      <c r="F1181" s="18"/>
      <c r="G1181" s="18" t="s">
        <v>1019</v>
      </c>
      <c r="H1181" s="30" t="n">
        <v>92.7</v>
      </c>
      <c r="I1181" s="18" t="s">
        <v>513</v>
      </c>
      <c r="J1181" s="28" t="n">
        <v>6807.89</v>
      </c>
      <c r="K1181" s="12" t="str">
        <f aca="false">TEXT(B1181,"yyyy-mm")</f>
        <v>2026-07</v>
      </c>
      <c r="L1181" s="21" t="str">
        <f aca="false">IFERROR(INDEX(Projects!$E$2:$E$500,MATCH(C1181,Projects!$A$2:$A$500,0)),"")</f>
        <v>Operational Excellence</v>
      </c>
      <c r="M1181" s="31" t="n">
        <f aca="false">IF(I1181="Yes",H1181*INDEX(Resources!$I$2:$I$500,MATCH(E1181,Resources!$A$2:$A$500,0)),0)</f>
        <v>13905</v>
      </c>
    </row>
    <row r="1182" customFormat="false" ht="15" hidden="false" customHeight="false" outlineLevel="0" collapsed="false">
      <c r="A1182" s="18" t="s">
        <v>2215</v>
      </c>
      <c r="B1182" s="19" t="n">
        <v>46234</v>
      </c>
      <c r="C1182" s="18" t="s">
        <v>249</v>
      </c>
      <c r="D1182" s="18" t="s">
        <v>869</v>
      </c>
      <c r="E1182" s="18" t="s">
        <v>403</v>
      </c>
      <c r="F1182" s="18"/>
      <c r="G1182" s="18" t="s">
        <v>1019</v>
      </c>
      <c r="H1182" s="30" t="n">
        <v>137.2</v>
      </c>
      <c r="I1182" s="18" t="s">
        <v>513</v>
      </c>
      <c r="J1182" s="28" t="n">
        <v>11738.83</v>
      </c>
      <c r="K1182" s="12" t="str">
        <f aca="false">TEXT(B1182,"yyyy-mm")</f>
        <v>2026-07</v>
      </c>
      <c r="L1182" s="21" t="str">
        <f aca="false">IFERROR(INDEX(Projects!$E$2:$E$500,MATCH(C1182,Projects!$A$2:$A$500,0)),"")</f>
        <v>Operational Excellence</v>
      </c>
      <c r="M1182" s="31" t="n">
        <f aca="false">IF(I1182="Yes",H1182*INDEX(Resources!$I$2:$I$500,MATCH(E1182,Resources!$A$2:$A$500,0)),0)</f>
        <v>23324</v>
      </c>
    </row>
    <row r="1183" customFormat="false" ht="15" hidden="false" customHeight="false" outlineLevel="0" collapsed="false">
      <c r="A1183" s="18" t="s">
        <v>2216</v>
      </c>
      <c r="B1183" s="19" t="n">
        <v>46234</v>
      </c>
      <c r="C1183" s="18" t="s">
        <v>249</v>
      </c>
      <c r="D1183" s="18" t="s">
        <v>869</v>
      </c>
      <c r="E1183" s="18" t="s">
        <v>424</v>
      </c>
      <c r="F1183" s="18"/>
      <c r="G1183" s="18" t="s">
        <v>1019</v>
      </c>
      <c r="H1183" s="30" t="n">
        <v>131.6</v>
      </c>
      <c r="I1183" s="18" t="s">
        <v>513</v>
      </c>
      <c r="J1183" s="28" t="n">
        <v>8948.8</v>
      </c>
      <c r="K1183" s="12" t="str">
        <f aca="false">TEXT(B1183,"yyyy-mm")</f>
        <v>2026-07</v>
      </c>
      <c r="L1183" s="21" t="str">
        <f aca="false">IFERROR(INDEX(Projects!$E$2:$E$500,MATCH(C1183,Projects!$A$2:$A$500,0)),"")</f>
        <v>Operational Excellence</v>
      </c>
      <c r="M1183" s="31" t="n">
        <f aca="false">IF(I1183="Yes",H1183*INDEX(Resources!$I$2:$I$500,MATCH(E1183,Resources!$A$2:$A$500,0)),0)</f>
        <v>14476</v>
      </c>
    </row>
    <row r="1184" customFormat="false" ht="15" hidden="false" customHeight="false" outlineLevel="0" collapsed="false">
      <c r="A1184" s="18" t="s">
        <v>2217</v>
      </c>
      <c r="B1184" s="19" t="n">
        <v>46234</v>
      </c>
      <c r="C1184" s="18" t="s">
        <v>249</v>
      </c>
      <c r="D1184" s="18" t="s">
        <v>872</v>
      </c>
      <c r="E1184" s="18"/>
      <c r="F1184" s="18" t="s">
        <v>1924</v>
      </c>
      <c r="G1184" s="18" t="s">
        <v>1026</v>
      </c>
      <c r="H1184" s="30" t="n">
        <v>0</v>
      </c>
      <c r="I1184" s="18" t="s">
        <v>527</v>
      </c>
      <c r="J1184" s="28" t="n">
        <v>1259.43</v>
      </c>
      <c r="K1184" s="12" t="str">
        <f aca="false">TEXT(B1184,"yyyy-mm")</f>
        <v>2026-07</v>
      </c>
      <c r="L1184" s="21" t="str">
        <f aca="false">IFERROR(INDEX(Projects!$E$2:$E$500,MATCH(C1184,Projects!$A$2:$A$500,0)),"")</f>
        <v>Operational Excellence</v>
      </c>
      <c r="M1184" s="31" t="n">
        <f aca="false">IF(I1184="Yes",H1184*INDEX(Resources!$I$2:$I$500,MATCH(E1184,Resources!$A$2:$A$500,0)),0)</f>
        <v>0</v>
      </c>
    </row>
    <row r="1185" customFormat="false" ht="15" hidden="false" customHeight="false" outlineLevel="0" collapsed="false">
      <c r="A1185" s="18" t="s">
        <v>2218</v>
      </c>
      <c r="B1185" s="19" t="n">
        <v>46234</v>
      </c>
      <c r="C1185" s="18" t="s">
        <v>249</v>
      </c>
      <c r="D1185" s="18" t="s">
        <v>495</v>
      </c>
      <c r="E1185" s="18"/>
      <c r="F1185" s="18" t="s">
        <v>1373</v>
      </c>
      <c r="G1185" s="18" t="s">
        <v>1026</v>
      </c>
      <c r="H1185" s="30" t="n">
        <v>0</v>
      </c>
      <c r="I1185" s="18" t="s">
        <v>527</v>
      </c>
      <c r="J1185" s="28" t="n">
        <v>892.53</v>
      </c>
      <c r="K1185" s="12" t="str">
        <f aca="false">TEXT(B1185,"yyyy-mm")</f>
        <v>2026-07</v>
      </c>
      <c r="L1185" s="21" t="str">
        <f aca="false">IFERROR(INDEX(Projects!$E$2:$E$500,MATCH(C1185,Projects!$A$2:$A$500,0)),"")</f>
        <v>Operational Excellence</v>
      </c>
      <c r="M1185" s="31" t="n">
        <f aca="false">IF(I1185="Yes",H1185*INDEX(Resources!$I$2:$I$500,MATCH(E1185,Resources!$A$2:$A$500,0)),0)</f>
        <v>0</v>
      </c>
    </row>
    <row r="1186" customFormat="false" ht="15" hidden="false" customHeight="false" outlineLevel="0" collapsed="false">
      <c r="A1186" s="18" t="s">
        <v>2219</v>
      </c>
      <c r="B1186" s="19" t="n">
        <v>46234</v>
      </c>
      <c r="C1186" s="18" t="s">
        <v>249</v>
      </c>
      <c r="D1186" s="18" t="s">
        <v>876</v>
      </c>
      <c r="E1186" s="18"/>
      <c r="F1186" s="18" t="s">
        <v>1032</v>
      </c>
      <c r="G1186" s="18" t="s">
        <v>1033</v>
      </c>
      <c r="H1186" s="30" t="n">
        <v>0</v>
      </c>
      <c r="I1186" s="18" t="s">
        <v>527</v>
      </c>
      <c r="J1186" s="28" t="n">
        <v>671.65</v>
      </c>
      <c r="K1186" s="12" t="str">
        <f aca="false">TEXT(B1186,"yyyy-mm")</f>
        <v>2026-07</v>
      </c>
      <c r="L1186" s="21" t="str">
        <f aca="false">IFERROR(INDEX(Projects!$E$2:$E$500,MATCH(C1186,Projects!$A$2:$A$500,0)),"")</f>
        <v>Operational Excellence</v>
      </c>
      <c r="M1186" s="31" t="n">
        <f aca="false">IF(I1186="Yes",H1186*INDEX(Resources!$I$2:$I$500,MATCH(E1186,Resources!$A$2:$A$500,0)),0)</f>
        <v>0</v>
      </c>
    </row>
    <row r="1187" customFormat="false" ht="15" hidden="false" customHeight="false" outlineLevel="0" collapsed="false">
      <c r="A1187" s="18" t="s">
        <v>2220</v>
      </c>
      <c r="B1187" s="19" t="n">
        <v>46234</v>
      </c>
      <c r="C1187" s="18" t="s">
        <v>253</v>
      </c>
      <c r="D1187" s="18" t="s">
        <v>869</v>
      </c>
      <c r="E1187" s="18" t="s">
        <v>231</v>
      </c>
      <c r="F1187" s="18"/>
      <c r="G1187" s="18" t="s">
        <v>1019</v>
      </c>
      <c r="H1187" s="30" t="n">
        <v>110.9</v>
      </c>
      <c r="I1187" s="18" t="s">
        <v>513</v>
      </c>
      <c r="J1187" s="28" t="n">
        <v>11320.67</v>
      </c>
      <c r="K1187" s="12" t="str">
        <f aca="false">TEXT(B1187,"yyyy-mm")</f>
        <v>2026-07</v>
      </c>
      <c r="L1187" s="21" t="str">
        <f aca="false">IFERROR(INDEX(Projects!$E$2:$E$500,MATCH(C1187,Projects!$A$2:$A$500,0)),"")</f>
        <v>Customer Experience</v>
      </c>
      <c r="M1187" s="31" t="n">
        <f aca="false">IF(I1187="Yes",H1187*INDEX(Resources!$I$2:$I$500,MATCH(E1187,Resources!$A$2:$A$500,0)),0)</f>
        <v>22734.5</v>
      </c>
    </row>
    <row r="1188" customFormat="false" ht="15" hidden="false" customHeight="false" outlineLevel="0" collapsed="false">
      <c r="A1188" s="18" t="s">
        <v>2221</v>
      </c>
      <c r="B1188" s="19" t="n">
        <v>46234</v>
      </c>
      <c r="C1188" s="18" t="s">
        <v>253</v>
      </c>
      <c r="D1188" s="18" t="s">
        <v>869</v>
      </c>
      <c r="E1188" s="18" t="s">
        <v>407</v>
      </c>
      <c r="F1188" s="18"/>
      <c r="G1188" s="18" t="s">
        <v>1019</v>
      </c>
      <c r="H1188" s="30" t="n">
        <v>246</v>
      </c>
      <c r="I1188" s="18" t="s">
        <v>513</v>
      </c>
      <c r="J1188" s="28" t="n">
        <v>21047.76</v>
      </c>
      <c r="K1188" s="12" t="str">
        <f aca="false">TEXT(B1188,"yyyy-mm")</f>
        <v>2026-07</v>
      </c>
      <c r="L1188" s="21" t="str">
        <f aca="false">IFERROR(INDEX(Projects!$E$2:$E$500,MATCH(C1188,Projects!$A$2:$A$500,0)),"")</f>
        <v>Customer Experience</v>
      </c>
      <c r="M1188" s="31" t="n">
        <f aca="false">IF(I1188="Yes",H1188*INDEX(Resources!$I$2:$I$500,MATCH(E1188,Resources!$A$2:$A$500,0)),0)</f>
        <v>41820</v>
      </c>
    </row>
    <row r="1189" customFormat="false" ht="15" hidden="false" customHeight="false" outlineLevel="0" collapsed="false">
      <c r="A1189" s="18" t="s">
        <v>2222</v>
      </c>
      <c r="B1189" s="19" t="n">
        <v>46234</v>
      </c>
      <c r="C1189" s="18" t="s">
        <v>253</v>
      </c>
      <c r="D1189" s="18" t="s">
        <v>869</v>
      </c>
      <c r="E1189" s="18" t="s">
        <v>426</v>
      </c>
      <c r="F1189" s="18"/>
      <c r="G1189" s="18" t="s">
        <v>1019</v>
      </c>
      <c r="H1189" s="30" t="n">
        <v>113</v>
      </c>
      <c r="I1189" s="18" t="s">
        <v>513</v>
      </c>
      <c r="J1189" s="28" t="n">
        <v>8389.12</v>
      </c>
      <c r="K1189" s="12" t="str">
        <f aca="false">TEXT(B1189,"yyyy-mm")</f>
        <v>2026-07</v>
      </c>
      <c r="L1189" s="21" t="str">
        <f aca="false">IFERROR(INDEX(Projects!$E$2:$E$500,MATCH(C1189,Projects!$A$2:$A$500,0)),"")</f>
        <v>Customer Experience</v>
      </c>
      <c r="M1189" s="31" t="n">
        <f aca="false">IF(I1189="Yes",H1189*INDEX(Resources!$I$2:$I$500,MATCH(E1189,Resources!$A$2:$A$500,0)),0)</f>
        <v>16950</v>
      </c>
    </row>
    <row r="1190" customFormat="false" ht="15" hidden="false" customHeight="false" outlineLevel="0" collapsed="false">
      <c r="A1190" s="18" t="s">
        <v>2223</v>
      </c>
      <c r="B1190" s="19" t="n">
        <v>46234</v>
      </c>
      <c r="C1190" s="18" t="s">
        <v>253</v>
      </c>
      <c r="D1190" s="18" t="s">
        <v>869</v>
      </c>
      <c r="E1190" s="18" t="s">
        <v>446</v>
      </c>
      <c r="F1190" s="18"/>
      <c r="G1190" s="18" t="s">
        <v>1019</v>
      </c>
      <c r="H1190" s="30" t="n">
        <v>123.9</v>
      </c>
      <c r="I1190" s="18" t="s">
        <v>513</v>
      </c>
      <c r="J1190" s="28" t="n">
        <v>6938.4</v>
      </c>
      <c r="K1190" s="12" t="str">
        <f aca="false">TEXT(B1190,"yyyy-mm")</f>
        <v>2026-07</v>
      </c>
      <c r="L1190" s="21" t="str">
        <f aca="false">IFERROR(INDEX(Projects!$E$2:$E$500,MATCH(C1190,Projects!$A$2:$A$500,0)),"")</f>
        <v>Customer Experience</v>
      </c>
      <c r="M1190" s="31" t="n">
        <f aca="false">IF(I1190="Yes",H1190*INDEX(Resources!$I$2:$I$500,MATCH(E1190,Resources!$A$2:$A$500,0)),0)</f>
        <v>14248.5</v>
      </c>
    </row>
    <row r="1191" customFormat="false" ht="15" hidden="false" customHeight="false" outlineLevel="0" collapsed="false">
      <c r="A1191" s="18" t="s">
        <v>2224</v>
      </c>
      <c r="B1191" s="19" t="n">
        <v>46234</v>
      </c>
      <c r="C1191" s="18" t="s">
        <v>253</v>
      </c>
      <c r="D1191" s="18" t="s">
        <v>872</v>
      </c>
      <c r="E1191" s="18"/>
      <c r="F1191" s="18" t="s">
        <v>1025</v>
      </c>
      <c r="G1191" s="18" t="s">
        <v>1026</v>
      </c>
      <c r="H1191" s="30" t="n">
        <v>0</v>
      </c>
      <c r="I1191" s="18" t="s">
        <v>527</v>
      </c>
      <c r="J1191" s="28" t="n">
        <v>3639.44</v>
      </c>
      <c r="K1191" s="12" t="str">
        <f aca="false">TEXT(B1191,"yyyy-mm")</f>
        <v>2026-07</v>
      </c>
      <c r="L1191" s="21" t="str">
        <f aca="false">IFERROR(INDEX(Projects!$E$2:$E$500,MATCH(C1191,Projects!$A$2:$A$500,0)),"")</f>
        <v>Customer Experience</v>
      </c>
      <c r="M1191" s="31" t="n">
        <f aca="false">IF(I1191="Yes",H1191*INDEX(Resources!$I$2:$I$500,MATCH(E1191,Resources!$A$2:$A$500,0)),0)</f>
        <v>0</v>
      </c>
    </row>
    <row r="1192" customFormat="false" ht="15" hidden="false" customHeight="false" outlineLevel="0" collapsed="false">
      <c r="A1192" s="18" t="s">
        <v>2225</v>
      </c>
      <c r="B1192" s="19" t="n">
        <v>46234</v>
      </c>
      <c r="C1192" s="18" t="s">
        <v>253</v>
      </c>
      <c r="D1192" s="18" t="s">
        <v>874</v>
      </c>
      <c r="E1192" s="18"/>
      <c r="F1192" s="18" t="s">
        <v>1224</v>
      </c>
      <c r="G1192" s="18" t="s">
        <v>1026</v>
      </c>
      <c r="H1192" s="30" t="n">
        <v>0</v>
      </c>
      <c r="I1192" s="18" t="s">
        <v>527</v>
      </c>
      <c r="J1192" s="28" t="n">
        <v>3650.77</v>
      </c>
      <c r="K1192" s="12" t="str">
        <f aca="false">TEXT(B1192,"yyyy-mm")</f>
        <v>2026-07</v>
      </c>
      <c r="L1192" s="21" t="str">
        <f aca="false">IFERROR(INDEX(Projects!$E$2:$E$500,MATCH(C1192,Projects!$A$2:$A$500,0)),"")</f>
        <v>Customer Experience</v>
      </c>
      <c r="M1192" s="31" t="n">
        <f aca="false">IF(I1192="Yes",H1192*INDEX(Resources!$I$2:$I$500,MATCH(E1192,Resources!$A$2:$A$500,0)),0)</f>
        <v>0</v>
      </c>
    </row>
    <row r="1193" customFormat="false" ht="15" hidden="false" customHeight="false" outlineLevel="0" collapsed="false">
      <c r="A1193" s="18" t="s">
        <v>2226</v>
      </c>
      <c r="B1193" s="19" t="n">
        <v>46234</v>
      </c>
      <c r="C1193" s="18" t="s">
        <v>253</v>
      </c>
      <c r="D1193" s="18" t="s">
        <v>876</v>
      </c>
      <c r="E1193" s="18"/>
      <c r="F1193" s="18" t="s">
        <v>1071</v>
      </c>
      <c r="G1193" s="18" t="s">
        <v>1033</v>
      </c>
      <c r="H1193" s="30" t="n">
        <v>0</v>
      </c>
      <c r="I1193" s="18" t="s">
        <v>527</v>
      </c>
      <c r="J1193" s="28" t="n">
        <v>757.18</v>
      </c>
      <c r="K1193" s="12" t="str">
        <f aca="false">TEXT(B1193,"yyyy-mm")</f>
        <v>2026-07</v>
      </c>
      <c r="L1193" s="21" t="str">
        <f aca="false">IFERROR(INDEX(Projects!$E$2:$E$500,MATCH(C1193,Projects!$A$2:$A$500,0)),"")</f>
        <v>Customer Experience</v>
      </c>
      <c r="M1193" s="31" t="n">
        <f aca="false">IF(I1193="Yes",H1193*INDEX(Resources!$I$2:$I$500,MATCH(E1193,Resources!$A$2:$A$500,0)),0)</f>
        <v>0</v>
      </c>
    </row>
    <row r="1194" customFormat="false" ht="15" hidden="false" customHeight="false" outlineLevel="0" collapsed="false">
      <c r="A1194" s="18" t="s">
        <v>2227</v>
      </c>
      <c r="B1194" s="19" t="n">
        <v>46234</v>
      </c>
      <c r="C1194" s="18" t="s">
        <v>257</v>
      </c>
      <c r="D1194" s="18" t="s">
        <v>889</v>
      </c>
      <c r="E1194" s="18"/>
      <c r="F1194" s="18" t="s">
        <v>474</v>
      </c>
      <c r="G1194" s="18" t="s">
        <v>1026</v>
      </c>
      <c r="H1194" s="30" t="n">
        <v>0</v>
      </c>
      <c r="I1194" s="18" t="s">
        <v>527</v>
      </c>
      <c r="J1194" s="28" t="n">
        <v>2735.61</v>
      </c>
      <c r="K1194" s="12" t="str">
        <f aca="false">TEXT(B1194,"yyyy-mm")</f>
        <v>2026-07</v>
      </c>
      <c r="L1194" s="21" t="str">
        <f aca="false">IFERROR(INDEX(Projects!$E$2:$E$500,MATCH(C1194,Projects!$A$2:$A$500,0)),"")</f>
        <v>Data &amp; AI</v>
      </c>
      <c r="M1194" s="31" t="n">
        <f aca="false">IF(I1194="Yes",H1194*INDEX(Resources!$I$2:$I$500,MATCH(E1194,Resources!$A$2:$A$500,0)),0)</f>
        <v>0</v>
      </c>
    </row>
    <row r="1195" customFormat="false" ht="15" hidden="false" customHeight="false" outlineLevel="0" collapsed="false">
      <c r="A1195" s="18" t="s">
        <v>2228</v>
      </c>
      <c r="B1195" s="19" t="n">
        <v>46234</v>
      </c>
      <c r="C1195" s="18" t="s">
        <v>257</v>
      </c>
      <c r="D1195" s="18" t="s">
        <v>869</v>
      </c>
      <c r="E1195" s="18" t="s">
        <v>226</v>
      </c>
      <c r="F1195" s="18"/>
      <c r="G1195" s="18" t="s">
        <v>1019</v>
      </c>
      <c r="H1195" s="30" t="n">
        <v>49.2</v>
      </c>
      <c r="I1195" s="18" t="s">
        <v>527</v>
      </c>
      <c r="J1195" s="28" t="n">
        <v>4329.6</v>
      </c>
      <c r="K1195" s="12" t="str">
        <f aca="false">TEXT(B1195,"yyyy-mm")</f>
        <v>2026-07</v>
      </c>
      <c r="L1195" s="21" t="str">
        <f aca="false">IFERROR(INDEX(Projects!$E$2:$E$500,MATCH(C1195,Projects!$A$2:$A$500,0)),"")</f>
        <v>Data &amp; AI</v>
      </c>
      <c r="M1195" s="31" t="n">
        <f aca="false">IF(I1195="Yes",H1195*INDEX(Resources!$I$2:$I$500,MATCH(E1195,Resources!$A$2:$A$500,0)),0)</f>
        <v>0</v>
      </c>
    </row>
    <row r="1196" customFormat="false" ht="15" hidden="false" customHeight="false" outlineLevel="0" collapsed="false">
      <c r="A1196" s="18" t="s">
        <v>2229</v>
      </c>
      <c r="B1196" s="19" t="n">
        <v>46234</v>
      </c>
      <c r="C1196" s="18" t="s">
        <v>257</v>
      </c>
      <c r="D1196" s="18" t="s">
        <v>869</v>
      </c>
      <c r="E1196" s="18" t="s">
        <v>357</v>
      </c>
      <c r="F1196" s="18"/>
      <c r="G1196" s="18" t="s">
        <v>1019</v>
      </c>
      <c r="H1196" s="30" t="n">
        <v>44</v>
      </c>
      <c r="I1196" s="18" t="s">
        <v>513</v>
      </c>
      <c r="J1196" s="28" t="n">
        <v>5322.24</v>
      </c>
      <c r="K1196" s="12" t="str">
        <f aca="false">TEXT(B1196,"yyyy-mm")</f>
        <v>2026-07</v>
      </c>
      <c r="L1196" s="21" t="str">
        <f aca="false">IFERROR(INDEX(Projects!$E$2:$E$500,MATCH(C1196,Projects!$A$2:$A$500,0)),"")</f>
        <v>Data &amp; AI</v>
      </c>
      <c r="M1196" s="31" t="n">
        <f aca="false">IF(I1196="Yes",H1196*INDEX(Resources!$I$2:$I$500,MATCH(E1196,Resources!$A$2:$A$500,0)),0)</f>
        <v>10780</v>
      </c>
    </row>
    <row r="1197" customFormat="false" ht="15" hidden="false" customHeight="false" outlineLevel="0" collapsed="false">
      <c r="A1197" s="18" t="s">
        <v>2230</v>
      </c>
      <c r="B1197" s="19" t="n">
        <v>46234</v>
      </c>
      <c r="C1197" s="18" t="s">
        <v>257</v>
      </c>
      <c r="D1197" s="18" t="s">
        <v>869</v>
      </c>
      <c r="E1197" s="18" t="s">
        <v>428</v>
      </c>
      <c r="F1197" s="18"/>
      <c r="G1197" s="18" t="s">
        <v>1019</v>
      </c>
      <c r="H1197" s="30" t="n">
        <v>87.2</v>
      </c>
      <c r="I1197" s="18" t="s">
        <v>513</v>
      </c>
      <c r="J1197" s="28" t="n">
        <v>4743.68</v>
      </c>
      <c r="K1197" s="12" t="str">
        <f aca="false">TEXT(B1197,"yyyy-mm")</f>
        <v>2026-07</v>
      </c>
      <c r="L1197" s="21" t="str">
        <f aca="false">IFERROR(INDEX(Projects!$E$2:$E$500,MATCH(C1197,Projects!$A$2:$A$500,0)),"")</f>
        <v>Data &amp; AI</v>
      </c>
      <c r="M1197" s="31" t="n">
        <f aca="false">IF(I1197="Yes",H1197*INDEX(Resources!$I$2:$I$500,MATCH(E1197,Resources!$A$2:$A$500,0)),0)</f>
        <v>9592</v>
      </c>
    </row>
    <row r="1198" customFormat="false" ht="15" hidden="false" customHeight="false" outlineLevel="0" collapsed="false">
      <c r="A1198" s="18" t="s">
        <v>2231</v>
      </c>
      <c r="B1198" s="19" t="n">
        <v>46234</v>
      </c>
      <c r="C1198" s="18" t="s">
        <v>257</v>
      </c>
      <c r="D1198" s="18" t="s">
        <v>869</v>
      </c>
      <c r="E1198" s="18" t="s">
        <v>457</v>
      </c>
      <c r="F1198" s="18"/>
      <c r="G1198" s="18" t="s">
        <v>1019</v>
      </c>
      <c r="H1198" s="30" t="n">
        <v>111</v>
      </c>
      <c r="I1198" s="18" t="s">
        <v>513</v>
      </c>
      <c r="J1198" s="28" t="n">
        <v>11588.4</v>
      </c>
      <c r="K1198" s="12" t="str">
        <f aca="false">TEXT(B1198,"yyyy-mm")</f>
        <v>2026-07</v>
      </c>
      <c r="L1198" s="21" t="str">
        <f aca="false">IFERROR(INDEX(Projects!$E$2:$E$500,MATCH(C1198,Projects!$A$2:$A$500,0)),"")</f>
        <v>Data &amp; AI</v>
      </c>
      <c r="M1198" s="31" t="n">
        <f aca="false">IF(I1198="Yes",H1198*INDEX(Resources!$I$2:$I$500,MATCH(E1198,Resources!$A$2:$A$500,0)),0)</f>
        <v>23310</v>
      </c>
    </row>
    <row r="1199" customFormat="false" ht="15" hidden="false" customHeight="false" outlineLevel="0" collapsed="false">
      <c r="A1199" s="18" t="s">
        <v>2232</v>
      </c>
      <c r="B1199" s="19" t="n">
        <v>46234</v>
      </c>
      <c r="C1199" s="18" t="s">
        <v>257</v>
      </c>
      <c r="D1199" s="18" t="s">
        <v>869</v>
      </c>
      <c r="E1199" s="18" t="s">
        <v>466</v>
      </c>
      <c r="F1199" s="18"/>
      <c r="G1199" s="18" t="s">
        <v>1019</v>
      </c>
      <c r="H1199" s="30" t="n">
        <v>150.4</v>
      </c>
      <c r="I1199" s="18" t="s">
        <v>513</v>
      </c>
      <c r="J1199" s="28" t="n">
        <v>14739.2</v>
      </c>
      <c r="K1199" s="12" t="str">
        <f aca="false">TEXT(B1199,"yyyy-mm")</f>
        <v>2026-07</v>
      </c>
      <c r="L1199" s="21" t="str">
        <f aca="false">IFERROR(INDEX(Projects!$E$2:$E$500,MATCH(C1199,Projects!$A$2:$A$500,0)),"")</f>
        <v>Data &amp; AI</v>
      </c>
      <c r="M1199" s="31" t="n">
        <f aca="false">IF(I1199="Yes",H1199*INDEX(Resources!$I$2:$I$500,MATCH(E1199,Resources!$A$2:$A$500,0)),0)</f>
        <v>30080</v>
      </c>
    </row>
    <row r="1200" customFormat="false" ht="15" hidden="false" customHeight="false" outlineLevel="0" collapsed="false">
      <c r="A1200" s="18" t="s">
        <v>2233</v>
      </c>
      <c r="B1200" s="19" t="n">
        <v>46234</v>
      </c>
      <c r="C1200" s="18" t="s">
        <v>257</v>
      </c>
      <c r="D1200" s="18" t="s">
        <v>872</v>
      </c>
      <c r="E1200" s="18"/>
      <c r="F1200" s="18" t="s">
        <v>1059</v>
      </c>
      <c r="G1200" s="18" t="s">
        <v>1026</v>
      </c>
      <c r="H1200" s="30" t="n">
        <v>0</v>
      </c>
      <c r="I1200" s="18" t="s">
        <v>527</v>
      </c>
      <c r="J1200" s="28" t="n">
        <v>2381.25</v>
      </c>
      <c r="K1200" s="12" t="str">
        <f aca="false">TEXT(B1200,"yyyy-mm")</f>
        <v>2026-07</v>
      </c>
      <c r="L1200" s="21" t="str">
        <f aca="false">IFERROR(INDEX(Projects!$E$2:$E$500,MATCH(C1200,Projects!$A$2:$A$500,0)),"")</f>
        <v>Data &amp; AI</v>
      </c>
      <c r="M1200" s="31" t="n">
        <f aca="false">IF(I1200="Yes",H1200*INDEX(Resources!$I$2:$I$500,MATCH(E1200,Resources!$A$2:$A$500,0)),0)</f>
        <v>0</v>
      </c>
    </row>
    <row r="1201" customFormat="false" ht="15" hidden="false" customHeight="false" outlineLevel="0" collapsed="false">
      <c r="A1201" s="18" t="s">
        <v>2234</v>
      </c>
      <c r="B1201" s="19" t="n">
        <v>46234</v>
      </c>
      <c r="C1201" s="18" t="s">
        <v>257</v>
      </c>
      <c r="D1201" s="18" t="s">
        <v>876</v>
      </c>
      <c r="E1201" s="18"/>
      <c r="F1201" s="18" t="s">
        <v>1071</v>
      </c>
      <c r="G1201" s="18" t="s">
        <v>1033</v>
      </c>
      <c r="H1201" s="30" t="n">
        <v>0</v>
      </c>
      <c r="I1201" s="18" t="s">
        <v>527</v>
      </c>
      <c r="J1201" s="28" t="n">
        <v>526</v>
      </c>
      <c r="K1201" s="12" t="str">
        <f aca="false">TEXT(B1201,"yyyy-mm")</f>
        <v>2026-07</v>
      </c>
      <c r="L1201" s="21" t="str">
        <f aca="false">IFERROR(INDEX(Projects!$E$2:$E$500,MATCH(C1201,Projects!$A$2:$A$500,0)),"")</f>
        <v>Data &amp; AI</v>
      </c>
      <c r="M1201" s="31" t="n">
        <f aca="false">IF(I1201="Yes",H1201*INDEX(Resources!$I$2:$I$500,MATCH(E1201,Resources!$A$2:$A$500,0)),0)</f>
        <v>0</v>
      </c>
    </row>
    <row r="1202" customFormat="false" ht="15" hidden="false" customHeight="false" outlineLevel="0" collapsed="false">
      <c r="A1202" s="18" t="s">
        <v>2235</v>
      </c>
      <c r="B1202" s="19" t="n">
        <v>46234</v>
      </c>
      <c r="C1202" s="18" t="s">
        <v>261</v>
      </c>
      <c r="D1202" s="18" t="s">
        <v>889</v>
      </c>
      <c r="E1202" s="18"/>
      <c r="F1202" s="18" t="s">
        <v>1035</v>
      </c>
      <c r="G1202" s="18" t="s">
        <v>1026</v>
      </c>
      <c r="H1202" s="30" t="n">
        <v>0</v>
      </c>
      <c r="I1202" s="18" t="s">
        <v>527</v>
      </c>
      <c r="J1202" s="28" t="n">
        <v>4265.34</v>
      </c>
      <c r="K1202" s="12" t="str">
        <f aca="false">TEXT(B1202,"yyyy-mm")</f>
        <v>2026-07</v>
      </c>
      <c r="L1202" s="21" t="str">
        <f aca="false">IFERROR(INDEX(Projects!$E$2:$E$500,MATCH(C1202,Projects!$A$2:$A$500,0)),"")</f>
        <v>Data &amp; AI</v>
      </c>
      <c r="M1202" s="31" t="n">
        <f aca="false">IF(I1202="Yes",H1202*INDEX(Resources!$I$2:$I$500,MATCH(E1202,Resources!$A$2:$A$500,0)),0)</f>
        <v>0</v>
      </c>
    </row>
    <row r="1203" customFormat="false" ht="15" hidden="false" customHeight="false" outlineLevel="0" collapsed="false">
      <c r="A1203" s="18" t="s">
        <v>2236</v>
      </c>
      <c r="B1203" s="19" t="n">
        <v>46234</v>
      </c>
      <c r="C1203" s="18" t="s">
        <v>261</v>
      </c>
      <c r="D1203" s="18" t="s">
        <v>869</v>
      </c>
      <c r="E1203" s="18" t="s">
        <v>247</v>
      </c>
      <c r="F1203" s="18"/>
      <c r="G1203" s="18" t="s">
        <v>1019</v>
      </c>
      <c r="H1203" s="30" t="n">
        <v>101</v>
      </c>
      <c r="I1203" s="18" t="s">
        <v>513</v>
      </c>
      <c r="J1203" s="28" t="n">
        <v>8888</v>
      </c>
      <c r="K1203" s="12" t="str">
        <f aca="false">TEXT(B1203,"yyyy-mm")</f>
        <v>2026-07</v>
      </c>
      <c r="L1203" s="21" t="str">
        <f aca="false">IFERROR(INDEX(Projects!$E$2:$E$500,MATCH(C1203,Projects!$A$2:$A$500,0)),"")</f>
        <v>Data &amp; AI</v>
      </c>
      <c r="M1203" s="31" t="n">
        <f aca="false">IF(I1203="Yes",H1203*INDEX(Resources!$I$2:$I$500,MATCH(E1203,Resources!$A$2:$A$500,0)),0)</f>
        <v>17675</v>
      </c>
    </row>
    <row r="1204" customFormat="false" ht="15" hidden="false" customHeight="false" outlineLevel="0" collapsed="false">
      <c r="A1204" s="18" t="s">
        <v>2237</v>
      </c>
      <c r="B1204" s="19" t="n">
        <v>46234</v>
      </c>
      <c r="C1204" s="18" t="s">
        <v>261</v>
      </c>
      <c r="D1204" s="18" t="s">
        <v>869</v>
      </c>
      <c r="E1204" s="18" t="s">
        <v>348</v>
      </c>
      <c r="F1204" s="18"/>
      <c r="G1204" s="18" t="s">
        <v>1019</v>
      </c>
      <c r="H1204" s="30" t="n">
        <v>45.1</v>
      </c>
      <c r="I1204" s="18" t="s">
        <v>513</v>
      </c>
      <c r="J1204" s="28" t="n">
        <v>5859.39</v>
      </c>
      <c r="K1204" s="12" t="str">
        <f aca="false">TEXT(B1204,"yyyy-mm")</f>
        <v>2026-07</v>
      </c>
      <c r="L1204" s="21" t="str">
        <f aca="false">IFERROR(INDEX(Projects!$E$2:$E$500,MATCH(C1204,Projects!$A$2:$A$500,0)),"")</f>
        <v>Data &amp; AI</v>
      </c>
      <c r="M1204" s="31" t="n">
        <f aca="false">IF(I1204="Yes",H1204*INDEX(Resources!$I$2:$I$500,MATCH(E1204,Resources!$A$2:$A$500,0)),0)</f>
        <v>11726</v>
      </c>
    </row>
    <row r="1205" customFormat="false" ht="15" hidden="false" customHeight="false" outlineLevel="0" collapsed="false">
      <c r="A1205" s="18" t="s">
        <v>2238</v>
      </c>
      <c r="B1205" s="19" t="n">
        <v>46234</v>
      </c>
      <c r="C1205" s="18" t="s">
        <v>261</v>
      </c>
      <c r="D1205" s="18" t="s">
        <v>869</v>
      </c>
      <c r="E1205" s="18" t="s">
        <v>430</v>
      </c>
      <c r="F1205" s="18"/>
      <c r="G1205" s="18" t="s">
        <v>1019</v>
      </c>
      <c r="H1205" s="30" t="n">
        <v>90.2</v>
      </c>
      <c r="I1205" s="18" t="s">
        <v>513</v>
      </c>
      <c r="J1205" s="28" t="n">
        <v>5772.8</v>
      </c>
      <c r="K1205" s="12" t="str">
        <f aca="false">TEXT(B1205,"yyyy-mm")</f>
        <v>2026-07</v>
      </c>
      <c r="L1205" s="21" t="str">
        <f aca="false">IFERROR(INDEX(Projects!$E$2:$E$500,MATCH(C1205,Projects!$A$2:$A$500,0)),"")</f>
        <v>Data &amp; AI</v>
      </c>
      <c r="M1205" s="31" t="n">
        <f aca="false">IF(I1205="Yes",H1205*INDEX(Resources!$I$2:$I$500,MATCH(E1205,Resources!$A$2:$A$500,0)),0)</f>
        <v>11726</v>
      </c>
    </row>
    <row r="1206" customFormat="false" ht="15" hidden="false" customHeight="false" outlineLevel="0" collapsed="false">
      <c r="A1206" s="18" t="s">
        <v>2239</v>
      </c>
      <c r="B1206" s="19" t="n">
        <v>46234</v>
      </c>
      <c r="C1206" s="18" t="s">
        <v>261</v>
      </c>
      <c r="D1206" s="18" t="s">
        <v>869</v>
      </c>
      <c r="E1206" s="18" t="s">
        <v>459</v>
      </c>
      <c r="F1206" s="18"/>
      <c r="G1206" s="18" t="s">
        <v>1019</v>
      </c>
      <c r="H1206" s="30" t="n">
        <v>134.8</v>
      </c>
      <c r="I1206" s="18" t="s">
        <v>513</v>
      </c>
      <c r="J1206" s="28" t="n">
        <v>13102.56</v>
      </c>
      <c r="K1206" s="12" t="str">
        <f aca="false">TEXT(B1206,"yyyy-mm")</f>
        <v>2026-07</v>
      </c>
      <c r="L1206" s="21" t="str">
        <f aca="false">IFERROR(INDEX(Projects!$E$2:$E$500,MATCH(C1206,Projects!$A$2:$A$500,0)),"")</f>
        <v>Data &amp; AI</v>
      </c>
      <c r="M1206" s="31" t="n">
        <f aca="false">IF(I1206="Yes",H1206*INDEX(Resources!$I$2:$I$500,MATCH(E1206,Resources!$A$2:$A$500,0)),0)</f>
        <v>26286</v>
      </c>
    </row>
    <row r="1207" customFormat="false" ht="15" hidden="false" customHeight="false" outlineLevel="0" collapsed="false">
      <c r="A1207" s="18" t="s">
        <v>2240</v>
      </c>
      <c r="B1207" s="19" t="n">
        <v>46234</v>
      </c>
      <c r="C1207" s="18" t="s">
        <v>261</v>
      </c>
      <c r="D1207" s="18" t="s">
        <v>869</v>
      </c>
      <c r="E1207" s="18" t="s">
        <v>468</v>
      </c>
      <c r="F1207" s="18"/>
      <c r="G1207" s="18" t="s">
        <v>1019</v>
      </c>
      <c r="H1207" s="30" t="n">
        <v>88.8</v>
      </c>
      <c r="I1207" s="18" t="s">
        <v>513</v>
      </c>
      <c r="J1207" s="28" t="n">
        <v>10094.78</v>
      </c>
      <c r="K1207" s="12" t="str">
        <f aca="false">TEXT(B1207,"yyyy-mm")</f>
        <v>2026-07</v>
      </c>
      <c r="L1207" s="21" t="str">
        <f aca="false">IFERROR(INDEX(Projects!$E$2:$E$500,MATCH(C1207,Projects!$A$2:$A$500,0)),"")</f>
        <v>Data &amp; AI</v>
      </c>
      <c r="M1207" s="31" t="n">
        <f aca="false">IF(I1207="Yes",H1207*INDEX(Resources!$I$2:$I$500,MATCH(E1207,Resources!$A$2:$A$500,0)),0)</f>
        <v>20424</v>
      </c>
    </row>
    <row r="1208" customFormat="false" ht="15" hidden="false" customHeight="false" outlineLevel="0" collapsed="false">
      <c r="A1208" s="18" t="s">
        <v>2241</v>
      </c>
      <c r="B1208" s="19" t="n">
        <v>46234</v>
      </c>
      <c r="C1208" s="18" t="s">
        <v>261</v>
      </c>
      <c r="D1208" s="18" t="s">
        <v>872</v>
      </c>
      <c r="E1208" s="18"/>
      <c r="F1208" s="18" t="s">
        <v>1025</v>
      </c>
      <c r="G1208" s="18" t="s">
        <v>1026</v>
      </c>
      <c r="H1208" s="30" t="n">
        <v>0</v>
      </c>
      <c r="I1208" s="18" t="s">
        <v>527</v>
      </c>
      <c r="J1208" s="28" t="n">
        <v>2232.25</v>
      </c>
      <c r="K1208" s="12" t="str">
        <f aca="false">TEXT(B1208,"yyyy-mm")</f>
        <v>2026-07</v>
      </c>
      <c r="L1208" s="21" t="str">
        <f aca="false">IFERROR(INDEX(Projects!$E$2:$E$500,MATCH(C1208,Projects!$A$2:$A$500,0)),"")</f>
        <v>Data &amp; AI</v>
      </c>
      <c r="M1208" s="31" t="n">
        <f aca="false">IF(I1208="Yes",H1208*INDEX(Resources!$I$2:$I$500,MATCH(E1208,Resources!$A$2:$A$500,0)),0)</f>
        <v>0</v>
      </c>
    </row>
    <row r="1209" customFormat="false" ht="15" hidden="false" customHeight="false" outlineLevel="0" collapsed="false">
      <c r="A1209" s="18" t="s">
        <v>2242</v>
      </c>
      <c r="B1209" s="19" t="n">
        <v>46234</v>
      </c>
      <c r="C1209" s="18" t="s">
        <v>261</v>
      </c>
      <c r="D1209" s="18" t="s">
        <v>876</v>
      </c>
      <c r="E1209" s="18"/>
      <c r="F1209" s="18" t="s">
        <v>1032</v>
      </c>
      <c r="G1209" s="18" t="s">
        <v>1033</v>
      </c>
      <c r="H1209" s="30" t="n">
        <v>0</v>
      </c>
      <c r="I1209" s="18" t="s">
        <v>527</v>
      </c>
      <c r="J1209" s="28" t="n">
        <v>653.68</v>
      </c>
      <c r="K1209" s="12" t="str">
        <f aca="false">TEXT(B1209,"yyyy-mm")</f>
        <v>2026-07</v>
      </c>
      <c r="L1209" s="21" t="str">
        <f aca="false">IFERROR(INDEX(Projects!$E$2:$E$500,MATCH(C1209,Projects!$A$2:$A$500,0)),"")</f>
        <v>Data &amp; AI</v>
      </c>
      <c r="M1209" s="31" t="n">
        <f aca="false">IF(I1209="Yes",H1209*INDEX(Resources!$I$2:$I$500,MATCH(E1209,Resources!$A$2:$A$500,0)),0)</f>
        <v>0</v>
      </c>
    </row>
    <row r="1210" customFormat="false" ht="15" hidden="false" customHeight="false" outlineLevel="0" collapsed="false">
      <c r="A1210" s="18" t="s">
        <v>2243</v>
      </c>
      <c r="B1210" s="19" t="n">
        <v>46234</v>
      </c>
      <c r="C1210" s="18" t="s">
        <v>265</v>
      </c>
      <c r="D1210" s="18" t="s">
        <v>869</v>
      </c>
      <c r="E1210" s="18" t="s">
        <v>211</v>
      </c>
      <c r="F1210" s="18"/>
      <c r="G1210" s="18" t="s">
        <v>1019</v>
      </c>
      <c r="H1210" s="30" t="n">
        <v>109.4</v>
      </c>
      <c r="I1210" s="18" t="s">
        <v>513</v>
      </c>
      <c r="J1210" s="28" t="n">
        <v>11167.55</v>
      </c>
      <c r="K1210" s="12" t="str">
        <f aca="false">TEXT(B1210,"yyyy-mm")</f>
        <v>2026-07</v>
      </c>
      <c r="L1210" s="21" t="str">
        <f aca="false">IFERROR(INDEX(Projects!$E$2:$E$500,MATCH(C1210,Projects!$A$2:$A$500,0)),"")</f>
        <v>Digital Transformation</v>
      </c>
      <c r="M1210" s="31" t="n">
        <f aca="false">IF(I1210="Yes",H1210*INDEX(Resources!$I$2:$I$500,MATCH(E1210,Resources!$A$2:$A$500,0)),0)</f>
        <v>22427</v>
      </c>
    </row>
    <row r="1211" customFormat="false" ht="15" hidden="false" customHeight="false" outlineLevel="0" collapsed="false">
      <c r="A1211" s="18" t="s">
        <v>2244</v>
      </c>
      <c r="B1211" s="19" t="n">
        <v>46234</v>
      </c>
      <c r="C1211" s="18" t="s">
        <v>265</v>
      </c>
      <c r="D1211" s="18" t="s">
        <v>869</v>
      </c>
      <c r="E1211" s="18" t="s">
        <v>375</v>
      </c>
      <c r="F1211" s="18"/>
      <c r="G1211" s="18" t="s">
        <v>1019</v>
      </c>
      <c r="H1211" s="30" t="n">
        <v>188</v>
      </c>
      <c r="I1211" s="18" t="s">
        <v>513</v>
      </c>
      <c r="J1211" s="28" t="n">
        <v>13583</v>
      </c>
      <c r="K1211" s="12" t="str">
        <f aca="false">TEXT(B1211,"yyyy-mm")</f>
        <v>2026-07</v>
      </c>
      <c r="L1211" s="21" t="str">
        <f aca="false">IFERROR(INDEX(Projects!$E$2:$E$500,MATCH(C1211,Projects!$A$2:$A$500,0)),"")</f>
        <v>Digital Transformation</v>
      </c>
      <c r="M1211" s="31" t="n">
        <f aca="false">IF(I1211="Yes",H1211*INDEX(Resources!$I$2:$I$500,MATCH(E1211,Resources!$A$2:$A$500,0)),0)</f>
        <v>22560</v>
      </c>
    </row>
    <row r="1212" customFormat="false" ht="15" hidden="false" customHeight="false" outlineLevel="0" collapsed="false">
      <c r="A1212" s="18" t="s">
        <v>2245</v>
      </c>
      <c r="B1212" s="19" t="n">
        <v>46234</v>
      </c>
      <c r="C1212" s="18" t="s">
        <v>265</v>
      </c>
      <c r="D1212" s="18" t="s">
        <v>869</v>
      </c>
      <c r="E1212" s="18" t="s">
        <v>403</v>
      </c>
      <c r="F1212" s="18"/>
      <c r="G1212" s="18" t="s">
        <v>1019</v>
      </c>
      <c r="H1212" s="30" t="n">
        <v>176.6</v>
      </c>
      <c r="I1212" s="18" t="s">
        <v>513</v>
      </c>
      <c r="J1212" s="28" t="n">
        <v>15109.9</v>
      </c>
      <c r="K1212" s="12" t="str">
        <f aca="false">TEXT(B1212,"yyyy-mm")</f>
        <v>2026-07</v>
      </c>
      <c r="L1212" s="21" t="str">
        <f aca="false">IFERROR(INDEX(Projects!$E$2:$E$500,MATCH(C1212,Projects!$A$2:$A$500,0)),"")</f>
        <v>Digital Transformation</v>
      </c>
      <c r="M1212" s="31" t="n">
        <f aca="false">IF(I1212="Yes",H1212*INDEX(Resources!$I$2:$I$500,MATCH(E1212,Resources!$A$2:$A$500,0)),0)</f>
        <v>30022</v>
      </c>
    </row>
    <row r="1213" customFormat="false" ht="15" hidden="false" customHeight="false" outlineLevel="0" collapsed="false">
      <c r="A1213" s="18" t="s">
        <v>2246</v>
      </c>
      <c r="B1213" s="19" t="n">
        <v>46234</v>
      </c>
      <c r="C1213" s="18" t="s">
        <v>265</v>
      </c>
      <c r="D1213" s="18" t="s">
        <v>869</v>
      </c>
      <c r="E1213" s="18" t="s">
        <v>432</v>
      </c>
      <c r="F1213" s="18"/>
      <c r="G1213" s="18" t="s">
        <v>1019</v>
      </c>
      <c r="H1213" s="30" t="n">
        <v>112</v>
      </c>
      <c r="I1213" s="18" t="s">
        <v>513</v>
      </c>
      <c r="J1213" s="28" t="n">
        <v>7168</v>
      </c>
      <c r="K1213" s="12" t="str">
        <f aca="false">TEXT(B1213,"yyyy-mm")</f>
        <v>2026-07</v>
      </c>
      <c r="L1213" s="21" t="str">
        <f aca="false">IFERROR(INDEX(Projects!$E$2:$E$500,MATCH(C1213,Projects!$A$2:$A$500,0)),"")</f>
        <v>Digital Transformation</v>
      </c>
      <c r="M1213" s="31" t="n">
        <f aca="false">IF(I1213="Yes",H1213*INDEX(Resources!$I$2:$I$500,MATCH(E1213,Resources!$A$2:$A$500,0)),0)</f>
        <v>14560</v>
      </c>
    </row>
    <row r="1214" customFormat="false" ht="15" hidden="false" customHeight="false" outlineLevel="0" collapsed="false">
      <c r="A1214" s="18" t="s">
        <v>2247</v>
      </c>
      <c r="B1214" s="19" t="n">
        <v>46234</v>
      </c>
      <c r="C1214" s="18" t="s">
        <v>265</v>
      </c>
      <c r="D1214" s="18" t="s">
        <v>869</v>
      </c>
      <c r="E1214" s="18" t="s">
        <v>448</v>
      </c>
      <c r="F1214" s="18"/>
      <c r="G1214" s="18" t="s">
        <v>1019</v>
      </c>
      <c r="H1214" s="30" t="n">
        <v>128</v>
      </c>
      <c r="I1214" s="18" t="s">
        <v>513</v>
      </c>
      <c r="J1214" s="28" t="n">
        <v>8314.88</v>
      </c>
      <c r="K1214" s="12" t="str">
        <f aca="false">TEXT(B1214,"yyyy-mm")</f>
        <v>2026-07</v>
      </c>
      <c r="L1214" s="21" t="str">
        <f aca="false">IFERROR(INDEX(Projects!$E$2:$E$500,MATCH(C1214,Projects!$A$2:$A$500,0)),"")</f>
        <v>Digital Transformation</v>
      </c>
      <c r="M1214" s="31" t="n">
        <f aca="false">IF(I1214="Yes",H1214*INDEX(Resources!$I$2:$I$500,MATCH(E1214,Resources!$A$2:$A$500,0)),0)</f>
        <v>17280</v>
      </c>
    </row>
    <row r="1215" customFormat="false" ht="15" hidden="false" customHeight="false" outlineLevel="0" collapsed="false">
      <c r="A1215" s="18" t="s">
        <v>2248</v>
      </c>
      <c r="B1215" s="19" t="n">
        <v>46234</v>
      </c>
      <c r="C1215" s="18" t="s">
        <v>265</v>
      </c>
      <c r="D1215" s="18" t="s">
        <v>869</v>
      </c>
      <c r="E1215" s="18" t="s">
        <v>496</v>
      </c>
      <c r="F1215" s="18"/>
      <c r="G1215" s="18" t="s">
        <v>1019</v>
      </c>
      <c r="H1215" s="30" t="n">
        <v>45.3</v>
      </c>
      <c r="I1215" s="18" t="s">
        <v>513</v>
      </c>
      <c r="J1215" s="28" t="n">
        <v>3522.53</v>
      </c>
      <c r="K1215" s="12" t="str">
        <f aca="false">TEXT(B1215,"yyyy-mm")</f>
        <v>2026-07</v>
      </c>
      <c r="L1215" s="21" t="str">
        <f aca="false">IFERROR(INDEX(Projects!$E$2:$E$500,MATCH(C1215,Projects!$A$2:$A$500,0)),"")</f>
        <v>Digital Transformation</v>
      </c>
      <c r="M1215" s="31" t="n">
        <f aca="false">IF(I1215="Yes",H1215*INDEX(Resources!$I$2:$I$500,MATCH(E1215,Resources!$A$2:$A$500,0)),0)</f>
        <v>7248</v>
      </c>
    </row>
    <row r="1216" customFormat="false" ht="15" hidden="false" customHeight="false" outlineLevel="0" collapsed="false">
      <c r="A1216" s="18" t="s">
        <v>2249</v>
      </c>
      <c r="B1216" s="19" t="n">
        <v>46234</v>
      </c>
      <c r="C1216" s="18" t="s">
        <v>265</v>
      </c>
      <c r="D1216" s="18" t="s">
        <v>872</v>
      </c>
      <c r="E1216" s="18"/>
      <c r="F1216" s="18" t="s">
        <v>353</v>
      </c>
      <c r="G1216" s="18" t="s">
        <v>1026</v>
      </c>
      <c r="H1216" s="30" t="n">
        <v>0</v>
      </c>
      <c r="I1216" s="18" t="s">
        <v>527</v>
      </c>
      <c r="J1216" s="28" t="n">
        <v>3714.47</v>
      </c>
      <c r="K1216" s="12" t="str">
        <f aca="false">TEXT(B1216,"yyyy-mm")</f>
        <v>2026-07</v>
      </c>
      <c r="L1216" s="21" t="str">
        <f aca="false">IFERROR(INDEX(Projects!$E$2:$E$500,MATCH(C1216,Projects!$A$2:$A$500,0)),"")</f>
        <v>Digital Transformation</v>
      </c>
      <c r="M1216" s="31" t="n">
        <f aca="false">IF(I1216="Yes",H1216*INDEX(Resources!$I$2:$I$500,MATCH(E1216,Resources!$A$2:$A$500,0)),0)</f>
        <v>0</v>
      </c>
    </row>
    <row r="1217" customFormat="false" ht="15" hidden="false" customHeight="false" outlineLevel="0" collapsed="false">
      <c r="A1217" s="18" t="s">
        <v>2250</v>
      </c>
      <c r="B1217" s="19" t="n">
        <v>46234</v>
      </c>
      <c r="C1217" s="18" t="s">
        <v>265</v>
      </c>
      <c r="D1217" s="18" t="s">
        <v>874</v>
      </c>
      <c r="E1217" s="18"/>
      <c r="F1217" s="18" t="s">
        <v>1028</v>
      </c>
      <c r="G1217" s="18" t="s">
        <v>1026</v>
      </c>
      <c r="H1217" s="30" t="n">
        <v>0</v>
      </c>
      <c r="I1217" s="18" t="s">
        <v>527</v>
      </c>
      <c r="J1217" s="28" t="n">
        <v>5277.59</v>
      </c>
      <c r="K1217" s="12" t="str">
        <f aca="false">TEXT(B1217,"yyyy-mm")</f>
        <v>2026-07</v>
      </c>
      <c r="L1217" s="21" t="str">
        <f aca="false">IFERROR(INDEX(Projects!$E$2:$E$500,MATCH(C1217,Projects!$A$2:$A$500,0)),"")</f>
        <v>Digital Transformation</v>
      </c>
      <c r="M1217" s="31" t="n">
        <f aca="false">IF(I1217="Yes",H1217*INDEX(Resources!$I$2:$I$500,MATCH(E1217,Resources!$A$2:$A$500,0)),0)</f>
        <v>0</v>
      </c>
    </row>
    <row r="1218" customFormat="false" ht="15" hidden="false" customHeight="false" outlineLevel="0" collapsed="false">
      <c r="A1218" s="18" t="s">
        <v>2251</v>
      </c>
      <c r="B1218" s="19" t="n">
        <v>46234</v>
      </c>
      <c r="C1218" s="18" t="s">
        <v>265</v>
      </c>
      <c r="D1218" s="18" t="s">
        <v>495</v>
      </c>
      <c r="E1218" s="18"/>
      <c r="F1218" s="18" t="s">
        <v>1030</v>
      </c>
      <c r="G1218" s="18" t="s">
        <v>1026</v>
      </c>
      <c r="H1218" s="30" t="n">
        <v>0</v>
      </c>
      <c r="I1218" s="18" t="s">
        <v>527</v>
      </c>
      <c r="J1218" s="28" t="n">
        <v>1507.83</v>
      </c>
      <c r="K1218" s="12" t="str">
        <f aca="false">TEXT(B1218,"yyyy-mm")</f>
        <v>2026-07</v>
      </c>
      <c r="L1218" s="21" t="str">
        <f aca="false">IFERROR(INDEX(Projects!$E$2:$E$500,MATCH(C1218,Projects!$A$2:$A$500,0)),"")</f>
        <v>Digital Transformation</v>
      </c>
      <c r="M1218" s="31" t="n">
        <f aca="false">IF(I1218="Yes",H1218*INDEX(Resources!$I$2:$I$500,MATCH(E1218,Resources!$A$2:$A$500,0)),0)</f>
        <v>0</v>
      </c>
    </row>
    <row r="1219" customFormat="false" ht="15" hidden="false" customHeight="false" outlineLevel="0" collapsed="false">
      <c r="A1219" s="18" t="s">
        <v>2252</v>
      </c>
      <c r="B1219" s="19" t="n">
        <v>46234</v>
      </c>
      <c r="C1219" s="18" t="s">
        <v>265</v>
      </c>
      <c r="D1219" s="18" t="s">
        <v>876</v>
      </c>
      <c r="E1219" s="18"/>
      <c r="F1219" s="18" t="s">
        <v>1032</v>
      </c>
      <c r="G1219" s="18" t="s">
        <v>1033</v>
      </c>
      <c r="H1219" s="30" t="n">
        <v>0</v>
      </c>
      <c r="I1219" s="18" t="s">
        <v>527</v>
      </c>
      <c r="J1219" s="28" t="n">
        <v>1218.21</v>
      </c>
      <c r="K1219" s="12" t="str">
        <f aca="false">TEXT(B1219,"yyyy-mm")</f>
        <v>2026-07</v>
      </c>
      <c r="L1219" s="21" t="str">
        <f aca="false">IFERROR(INDEX(Projects!$E$2:$E$500,MATCH(C1219,Projects!$A$2:$A$500,0)),"")</f>
        <v>Digital Transformation</v>
      </c>
      <c r="M1219" s="31" t="n">
        <f aca="false">IF(I1219="Yes",H1219*INDEX(Resources!$I$2:$I$500,MATCH(E1219,Resources!$A$2:$A$500,0)),0)</f>
        <v>0</v>
      </c>
    </row>
    <row r="1220" customFormat="false" ht="15" hidden="false" customHeight="false" outlineLevel="0" collapsed="false">
      <c r="A1220" s="18" t="s">
        <v>2253</v>
      </c>
      <c r="B1220" s="19" t="n">
        <v>46234</v>
      </c>
      <c r="C1220" s="18" t="s">
        <v>267</v>
      </c>
      <c r="D1220" s="18" t="s">
        <v>889</v>
      </c>
      <c r="E1220" s="18"/>
      <c r="F1220" s="18" t="s">
        <v>1035</v>
      </c>
      <c r="G1220" s="18" t="s">
        <v>1026</v>
      </c>
      <c r="H1220" s="30" t="n">
        <v>0</v>
      </c>
      <c r="I1220" s="18" t="s">
        <v>527</v>
      </c>
      <c r="J1220" s="28" t="n">
        <v>5693.66</v>
      </c>
      <c r="K1220" s="12" t="str">
        <f aca="false">TEXT(B1220,"yyyy-mm")</f>
        <v>2026-07</v>
      </c>
      <c r="L1220" s="21" t="str">
        <f aca="false">IFERROR(INDEX(Projects!$E$2:$E$500,MATCH(C1220,Projects!$A$2:$A$500,0)),"")</f>
        <v>Cloud &amp; Infrastructure</v>
      </c>
      <c r="M1220" s="31" t="n">
        <f aca="false">IF(I1220="Yes",H1220*INDEX(Resources!$I$2:$I$500,MATCH(E1220,Resources!$A$2:$A$500,0)),0)</f>
        <v>0</v>
      </c>
    </row>
    <row r="1221" customFormat="false" ht="15" hidden="false" customHeight="false" outlineLevel="0" collapsed="false">
      <c r="A1221" s="18" t="s">
        <v>2254</v>
      </c>
      <c r="B1221" s="19" t="n">
        <v>46234</v>
      </c>
      <c r="C1221" s="18" t="s">
        <v>267</v>
      </c>
      <c r="D1221" s="18" t="s">
        <v>869</v>
      </c>
      <c r="E1221" s="18" t="s">
        <v>242</v>
      </c>
      <c r="F1221" s="18"/>
      <c r="G1221" s="18" t="s">
        <v>1019</v>
      </c>
      <c r="H1221" s="30" t="n">
        <v>47.3</v>
      </c>
      <c r="I1221" s="18" t="s">
        <v>513</v>
      </c>
      <c r="J1221" s="28" t="n">
        <v>4495.39</v>
      </c>
      <c r="K1221" s="12" t="str">
        <f aca="false">TEXT(B1221,"yyyy-mm")</f>
        <v>2026-07</v>
      </c>
      <c r="L1221" s="21" t="str">
        <f aca="false">IFERROR(INDEX(Projects!$E$2:$E$500,MATCH(C1221,Projects!$A$2:$A$500,0)),"")</f>
        <v>Cloud &amp; Infrastructure</v>
      </c>
      <c r="M1221" s="31" t="n">
        <f aca="false">IF(I1221="Yes",H1221*INDEX(Resources!$I$2:$I$500,MATCH(E1221,Resources!$A$2:$A$500,0)),0)</f>
        <v>8987</v>
      </c>
    </row>
    <row r="1222" customFormat="false" ht="15" hidden="false" customHeight="false" outlineLevel="0" collapsed="false">
      <c r="A1222" s="18" t="s">
        <v>2255</v>
      </c>
      <c r="B1222" s="19" t="n">
        <v>46234</v>
      </c>
      <c r="C1222" s="18" t="s">
        <v>267</v>
      </c>
      <c r="D1222" s="18" t="s">
        <v>869</v>
      </c>
      <c r="E1222" s="18" t="s">
        <v>405</v>
      </c>
      <c r="F1222" s="18"/>
      <c r="G1222" s="18" t="s">
        <v>1019</v>
      </c>
      <c r="H1222" s="30" t="n">
        <v>90</v>
      </c>
      <c r="I1222" s="18" t="s">
        <v>513</v>
      </c>
      <c r="J1222" s="28" t="n">
        <v>8942.4</v>
      </c>
      <c r="K1222" s="12" t="str">
        <f aca="false">TEXT(B1222,"yyyy-mm")</f>
        <v>2026-07</v>
      </c>
      <c r="L1222" s="21" t="str">
        <f aca="false">IFERROR(INDEX(Projects!$E$2:$E$500,MATCH(C1222,Projects!$A$2:$A$500,0)),"")</f>
        <v>Cloud &amp; Infrastructure</v>
      </c>
      <c r="M1222" s="31" t="n">
        <f aca="false">IF(I1222="Yes",H1222*INDEX(Resources!$I$2:$I$500,MATCH(E1222,Resources!$A$2:$A$500,0)),0)</f>
        <v>18000</v>
      </c>
    </row>
    <row r="1223" customFormat="false" ht="15" hidden="false" customHeight="false" outlineLevel="0" collapsed="false">
      <c r="A1223" s="18" t="s">
        <v>2256</v>
      </c>
      <c r="B1223" s="19" t="n">
        <v>46234</v>
      </c>
      <c r="C1223" s="18" t="s">
        <v>267</v>
      </c>
      <c r="D1223" s="18" t="s">
        <v>869</v>
      </c>
      <c r="E1223" s="18" t="s">
        <v>477</v>
      </c>
      <c r="F1223" s="18"/>
      <c r="G1223" s="18" t="s">
        <v>1019</v>
      </c>
      <c r="H1223" s="30" t="n">
        <v>125.3</v>
      </c>
      <c r="I1223" s="18" t="s">
        <v>513</v>
      </c>
      <c r="J1223" s="28" t="n">
        <v>13662.71</v>
      </c>
      <c r="K1223" s="12" t="str">
        <f aca="false">TEXT(B1223,"yyyy-mm")</f>
        <v>2026-07</v>
      </c>
      <c r="L1223" s="21" t="str">
        <f aca="false">IFERROR(INDEX(Projects!$E$2:$E$500,MATCH(C1223,Projects!$A$2:$A$500,0)),"")</f>
        <v>Cloud &amp; Infrastructure</v>
      </c>
      <c r="M1223" s="31" t="n">
        <f aca="false">IF(I1223="Yes",H1223*INDEX(Resources!$I$2:$I$500,MATCH(E1223,Resources!$A$2:$A$500,0)),0)</f>
        <v>27566</v>
      </c>
    </row>
    <row r="1224" customFormat="false" ht="15" hidden="false" customHeight="false" outlineLevel="0" collapsed="false">
      <c r="A1224" s="18" t="s">
        <v>2257</v>
      </c>
      <c r="B1224" s="19" t="n">
        <v>46234</v>
      </c>
      <c r="C1224" s="18" t="s">
        <v>267</v>
      </c>
      <c r="D1224" s="18" t="s">
        <v>869</v>
      </c>
      <c r="E1224" s="18" t="s">
        <v>489</v>
      </c>
      <c r="F1224" s="18"/>
      <c r="G1224" s="18" t="s">
        <v>1019</v>
      </c>
      <c r="H1224" s="30" t="n">
        <v>86.3</v>
      </c>
      <c r="I1224" s="18" t="s">
        <v>513</v>
      </c>
      <c r="J1224" s="28" t="n">
        <v>7421.8</v>
      </c>
      <c r="K1224" s="12" t="str">
        <f aca="false">TEXT(B1224,"yyyy-mm")</f>
        <v>2026-07</v>
      </c>
      <c r="L1224" s="21" t="str">
        <f aca="false">IFERROR(INDEX(Projects!$E$2:$E$500,MATCH(C1224,Projects!$A$2:$A$500,0)),"")</f>
        <v>Cloud &amp; Infrastructure</v>
      </c>
      <c r="M1224" s="31" t="n">
        <f aca="false">IF(I1224="Yes",H1224*INDEX(Resources!$I$2:$I$500,MATCH(E1224,Resources!$A$2:$A$500,0)),0)</f>
        <v>15102.5</v>
      </c>
    </row>
    <row r="1225" customFormat="false" ht="15" hidden="false" customHeight="false" outlineLevel="0" collapsed="false">
      <c r="A1225" s="18" t="s">
        <v>2258</v>
      </c>
      <c r="B1225" s="19" t="n">
        <v>46234</v>
      </c>
      <c r="C1225" s="18" t="s">
        <v>267</v>
      </c>
      <c r="D1225" s="18" t="s">
        <v>872</v>
      </c>
      <c r="E1225" s="18"/>
      <c r="F1225" s="18" t="s">
        <v>1059</v>
      </c>
      <c r="G1225" s="18" t="s">
        <v>1026</v>
      </c>
      <c r="H1225" s="30" t="n">
        <v>0</v>
      </c>
      <c r="I1225" s="18" t="s">
        <v>527</v>
      </c>
      <c r="J1225" s="28" t="n">
        <v>1662.3</v>
      </c>
      <c r="K1225" s="12" t="str">
        <f aca="false">TEXT(B1225,"yyyy-mm")</f>
        <v>2026-07</v>
      </c>
      <c r="L1225" s="21" t="str">
        <f aca="false">IFERROR(INDEX(Projects!$E$2:$E$500,MATCH(C1225,Projects!$A$2:$A$500,0)),"")</f>
        <v>Cloud &amp; Infrastructure</v>
      </c>
      <c r="M1225" s="31" t="n">
        <f aca="false">IF(I1225="Yes",H1225*INDEX(Resources!$I$2:$I$500,MATCH(E1225,Resources!$A$2:$A$500,0)),0)</f>
        <v>0</v>
      </c>
    </row>
    <row r="1226" customFormat="false" ht="15" hidden="false" customHeight="false" outlineLevel="0" collapsed="false">
      <c r="A1226" s="18" t="s">
        <v>2259</v>
      </c>
      <c r="B1226" s="19" t="n">
        <v>46234</v>
      </c>
      <c r="C1226" s="18" t="s">
        <v>267</v>
      </c>
      <c r="D1226" s="18" t="s">
        <v>876</v>
      </c>
      <c r="E1226" s="18"/>
      <c r="F1226" s="18" t="s">
        <v>1032</v>
      </c>
      <c r="G1226" s="18" t="s">
        <v>1033</v>
      </c>
      <c r="H1226" s="30" t="n">
        <v>0</v>
      </c>
      <c r="I1226" s="18" t="s">
        <v>527</v>
      </c>
      <c r="J1226" s="28" t="n">
        <v>704.76</v>
      </c>
      <c r="K1226" s="12" t="str">
        <f aca="false">TEXT(B1226,"yyyy-mm")</f>
        <v>2026-07</v>
      </c>
      <c r="L1226" s="21" t="str">
        <f aca="false">IFERROR(INDEX(Projects!$E$2:$E$500,MATCH(C1226,Projects!$A$2:$A$500,0)),"")</f>
        <v>Cloud &amp; Infrastructure</v>
      </c>
      <c r="M1226" s="31" t="n">
        <f aca="false">IF(I1226="Yes",H1226*INDEX(Resources!$I$2:$I$500,MATCH(E1226,Resources!$A$2:$A$500,0)),0)</f>
        <v>0</v>
      </c>
    </row>
    <row r="1227" customFormat="false" ht="15" hidden="false" customHeight="false" outlineLevel="0" collapsed="false">
      <c r="A1227" s="18" t="s">
        <v>2260</v>
      </c>
      <c r="B1227" s="19" t="n">
        <v>46234</v>
      </c>
      <c r="C1227" s="18" t="s">
        <v>270</v>
      </c>
      <c r="D1227" s="18" t="s">
        <v>869</v>
      </c>
      <c r="E1227" s="18" t="s">
        <v>237</v>
      </c>
      <c r="F1227" s="18"/>
      <c r="G1227" s="18" t="s">
        <v>1019</v>
      </c>
      <c r="H1227" s="30" t="n">
        <v>114.9</v>
      </c>
      <c r="I1227" s="18" t="s">
        <v>513</v>
      </c>
      <c r="J1227" s="28" t="n">
        <v>8594.52</v>
      </c>
      <c r="K1227" s="12" t="str">
        <f aca="false">TEXT(B1227,"yyyy-mm")</f>
        <v>2026-07</v>
      </c>
      <c r="L1227" s="21" t="str">
        <f aca="false">IFERROR(INDEX(Projects!$E$2:$E$500,MATCH(C1227,Projects!$A$2:$A$500,0)),"")</f>
        <v>Digital Transformation</v>
      </c>
      <c r="M1227" s="31" t="n">
        <f aca="false">IF(I1227="Yes",H1227*INDEX(Resources!$I$2:$I$500,MATCH(E1227,Resources!$A$2:$A$500,0)),0)</f>
        <v>17235</v>
      </c>
    </row>
    <row r="1228" customFormat="false" ht="15" hidden="false" customHeight="false" outlineLevel="0" collapsed="false">
      <c r="A1228" s="18" t="s">
        <v>2261</v>
      </c>
      <c r="B1228" s="19" t="n">
        <v>46234</v>
      </c>
      <c r="C1228" s="18" t="s">
        <v>270</v>
      </c>
      <c r="D1228" s="18" t="s">
        <v>869</v>
      </c>
      <c r="E1228" s="18" t="s">
        <v>357</v>
      </c>
      <c r="F1228" s="18"/>
      <c r="G1228" s="18" t="s">
        <v>1019</v>
      </c>
      <c r="H1228" s="30" t="n">
        <v>53.1</v>
      </c>
      <c r="I1228" s="18" t="s">
        <v>513</v>
      </c>
      <c r="J1228" s="28" t="n">
        <v>6422.98</v>
      </c>
      <c r="K1228" s="12" t="str">
        <f aca="false">TEXT(B1228,"yyyy-mm")</f>
        <v>2026-07</v>
      </c>
      <c r="L1228" s="21" t="str">
        <f aca="false">IFERROR(INDEX(Projects!$E$2:$E$500,MATCH(C1228,Projects!$A$2:$A$500,0)),"")</f>
        <v>Digital Transformation</v>
      </c>
      <c r="M1228" s="31" t="n">
        <f aca="false">IF(I1228="Yes",H1228*INDEX(Resources!$I$2:$I$500,MATCH(E1228,Resources!$A$2:$A$500,0)),0)</f>
        <v>13009.5</v>
      </c>
    </row>
    <row r="1229" customFormat="false" ht="15" hidden="false" customHeight="false" outlineLevel="0" collapsed="false">
      <c r="A1229" s="18" t="s">
        <v>2262</v>
      </c>
      <c r="B1229" s="19" t="n">
        <v>46234</v>
      </c>
      <c r="C1229" s="18" t="s">
        <v>270</v>
      </c>
      <c r="D1229" s="18" t="s">
        <v>869</v>
      </c>
      <c r="E1229" s="18" t="s">
        <v>363</v>
      </c>
      <c r="F1229" s="18"/>
      <c r="G1229" s="18" t="s">
        <v>1019</v>
      </c>
      <c r="H1229" s="30" t="n">
        <v>114.9</v>
      </c>
      <c r="I1229" s="18" t="s">
        <v>513</v>
      </c>
      <c r="J1229" s="28" t="n">
        <v>9063.31</v>
      </c>
      <c r="K1229" s="12" t="str">
        <f aca="false">TEXT(B1229,"yyyy-mm")</f>
        <v>2026-07</v>
      </c>
      <c r="L1229" s="21" t="str">
        <f aca="false">IFERROR(INDEX(Projects!$E$2:$E$500,MATCH(C1229,Projects!$A$2:$A$500,0)),"")</f>
        <v>Digital Transformation</v>
      </c>
      <c r="M1229" s="31" t="n">
        <f aca="false">IF(I1229="Yes",H1229*INDEX(Resources!$I$2:$I$500,MATCH(E1229,Resources!$A$2:$A$500,0)),0)</f>
        <v>18384</v>
      </c>
    </row>
    <row r="1230" customFormat="false" ht="15" hidden="false" customHeight="false" outlineLevel="0" collapsed="false">
      <c r="A1230" s="18" t="s">
        <v>2263</v>
      </c>
      <c r="B1230" s="19" t="n">
        <v>46234</v>
      </c>
      <c r="C1230" s="18" t="s">
        <v>270</v>
      </c>
      <c r="D1230" s="18" t="s">
        <v>869</v>
      </c>
      <c r="E1230" s="18" t="s">
        <v>393</v>
      </c>
      <c r="F1230" s="18"/>
      <c r="G1230" s="18" t="s">
        <v>1019</v>
      </c>
      <c r="H1230" s="30" t="n">
        <v>165.1</v>
      </c>
      <c r="I1230" s="18" t="s">
        <v>513</v>
      </c>
      <c r="J1230" s="28" t="n">
        <v>16404.34</v>
      </c>
      <c r="K1230" s="12" t="str">
        <f aca="false">TEXT(B1230,"yyyy-mm")</f>
        <v>2026-07</v>
      </c>
      <c r="L1230" s="21" t="str">
        <f aca="false">IFERROR(INDEX(Projects!$E$2:$E$500,MATCH(C1230,Projects!$A$2:$A$500,0)),"")</f>
        <v>Digital Transformation</v>
      </c>
      <c r="M1230" s="31" t="n">
        <f aca="false">IF(I1230="Yes",H1230*INDEX(Resources!$I$2:$I$500,MATCH(E1230,Resources!$A$2:$A$500,0)),0)</f>
        <v>33020</v>
      </c>
    </row>
    <row r="1231" customFormat="false" ht="15" hidden="false" customHeight="false" outlineLevel="0" collapsed="false">
      <c r="A1231" s="18" t="s">
        <v>2264</v>
      </c>
      <c r="B1231" s="19" t="n">
        <v>46234</v>
      </c>
      <c r="C1231" s="18" t="s">
        <v>270</v>
      </c>
      <c r="D1231" s="18" t="s">
        <v>869</v>
      </c>
      <c r="E1231" s="18" t="s">
        <v>430</v>
      </c>
      <c r="F1231" s="18"/>
      <c r="G1231" s="18" t="s">
        <v>1019</v>
      </c>
      <c r="H1231" s="30" t="n">
        <v>154.2</v>
      </c>
      <c r="I1231" s="18" t="s">
        <v>513</v>
      </c>
      <c r="J1231" s="28" t="n">
        <v>9868.8</v>
      </c>
      <c r="K1231" s="12" t="str">
        <f aca="false">TEXT(B1231,"yyyy-mm")</f>
        <v>2026-07</v>
      </c>
      <c r="L1231" s="21" t="str">
        <f aca="false">IFERROR(INDEX(Projects!$E$2:$E$500,MATCH(C1231,Projects!$A$2:$A$500,0)),"")</f>
        <v>Digital Transformation</v>
      </c>
      <c r="M1231" s="31" t="n">
        <f aca="false">IF(I1231="Yes",H1231*INDEX(Resources!$I$2:$I$500,MATCH(E1231,Resources!$A$2:$A$500,0)),0)</f>
        <v>20046</v>
      </c>
    </row>
    <row r="1232" customFormat="false" ht="15" hidden="false" customHeight="false" outlineLevel="0" collapsed="false">
      <c r="A1232" s="18" t="s">
        <v>2265</v>
      </c>
      <c r="B1232" s="19" t="n">
        <v>46234</v>
      </c>
      <c r="C1232" s="18" t="s">
        <v>270</v>
      </c>
      <c r="D1232" s="18" t="s">
        <v>872</v>
      </c>
      <c r="E1232" s="18"/>
      <c r="F1232" s="18" t="s">
        <v>1025</v>
      </c>
      <c r="G1232" s="18" t="s">
        <v>1026</v>
      </c>
      <c r="H1232" s="30" t="n">
        <v>0</v>
      </c>
      <c r="I1232" s="18" t="s">
        <v>527</v>
      </c>
      <c r="J1232" s="28" t="n">
        <v>4020.75</v>
      </c>
      <c r="K1232" s="12" t="str">
        <f aca="false">TEXT(B1232,"yyyy-mm")</f>
        <v>2026-07</v>
      </c>
      <c r="L1232" s="21" t="str">
        <f aca="false">IFERROR(INDEX(Projects!$E$2:$E$500,MATCH(C1232,Projects!$A$2:$A$500,0)),"")</f>
        <v>Digital Transformation</v>
      </c>
      <c r="M1232" s="31" t="n">
        <f aca="false">IF(I1232="Yes",H1232*INDEX(Resources!$I$2:$I$500,MATCH(E1232,Resources!$A$2:$A$500,0)),0)</f>
        <v>0</v>
      </c>
    </row>
    <row r="1233" customFormat="false" ht="15" hidden="false" customHeight="false" outlineLevel="0" collapsed="false">
      <c r="A1233" s="18" t="s">
        <v>2266</v>
      </c>
      <c r="B1233" s="19" t="n">
        <v>46234</v>
      </c>
      <c r="C1233" s="18" t="s">
        <v>270</v>
      </c>
      <c r="D1233" s="18" t="s">
        <v>874</v>
      </c>
      <c r="E1233" s="18"/>
      <c r="F1233" s="18" t="s">
        <v>1028</v>
      </c>
      <c r="G1233" s="18" t="s">
        <v>1026</v>
      </c>
      <c r="H1233" s="30" t="n">
        <v>0</v>
      </c>
      <c r="I1233" s="18" t="s">
        <v>527</v>
      </c>
      <c r="J1233" s="28" t="n">
        <v>4709.2</v>
      </c>
      <c r="K1233" s="12" t="str">
        <f aca="false">TEXT(B1233,"yyyy-mm")</f>
        <v>2026-07</v>
      </c>
      <c r="L1233" s="21" t="str">
        <f aca="false">IFERROR(INDEX(Projects!$E$2:$E$500,MATCH(C1233,Projects!$A$2:$A$500,0)),"")</f>
        <v>Digital Transformation</v>
      </c>
      <c r="M1233" s="31" t="n">
        <f aca="false">IF(I1233="Yes",H1233*INDEX(Resources!$I$2:$I$500,MATCH(E1233,Resources!$A$2:$A$500,0)),0)</f>
        <v>0</v>
      </c>
    </row>
    <row r="1234" customFormat="false" ht="15" hidden="false" customHeight="false" outlineLevel="0" collapsed="false">
      <c r="A1234" s="18" t="s">
        <v>2267</v>
      </c>
      <c r="B1234" s="19" t="n">
        <v>46234</v>
      </c>
      <c r="C1234" s="18" t="s">
        <v>270</v>
      </c>
      <c r="D1234" s="18" t="s">
        <v>495</v>
      </c>
      <c r="E1234" s="18"/>
      <c r="F1234" s="18" t="s">
        <v>1373</v>
      </c>
      <c r="G1234" s="18" t="s">
        <v>1026</v>
      </c>
      <c r="H1234" s="30" t="n">
        <v>0</v>
      </c>
      <c r="I1234" s="18" t="s">
        <v>527</v>
      </c>
      <c r="J1234" s="28" t="n">
        <v>1267.29</v>
      </c>
      <c r="K1234" s="12" t="str">
        <f aca="false">TEXT(B1234,"yyyy-mm")</f>
        <v>2026-07</v>
      </c>
      <c r="L1234" s="21" t="str">
        <f aca="false">IFERROR(INDEX(Projects!$E$2:$E$500,MATCH(C1234,Projects!$A$2:$A$500,0)),"")</f>
        <v>Digital Transformation</v>
      </c>
      <c r="M1234" s="31" t="n">
        <f aca="false">IF(I1234="Yes",H1234*INDEX(Resources!$I$2:$I$500,MATCH(E1234,Resources!$A$2:$A$500,0)),0)</f>
        <v>0</v>
      </c>
    </row>
    <row r="1235" customFormat="false" ht="15" hidden="false" customHeight="false" outlineLevel="0" collapsed="false">
      <c r="A1235" s="18" t="s">
        <v>2268</v>
      </c>
      <c r="B1235" s="19" t="n">
        <v>46234</v>
      </c>
      <c r="C1235" s="18" t="s">
        <v>270</v>
      </c>
      <c r="D1235" s="18" t="s">
        <v>876</v>
      </c>
      <c r="E1235" s="18"/>
      <c r="F1235" s="18" t="s">
        <v>1071</v>
      </c>
      <c r="G1235" s="18" t="s">
        <v>1033</v>
      </c>
      <c r="H1235" s="30" t="n">
        <v>0</v>
      </c>
      <c r="I1235" s="18" t="s">
        <v>527</v>
      </c>
      <c r="J1235" s="28" t="n">
        <v>1063.85</v>
      </c>
      <c r="K1235" s="12" t="str">
        <f aca="false">TEXT(B1235,"yyyy-mm")</f>
        <v>2026-07</v>
      </c>
      <c r="L1235" s="21" t="str">
        <f aca="false">IFERROR(INDEX(Projects!$E$2:$E$500,MATCH(C1235,Projects!$A$2:$A$500,0)),"")</f>
        <v>Digital Transformation</v>
      </c>
      <c r="M1235" s="31" t="n">
        <f aca="false">IF(I1235="Yes",H1235*INDEX(Resources!$I$2:$I$500,MATCH(E1235,Resources!$A$2:$A$500,0)),0)</f>
        <v>0</v>
      </c>
    </row>
    <row r="1236" customFormat="false" ht="15" hidden="false" customHeight="false" outlineLevel="0" collapsed="false">
      <c r="A1236" s="18" t="s">
        <v>2269</v>
      </c>
      <c r="B1236" s="19" t="n">
        <v>46234</v>
      </c>
      <c r="C1236" s="18" t="s">
        <v>272</v>
      </c>
      <c r="D1236" s="18" t="s">
        <v>869</v>
      </c>
      <c r="E1236" s="18" t="s">
        <v>201</v>
      </c>
      <c r="F1236" s="18"/>
      <c r="G1236" s="18" t="s">
        <v>1019</v>
      </c>
      <c r="H1236" s="30" t="n">
        <v>47.8</v>
      </c>
      <c r="I1236" s="18" t="s">
        <v>527</v>
      </c>
      <c r="J1236" s="28" t="n">
        <v>4879.42</v>
      </c>
      <c r="K1236" s="12" t="str">
        <f aca="false">TEXT(B1236,"yyyy-mm")</f>
        <v>2026-07</v>
      </c>
      <c r="L1236" s="21" t="str">
        <f aca="false">IFERROR(INDEX(Projects!$E$2:$E$500,MATCH(C1236,Projects!$A$2:$A$500,0)),"")</f>
        <v>Operational Excellence</v>
      </c>
      <c r="M1236" s="31" t="n">
        <f aca="false">IF(I1236="Yes",H1236*INDEX(Resources!$I$2:$I$500,MATCH(E1236,Resources!$A$2:$A$500,0)),0)</f>
        <v>0</v>
      </c>
    </row>
    <row r="1237" customFormat="false" ht="15" hidden="false" customHeight="false" outlineLevel="0" collapsed="false">
      <c r="A1237" s="18" t="s">
        <v>2270</v>
      </c>
      <c r="B1237" s="19" t="n">
        <v>46234</v>
      </c>
      <c r="C1237" s="18" t="s">
        <v>272</v>
      </c>
      <c r="D1237" s="18" t="s">
        <v>869</v>
      </c>
      <c r="E1237" s="18" t="s">
        <v>373</v>
      </c>
      <c r="F1237" s="18"/>
      <c r="G1237" s="18" t="s">
        <v>1019</v>
      </c>
      <c r="H1237" s="30" t="n">
        <v>94.4</v>
      </c>
      <c r="I1237" s="18" t="s">
        <v>513</v>
      </c>
      <c r="J1237" s="28" t="n">
        <v>6932.74</v>
      </c>
      <c r="K1237" s="12" t="str">
        <f aca="false">TEXT(B1237,"yyyy-mm")</f>
        <v>2026-07</v>
      </c>
      <c r="L1237" s="21" t="str">
        <f aca="false">IFERROR(INDEX(Projects!$E$2:$E$500,MATCH(C1237,Projects!$A$2:$A$500,0)),"")</f>
        <v>Operational Excellence</v>
      </c>
      <c r="M1237" s="31" t="n">
        <f aca="false">IF(I1237="Yes",H1237*INDEX(Resources!$I$2:$I$500,MATCH(E1237,Resources!$A$2:$A$500,0)),0)</f>
        <v>14160</v>
      </c>
    </row>
    <row r="1238" customFormat="false" ht="15" hidden="false" customHeight="false" outlineLevel="0" collapsed="false">
      <c r="A1238" s="18" t="s">
        <v>2271</v>
      </c>
      <c r="B1238" s="19" t="n">
        <v>46234</v>
      </c>
      <c r="C1238" s="18" t="s">
        <v>272</v>
      </c>
      <c r="D1238" s="18" t="s">
        <v>869</v>
      </c>
      <c r="E1238" s="18" t="s">
        <v>395</v>
      </c>
      <c r="F1238" s="18"/>
      <c r="G1238" s="18" t="s">
        <v>1019</v>
      </c>
      <c r="H1238" s="30" t="n">
        <v>88.2</v>
      </c>
      <c r="I1238" s="18" t="s">
        <v>513</v>
      </c>
      <c r="J1238" s="28" t="n">
        <v>9432.99</v>
      </c>
      <c r="K1238" s="12" t="str">
        <f aca="false">TEXT(B1238,"yyyy-mm")</f>
        <v>2026-07</v>
      </c>
      <c r="L1238" s="21" t="str">
        <f aca="false">IFERROR(INDEX(Projects!$E$2:$E$500,MATCH(C1238,Projects!$A$2:$A$500,0)),"")</f>
        <v>Operational Excellence</v>
      </c>
      <c r="M1238" s="31" t="n">
        <f aca="false">IF(I1238="Yes",H1238*INDEX(Resources!$I$2:$I$500,MATCH(E1238,Resources!$A$2:$A$500,0)),0)</f>
        <v>14994</v>
      </c>
    </row>
    <row r="1239" customFormat="false" ht="15" hidden="false" customHeight="false" outlineLevel="0" collapsed="false">
      <c r="A1239" s="18" t="s">
        <v>2272</v>
      </c>
      <c r="B1239" s="19" t="n">
        <v>46234</v>
      </c>
      <c r="C1239" s="18" t="s">
        <v>272</v>
      </c>
      <c r="D1239" s="18" t="s">
        <v>869</v>
      </c>
      <c r="E1239" s="18" t="s">
        <v>426</v>
      </c>
      <c r="F1239" s="18"/>
      <c r="G1239" s="18" t="s">
        <v>1019</v>
      </c>
      <c r="H1239" s="30" t="n">
        <v>93.8</v>
      </c>
      <c r="I1239" s="18" t="s">
        <v>513</v>
      </c>
      <c r="J1239" s="28" t="n">
        <v>6963.71</v>
      </c>
      <c r="K1239" s="12" t="str">
        <f aca="false">TEXT(B1239,"yyyy-mm")</f>
        <v>2026-07</v>
      </c>
      <c r="L1239" s="21" t="str">
        <f aca="false">IFERROR(INDEX(Projects!$E$2:$E$500,MATCH(C1239,Projects!$A$2:$A$500,0)),"")</f>
        <v>Operational Excellence</v>
      </c>
      <c r="M1239" s="31" t="n">
        <f aca="false">IF(I1239="Yes",H1239*INDEX(Resources!$I$2:$I$500,MATCH(E1239,Resources!$A$2:$A$500,0)),0)</f>
        <v>14070</v>
      </c>
    </row>
    <row r="1240" customFormat="false" ht="15" hidden="false" customHeight="false" outlineLevel="0" collapsed="false">
      <c r="A1240" s="18" t="s">
        <v>2273</v>
      </c>
      <c r="B1240" s="19" t="n">
        <v>46234</v>
      </c>
      <c r="C1240" s="18" t="s">
        <v>272</v>
      </c>
      <c r="D1240" s="18" t="s">
        <v>869</v>
      </c>
      <c r="E1240" s="18" t="s">
        <v>439</v>
      </c>
      <c r="F1240" s="18"/>
      <c r="G1240" s="18" t="s">
        <v>1019</v>
      </c>
      <c r="H1240" s="30" t="n">
        <v>19.5</v>
      </c>
      <c r="I1240" s="18" t="s">
        <v>513</v>
      </c>
      <c r="J1240" s="28" t="n">
        <v>1583.4</v>
      </c>
      <c r="K1240" s="12" t="str">
        <f aca="false">TEXT(B1240,"yyyy-mm")</f>
        <v>2026-07</v>
      </c>
      <c r="L1240" s="21" t="str">
        <f aca="false">IFERROR(INDEX(Projects!$E$2:$E$500,MATCH(C1240,Projects!$A$2:$A$500,0)),"")</f>
        <v>Operational Excellence</v>
      </c>
      <c r="M1240" s="31" t="n">
        <f aca="false">IF(I1240="Yes",H1240*INDEX(Resources!$I$2:$I$500,MATCH(E1240,Resources!$A$2:$A$500,0)),0)</f>
        <v>2632.5</v>
      </c>
    </row>
    <row r="1241" customFormat="false" ht="15" hidden="false" customHeight="false" outlineLevel="0" collapsed="false">
      <c r="A1241" s="18" t="s">
        <v>2274</v>
      </c>
      <c r="B1241" s="19" t="n">
        <v>46234</v>
      </c>
      <c r="C1241" s="18" t="s">
        <v>272</v>
      </c>
      <c r="D1241" s="18" t="s">
        <v>869</v>
      </c>
      <c r="E1241" s="18" t="s">
        <v>492</v>
      </c>
      <c r="F1241" s="18"/>
      <c r="G1241" s="18" t="s">
        <v>1019</v>
      </c>
      <c r="H1241" s="30" t="n">
        <v>18.3</v>
      </c>
      <c r="I1241" s="18" t="s">
        <v>513</v>
      </c>
      <c r="J1241" s="28" t="n">
        <v>1528.42</v>
      </c>
      <c r="K1241" s="12" t="str">
        <f aca="false">TEXT(B1241,"yyyy-mm")</f>
        <v>2026-07</v>
      </c>
      <c r="L1241" s="21" t="str">
        <f aca="false">IFERROR(INDEX(Projects!$E$2:$E$500,MATCH(C1241,Projects!$A$2:$A$500,0)),"")</f>
        <v>Operational Excellence</v>
      </c>
      <c r="M1241" s="31" t="n">
        <f aca="false">IF(I1241="Yes",H1241*INDEX(Resources!$I$2:$I$500,MATCH(E1241,Resources!$A$2:$A$500,0)),0)</f>
        <v>3202.5</v>
      </c>
    </row>
    <row r="1242" customFormat="false" ht="15" hidden="false" customHeight="false" outlineLevel="0" collapsed="false">
      <c r="A1242" s="18" t="s">
        <v>2275</v>
      </c>
      <c r="B1242" s="19" t="n">
        <v>46234</v>
      </c>
      <c r="C1242" s="18" t="s">
        <v>272</v>
      </c>
      <c r="D1242" s="18" t="s">
        <v>872</v>
      </c>
      <c r="E1242" s="18"/>
      <c r="F1242" s="18" t="s">
        <v>353</v>
      </c>
      <c r="G1242" s="18" t="s">
        <v>1026</v>
      </c>
      <c r="H1242" s="30" t="n">
        <v>0</v>
      </c>
      <c r="I1242" s="18" t="s">
        <v>527</v>
      </c>
      <c r="J1242" s="28" t="n">
        <v>1406.48</v>
      </c>
      <c r="K1242" s="12" t="str">
        <f aca="false">TEXT(B1242,"yyyy-mm")</f>
        <v>2026-07</v>
      </c>
      <c r="L1242" s="21" t="str">
        <f aca="false">IFERROR(INDEX(Projects!$E$2:$E$500,MATCH(C1242,Projects!$A$2:$A$500,0)),"")</f>
        <v>Operational Excellence</v>
      </c>
      <c r="M1242" s="31" t="n">
        <f aca="false">IF(I1242="Yes",H1242*INDEX(Resources!$I$2:$I$500,MATCH(E1242,Resources!$A$2:$A$500,0)),0)</f>
        <v>0</v>
      </c>
    </row>
    <row r="1243" customFormat="false" ht="15" hidden="false" customHeight="false" outlineLevel="0" collapsed="false">
      <c r="A1243" s="18" t="s">
        <v>2276</v>
      </c>
      <c r="B1243" s="19" t="n">
        <v>46234</v>
      </c>
      <c r="C1243" s="18" t="s">
        <v>272</v>
      </c>
      <c r="D1243" s="18" t="s">
        <v>495</v>
      </c>
      <c r="E1243" s="18"/>
      <c r="F1243" s="18" t="s">
        <v>1030</v>
      </c>
      <c r="G1243" s="18" t="s">
        <v>1026</v>
      </c>
      <c r="H1243" s="30" t="n">
        <v>0</v>
      </c>
      <c r="I1243" s="18" t="s">
        <v>527</v>
      </c>
      <c r="J1243" s="28" t="n">
        <v>850.75</v>
      </c>
      <c r="K1243" s="12" t="str">
        <f aca="false">TEXT(B1243,"yyyy-mm")</f>
        <v>2026-07</v>
      </c>
      <c r="L1243" s="21" t="str">
        <f aca="false">IFERROR(INDEX(Projects!$E$2:$E$500,MATCH(C1243,Projects!$A$2:$A$500,0)),"")</f>
        <v>Operational Excellence</v>
      </c>
      <c r="M1243" s="31" t="n">
        <f aca="false">IF(I1243="Yes",H1243*INDEX(Resources!$I$2:$I$500,MATCH(E1243,Resources!$A$2:$A$500,0)),0)</f>
        <v>0</v>
      </c>
    </row>
    <row r="1244" customFormat="false" ht="15" hidden="false" customHeight="false" outlineLevel="0" collapsed="false">
      <c r="A1244" s="18" t="s">
        <v>2277</v>
      </c>
      <c r="B1244" s="19" t="n">
        <v>46234</v>
      </c>
      <c r="C1244" s="18" t="s">
        <v>272</v>
      </c>
      <c r="D1244" s="18" t="s">
        <v>876</v>
      </c>
      <c r="E1244" s="18"/>
      <c r="F1244" s="18" t="s">
        <v>1032</v>
      </c>
      <c r="G1244" s="18" t="s">
        <v>1033</v>
      </c>
      <c r="H1244" s="30" t="n">
        <v>0</v>
      </c>
      <c r="I1244" s="18" t="s">
        <v>527</v>
      </c>
      <c r="J1244" s="28" t="n">
        <v>508.03</v>
      </c>
      <c r="K1244" s="12" t="str">
        <f aca="false">TEXT(B1244,"yyyy-mm")</f>
        <v>2026-07</v>
      </c>
      <c r="L1244" s="21" t="str">
        <f aca="false">IFERROR(INDEX(Projects!$E$2:$E$500,MATCH(C1244,Projects!$A$2:$A$500,0)),"")</f>
        <v>Operational Excellence</v>
      </c>
      <c r="M1244" s="31" t="n">
        <f aca="false">IF(I1244="Yes",H1244*INDEX(Resources!$I$2:$I$500,MATCH(E1244,Resources!$A$2:$A$500,0)),0)</f>
        <v>0</v>
      </c>
    </row>
    <row r="1245" customFormat="false" ht="15" hidden="false" customHeight="false" outlineLevel="0" collapsed="false">
      <c r="A1245" s="18" t="s">
        <v>2278</v>
      </c>
      <c r="B1245" s="19" t="n">
        <v>46234</v>
      </c>
      <c r="C1245" s="18" t="s">
        <v>275</v>
      </c>
      <c r="D1245" s="18" t="s">
        <v>869</v>
      </c>
      <c r="E1245" s="18" t="s">
        <v>218</v>
      </c>
      <c r="F1245" s="18"/>
      <c r="G1245" s="18" t="s">
        <v>1019</v>
      </c>
      <c r="H1245" s="30" t="n">
        <v>122.1</v>
      </c>
      <c r="I1245" s="18" t="s">
        <v>513</v>
      </c>
      <c r="J1245" s="28" t="n">
        <v>9133.08</v>
      </c>
      <c r="K1245" s="12" t="str">
        <f aca="false">TEXT(B1245,"yyyy-mm")</f>
        <v>2026-07</v>
      </c>
      <c r="L1245" s="21" t="str">
        <f aca="false">IFERROR(INDEX(Projects!$E$2:$E$500,MATCH(C1245,Projects!$A$2:$A$500,0)),"")</f>
        <v>Customer Experience</v>
      </c>
      <c r="M1245" s="31" t="n">
        <f aca="false">IF(I1245="Yes",H1245*INDEX(Resources!$I$2:$I$500,MATCH(E1245,Resources!$A$2:$A$500,0)),0)</f>
        <v>18315</v>
      </c>
    </row>
    <row r="1246" customFormat="false" ht="15" hidden="false" customHeight="false" outlineLevel="0" collapsed="false">
      <c r="A1246" s="18" t="s">
        <v>2279</v>
      </c>
      <c r="B1246" s="19" t="n">
        <v>46234</v>
      </c>
      <c r="C1246" s="18" t="s">
        <v>275</v>
      </c>
      <c r="D1246" s="18" t="s">
        <v>869</v>
      </c>
      <c r="E1246" s="18" t="s">
        <v>400</v>
      </c>
      <c r="F1246" s="18"/>
      <c r="G1246" s="18" t="s">
        <v>1019</v>
      </c>
      <c r="H1246" s="30" t="n">
        <v>120.6</v>
      </c>
      <c r="I1246" s="18" t="s">
        <v>513</v>
      </c>
      <c r="J1246" s="28" t="n">
        <v>11982.82</v>
      </c>
      <c r="K1246" s="12" t="str">
        <f aca="false">TEXT(B1246,"yyyy-mm")</f>
        <v>2026-07</v>
      </c>
      <c r="L1246" s="21" t="str">
        <f aca="false">IFERROR(INDEX(Projects!$E$2:$E$500,MATCH(C1246,Projects!$A$2:$A$500,0)),"")</f>
        <v>Customer Experience</v>
      </c>
      <c r="M1246" s="31" t="n">
        <f aca="false">IF(I1246="Yes",H1246*INDEX(Resources!$I$2:$I$500,MATCH(E1246,Resources!$A$2:$A$500,0)),0)</f>
        <v>24120</v>
      </c>
    </row>
    <row r="1247" customFormat="false" ht="15" hidden="false" customHeight="false" outlineLevel="0" collapsed="false">
      <c r="A1247" s="18" t="s">
        <v>2280</v>
      </c>
      <c r="B1247" s="19" t="n">
        <v>46234</v>
      </c>
      <c r="C1247" s="18" t="s">
        <v>275</v>
      </c>
      <c r="D1247" s="18" t="s">
        <v>869</v>
      </c>
      <c r="E1247" s="18" t="s">
        <v>422</v>
      </c>
      <c r="F1247" s="18"/>
      <c r="G1247" s="18" t="s">
        <v>1019</v>
      </c>
      <c r="H1247" s="30" t="n">
        <v>129</v>
      </c>
      <c r="I1247" s="18" t="s">
        <v>513</v>
      </c>
      <c r="J1247" s="28" t="n">
        <v>7678.08</v>
      </c>
      <c r="K1247" s="12" t="str">
        <f aca="false">TEXT(B1247,"yyyy-mm")</f>
        <v>2026-07</v>
      </c>
      <c r="L1247" s="21" t="str">
        <f aca="false">IFERROR(INDEX(Projects!$E$2:$E$500,MATCH(C1247,Projects!$A$2:$A$500,0)),"")</f>
        <v>Customer Experience</v>
      </c>
      <c r="M1247" s="31" t="n">
        <f aca="false">IF(I1247="Yes",H1247*INDEX(Resources!$I$2:$I$500,MATCH(E1247,Resources!$A$2:$A$500,0)),0)</f>
        <v>15480</v>
      </c>
    </row>
    <row r="1248" customFormat="false" ht="15" hidden="false" customHeight="false" outlineLevel="0" collapsed="false">
      <c r="A1248" s="18" t="s">
        <v>2281</v>
      </c>
      <c r="B1248" s="19" t="n">
        <v>46234</v>
      </c>
      <c r="C1248" s="18" t="s">
        <v>275</v>
      </c>
      <c r="D1248" s="18" t="s">
        <v>869</v>
      </c>
      <c r="E1248" s="18" t="s">
        <v>439</v>
      </c>
      <c r="F1248" s="18"/>
      <c r="G1248" s="18" t="s">
        <v>1019</v>
      </c>
      <c r="H1248" s="30" t="n">
        <v>134.3</v>
      </c>
      <c r="I1248" s="18" t="s">
        <v>513</v>
      </c>
      <c r="J1248" s="28" t="n">
        <v>10905.16</v>
      </c>
      <c r="K1248" s="12" t="str">
        <f aca="false">TEXT(B1248,"yyyy-mm")</f>
        <v>2026-07</v>
      </c>
      <c r="L1248" s="21" t="str">
        <f aca="false">IFERROR(INDEX(Projects!$E$2:$E$500,MATCH(C1248,Projects!$A$2:$A$500,0)),"")</f>
        <v>Customer Experience</v>
      </c>
      <c r="M1248" s="31" t="n">
        <f aca="false">IF(I1248="Yes",H1248*INDEX(Resources!$I$2:$I$500,MATCH(E1248,Resources!$A$2:$A$500,0)),0)</f>
        <v>18130.5</v>
      </c>
    </row>
    <row r="1249" customFormat="false" ht="15" hidden="false" customHeight="false" outlineLevel="0" collapsed="false">
      <c r="A1249" s="18" t="s">
        <v>2282</v>
      </c>
      <c r="B1249" s="19" t="n">
        <v>46234</v>
      </c>
      <c r="C1249" s="18" t="s">
        <v>275</v>
      </c>
      <c r="D1249" s="18" t="s">
        <v>872</v>
      </c>
      <c r="E1249" s="18"/>
      <c r="F1249" s="18" t="s">
        <v>353</v>
      </c>
      <c r="G1249" s="18" t="s">
        <v>1026</v>
      </c>
      <c r="H1249" s="30" t="n">
        <v>0</v>
      </c>
      <c r="I1249" s="18" t="s">
        <v>527</v>
      </c>
      <c r="J1249" s="28" t="n">
        <v>2248.35</v>
      </c>
      <c r="K1249" s="12" t="str">
        <f aca="false">TEXT(B1249,"yyyy-mm")</f>
        <v>2026-07</v>
      </c>
      <c r="L1249" s="21" t="str">
        <f aca="false">IFERROR(INDEX(Projects!$E$2:$E$500,MATCH(C1249,Projects!$A$2:$A$500,0)),"")</f>
        <v>Customer Experience</v>
      </c>
      <c r="M1249" s="31" t="n">
        <f aca="false">IF(I1249="Yes",H1249*INDEX(Resources!$I$2:$I$500,MATCH(E1249,Resources!$A$2:$A$500,0)),0)</f>
        <v>0</v>
      </c>
    </row>
    <row r="1250" customFormat="false" ht="15" hidden="false" customHeight="false" outlineLevel="0" collapsed="false">
      <c r="A1250" s="18" t="s">
        <v>2283</v>
      </c>
      <c r="B1250" s="19" t="n">
        <v>46234</v>
      </c>
      <c r="C1250" s="18" t="s">
        <v>275</v>
      </c>
      <c r="D1250" s="18" t="s">
        <v>874</v>
      </c>
      <c r="E1250" s="18"/>
      <c r="F1250" s="18" t="s">
        <v>1028</v>
      </c>
      <c r="G1250" s="18" t="s">
        <v>1026</v>
      </c>
      <c r="H1250" s="30" t="n">
        <v>0</v>
      </c>
      <c r="I1250" s="18" t="s">
        <v>527</v>
      </c>
      <c r="J1250" s="28" t="n">
        <v>2947.05</v>
      </c>
      <c r="K1250" s="12" t="str">
        <f aca="false">TEXT(B1250,"yyyy-mm")</f>
        <v>2026-07</v>
      </c>
      <c r="L1250" s="21" t="str">
        <f aca="false">IFERROR(INDEX(Projects!$E$2:$E$500,MATCH(C1250,Projects!$A$2:$A$500,0)),"")</f>
        <v>Customer Experience</v>
      </c>
      <c r="M1250" s="31" t="n">
        <f aca="false">IF(I1250="Yes",H1250*INDEX(Resources!$I$2:$I$500,MATCH(E1250,Resources!$A$2:$A$500,0)),0)</f>
        <v>0</v>
      </c>
    </row>
    <row r="1251" customFormat="false" ht="15" hidden="false" customHeight="false" outlineLevel="0" collapsed="false">
      <c r="A1251" s="18" t="s">
        <v>2284</v>
      </c>
      <c r="B1251" s="19" t="n">
        <v>46234</v>
      </c>
      <c r="C1251" s="18" t="s">
        <v>275</v>
      </c>
      <c r="D1251" s="18" t="s">
        <v>876</v>
      </c>
      <c r="E1251" s="18"/>
      <c r="F1251" s="18" t="s">
        <v>1071</v>
      </c>
      <c r="G1251" s="18" t="s">
        <v>1033</v>
      </c>
      <c r="H1251" s="30" t="n">
        <v>0</v>
      </c>
      <c r="I1251" s="18" t="s">
        <v>527</v>
      </c>
      <c r="J1251" s="28" t="n">
        <v>696.13</v>
      </c>
      <c r="K1251" s="12" t="str">
        <f aca="false">TEXT(B1251,"yyyy-mm")</f>
        <v>2026-07</v>
      </c>
      <c r="L1251" s="21" t="str">
        <f aca="false">IFERROR(INDEX(Projects!$E$2:$E$500,MATCH(C1251,Projects!$A$2:$A$500,0)),"")</f>
        <v>Customer Experience</v>
      </c>
      <c r="M1251" s="31" t="n">
        <f aca="false">IF(I1251="Yes",H1251*INDEX(Resources!$I$2:$I$500,MATCH(E1251,Resources!$A$2:$A$500,0)),0)</f>
        <v>0</v>
      </c>
    </row>
    <row r="1252" customFormat="false" ht="15" hidden="false" customHeight="false" outlineLevel="0" collapsed="false">
      <c r="A1252" s="18" t="s">
        <v>2285</v>
      </c>
      <c r="B1252" s="19" t="n">
        <v>46234</v>
      </c>
      <c r="C1252" s="18" t="s">
        <v>285</v>
      </c>
      <c r="D1252" s="18" t="s">
        <v>869</v>
      </c>
      <c r="E1252" s="18" t="s">
        <v>247</v>
      </c>
      <c r="F1252" s="18"/>
      <c r="G1252" s="18" t="s">
        <v>1019</v>
      </c>
      <c r="H1252" s="30" t="n">
        <v>18.5</v>
      </c>
      <c r="I1252" s="18" t="s">
        <v>513</v>
      </c>
      <c r="J1252" s="28" t="n">
        <v>1628</v>
      </c>
      <c r="K1252" s="12" t="str">
        <f aca="false">TEXT(B1252,"yyyy-mm")</f>
        <v>2026-07</v>
      </c>
      <c r="L1252" s="21" t="str">
        <f aca="false">IFERROR(INDEX(Projects!$E$2:$E$500,MATCH(C1252,Projects!$A$2:$A$500,0)),"")</f>
        <v>Operational Excellence</v>
      </c>
      <c r="M1252" s="31" t="n">
        <f aca="false">IF(I1252="Yes",H1252*INDEX(Resources!$I$2:$I$500,MATCH(E1252,Resources!$A$2:$A$500,0)),0)</f>
        <v>3237.5</v>
      </c>
    </row>
    <row r="1253" customFormat="false" ht="15" hidden="false" customHeight="false" outlineLevel="0" collapsed="false">
      <c r="A1253" s="18" t="s">
        <v>2286</v>
      </c>
      <c r="B1253" s="19" t="n">
        <v>46234</v>
      </c>
      <c r="C1253" s="18" t="s">
        <v>285</v>
      </c>
      <c r="D1253" s="18" t="s">
        <v>869</v>
      </c>
      <c r="E1253" s="18" t="s">
        <v>368</v>
      </c>
      <c r="F1253" s="18"/>
      <c r="G1253" s="18" t="s">
        <v>1019</v>
      </c>
      <c r="H1253" s="30" t="n">
        <v>33.5</v>
      </c>
      <c r="I1253" s="18" t="s">
        <v>513</v>
      </c>
      <c r="J1253" s="28" t="n">
        <v>2460.24</v>
      </c>
      <c r="K1253" s="12" t="str">
        <f aca="false">TEXT(B1253,"yyyy-mm")</f>
        <v>2026-07</v>
      </c>
      <c r="L1253" s="21" t="str">
        <f aca="false">IFERROR(INDEX(Projects!$E$2:$E$500,MATCH(C1253,Projects!$A$2:$A$500,0)),"")</f>
        <v>Operational Excellence</v>
      </c>
      <c r="M1253" s="31" t="n">
        <f aca="false">IF(I1253="Yes",H1253*INDEX(Resources!$I$2:$I$500,MATCH(E1253,Resources!$A$2:$A$500,0)),0)</f>
        <v>5025</v>
      </c>
    </row>
    <row r="1254" customFormat="false" ht="15" hidden="false" customHeight="false" outlineLevel="0" collapsed="false">
      <c r="A1254" s="18" t="s">
        <v>2287</v>
      </c>
      <c r="B1254" s="19" t="n">
        <v>46234</v>
      </c>
      <c r="C1254" s="18" t="s">
        <v>285</v>
      </c>
      <c r="D1254" s="18" t="s">
        <v>869</v>
      </c>
      <c r="E1254" s="18" t="s">
        <v>398</v>
      </c>
      <c r="F1254" s="18"/>
      <c r="G1254" s="18" t="s">
        <v>1019</v>
      </c>
      <c r="H1254" s="30" t="n">
        <v>54.9</v>
      </c>
      <c r="I1254" s="18" t="s">
        <v>513</v>
      </c>
      <c r="J1254" s="28" t="n">
        <v>4697.24</v>
      </c>
      <c r="K1254" s="12" t="str">
        <f aca="false">TEXT(B1254,"yyyy-mm")</f>
        <v>2026-07</v>
      </c>
      <c r="L1254" s="21" t="str">
        <f aca="false">IFERROR(INDEX(Projects!$E$2:$E$500,MATCH(C1254,Projects!$A$2:$A$500,0)),"")</f>
        <v>Operational Excellence</v>
      </c>
      <c r="M1254" s="31" t="n">
        <f aca="false">IF(I1254="Yes",H1254*INDEX(Resources!$I$2:$I$500,MATCH(E1254,Resources!$A$2:$A$500,0)),0)</f>
        <v>9333</v>
      </c>
    </row>
    <row r="1255" customFormat="false" ht="15" hidden="false" customHeight="false" outlineLevel="0" collapsed="false">
      <c r="A1255" s="18" t="s">
        <v>2288</v>
      </c>
      <c r="B1255" s="19" t="n">
        <v>46234</v>
      </c>
      <c r="C1255" s="18" t="s">
        <v>285</v>
      </c>
      <c r="D1255" s="18" t="s">
        <v>869</v>
      </c>
      <c r="E1255" s="18" t="s">
        <v>414</v>
      </c>
      <c r="F1255" s="18"/>
      <c r="G1255" s="18" t="s">
        <v>1019</v>
      </c>
      <c r="H1255" s="30" t="n">
        <v>34.1</v>
      </c>
      <c r="I1255" s="18" t="s">
        <v>513</v>
      </c>
      <c r="J1255" s="28" t="n">
        <v>2029.63</v>
      </c>
      <c r="K1255" s="12" t="str">
        <f aca="false">TEXT(B1255,"yyyy-mm")</f>
        <v>2026-07</v>
      </c>
      <c r="L1255" s="21" t="str">
        <f aca="false">IFERROR(INDEX(Projects!$E$2:$E$500,MATCH(C1255,Projects!$A$2:$A$500,0)),"")</f>
        <v>Operational Excellence</v>
      </c>
      <c r="M1255" s="31" t="n">
        <f aca="false">IF(I1255="Yes",H1255*INDEX(Resources!$I$2:$I$500,MATCH(E1255,Resources!$A$2:$A$500,0)),0)</f>
        <v>4092</v>
      </c>
    </row>
    <row r="1256" customFormat="false" ht="15" hidden="false" customHeight="false" outlineLevel="0" collapsed="false">
      <c r="A1256" s="18" t="s">
        <v>2289</v>
      </c>
      <c r="B1256" s="19" t="n">
        <v>46234</v>
      </c>
      <c r="C1256" s="18" t="s">
        <v>285</v>
      </c>
      <c r="D1256" s="18" t="s">
        <v>869</v>
      </c>
      <c r="E1256" s="18" t="s">
        <v>444</v>
      </c>
      <c r="F1256" s="18"/>
      <c r="G1256" s="18" t="s">
        <v>1019</v>
      </c>
      <c r="H1256" s="30" t="n">
        <v>35.7</v>
      </c>
      <c r="I1256" s="18" t="s">
        <v>513</v>
      </c>
      <c r="J1256" s="28" t="n">
        <v>1859.26</v>
      </c>
      <c r="K1256" s="12" t="str">
        <f aca="false">TEXT(B1256,"yyyy-mm")</f>
        <v>2026-07</v>
      </c>
      <c r="L1256" s="21" t="str">
        <f aca="false">IFERROR(INDEX(Projects!$E$2:$E$500,MATCH(C1256,Projects!$A$2:$A$500,0)),"")</f>
        <v>Operational Excellence</v>
      </c>
      <c r="M1256" s="31" t="n">
        <f aca="false">IF(I1256="Yes",H1256*INDEX(Resources!$I$2:$I$500,MATCH(E1256,Resources!$A$2:$A$500,0)),0)</f>
        <v>3748.5</v>
      </c>
    </row>
    <row r="1257" customFormat="false" ht="15" hidden="false" customHeight="false" outlineLevel="0" collapsed="false">
      <c r="A1257" s="18" t="s">
        <v>2290</v>
      </c>
      <c r="B1257" s="19" t="n">
        <v>46234</v>
      </c>
      <c r="C1257" s="18" t="s">
        <v>285</v>
      </c>
      <c r="D1257" s="18" t="s">
        <v>869</v>
      </c>
      <c r="E1257" s="18" t="s">
        <v>492</v>
      </c>
      <c r="F1257" s="18"/>
      <c r="G1257" s="18" t="s">
        <v>1019</v>
      </c>
      <c r="H1257" s="30" t="n">
        <v>16.7</v>
      </c>
      <c r="I1257" s="18" t="s">
        <v>513</v>
      </c>
      <c r="J1257" s="28" t="n">
        <v>1394.78</v>
      </c>
      <c r="K1257" s="12" t="str">
        <f aca="false">TEXT(B1257,"yyyy-mm")</f>
        <v>2026-07</v>
      </c>
      <c r="L1257" s="21" t="str">
        <f aca="false">IFERROR(INDEX(Projects!$E$2:$E$500,MATCH(C1257,Projects!$A$2:$A$500,0)),"")</f>
        <v>Operational Excellence</v>
      </c>
      <c r="M1257" s="31" t="n">
        <f aca="false">IF(I1257="Yes",H1257*INDEX(Resources!$I$2:$I$500,MATCH(E1257,Resources!$A$2:$A$500,0)),0)</f>
        <v>2922.5</v>
      </c>
    </row>
    <row r="1258" customFormat="false" ht="15" hidden="false" customHeight="false" outlineLevel="0" collapsed="false">
      <c r="A1258" s="18" t="s">
        <v>2291</v>
      </c>
      <c r="B1258" s="19" t="n">
        <v>46234</v>
      </c>
      <c r="C1258" s="18" t="s">
        <v>285</v>
      </c>
      <c r="D1258" s="18" t="s">
        <v>872</v>
      </c>
      <c r="E1258" s="18"/>
      <c r="F1258" s="18" t="s">
        <v>353</v>
      </c>
      <c r="G1258" s="18" t="s">
        <v>1026</v>
      </c>
      <c r="H1258" s="30" t="n">
        <v>0</v>
      </c>
      <c r="I1258" s="18" t="s">
        <v>527</v>
      </c>
      <c r="J1258" s="28" t="n">
        <v>1276.44</v>
      </c>
      <c r="K1258" s="12" t="str">
        <f aca="false">TEXT(B1258,"yyyy-mm")</f>
        <v>2026-07</v>
      </c>
      <c r="L1258" s="21" t="str">
        <f aca="false">IFERROR(INDEX(Projects!$E$2:$E$500,MATCH(C1258,Projects!$A$2:$A$500,0)),"")</f>
        <v>Operational Excellence</v>
      </c>
      <c r="M1258" s="31" t="n">
        <f aca="false">IF(I1258="Yes",H1258*INDEX(Resources!$I$2:$I$500,MATCH(E1258,Resources!$A$2:$A$500,0)),0)</f>
        <v>0</v>
      </c>
    </row>
    <row r="1259" customFormat="false" ht="15" hidden="false" customHeight="false" outlineLevel="0" collapsed="false">
      <c r="A1259" s="18" t="s">
        <v>2292</v>
      </c>
      <c r="B1259" s="19" t="n">
        <v>46234</v>
      </c>
      <c r="C1259" s="18" t="s">
        <v>285</v>
      </c>
      <c r="D1259" s="18" t="s">
        <v>495</v>
      </c>
      <c r="E1259" s="18"/>
      <c r="F1259" s="18" t="s">
        <v>1030</v>
      </c>
      <c r="G1259" s="18" t="s">
        <v>1026</v>
      </c>
      <c r="H1259" s="30" t="n">
        <v>0</v>
      </c>
      <c r="I1259" s="18" t="s">
        <v>527</v>
      </c>
      <c r="J1259" s="28" t="n">
        <v>691.13</v>
      </c>
      <c r="K1259" s="12" t="str">
        <f aca="false">TEXT(B1259,"yyyy-mm")</f>
        <v>2026-07</v>
      </c>
      <c r="L1259" s="21" t="str">
        <f aca="false">IFERROR(INDEX(Projects!$E$2:$E$500,MATCH(C1259,Projects!$A$2:$A$500,0)),"")</f>
        <v>Operational Excellence</v>
      </c>
      <c r="M1259" s="31" t="n">
        <f aca="false">IF(I1259="Yes",H1259*INDEX(Resources!$I$2:$I$500,MATCH(E1259,Resources!$A$2:$A$500,0)),0)</f>
        <v>0</v>
      </c>
    </row>
    <row r="1260" customFormat="false" ht="15" hidden="false" customHeight="false" outlineLevel="0" collapsed="false">
      <c r="A1260" s="18" t="s">
        <v>2293</v>
      </c>
      <c r="B1260" s="19" t="n">
        <v>46234</v>
      </c>
      <c r="C1260" s="18" t="s">
        <v>285</v>
      </c>
      <c r="D1260" s="18" t="s">
        <v>876</v>
      </c>
      <c r="E1260" s="18"/>
      <c r="F1260" s="18" t="s">
        <v>1071</v>
      </c>
      <c r="G1260" s="18" t="s">
        <v>1033</v>
      </c>
      <c r="H1260" s="30" t="n">
        <v>0</v>
      </c>
      <c r="I1260" s="18" t="s">
        <v>527</v>
      </c>
      <c r="J1260" s="28" t="n">
        <v>563.78</v>
      </c>
      <c r="K1260" s="12" t="str">
        <f aca="false">TEXT(B1260,"yyyy-mm")</f>
        <v>2026-07</v>
      </c>
      <c r="L1260" s="21" t="str">
        <f aca="false">IFERROR(INDEX(Projects!$E$2:$E$500,MATCH(C1260,Projects!$A$2:$A$500,0)),"")</f>
        <v>Operational Excellence</v>
      </c>
      <c r="M1260" s="31" t="n">
        <f aca="false">IF(I1260="Yes",H1260*INDEX(Resources!$I$2:$I$500,MATCH(E1260,Resources!$A$2:$A$500,0)),0)</f>
        <v>0</v>
      </c>
    </row>
    <row r="1261" customFormat="false" ht="15" hidden="false" customHeight="false" outlineLevel="0" collapsed="false">
      <c r="A1261" s="18" t="s">
        <v>2294</v>
      </c>
      <c r="B1261" s="19" t="n">
        <v>46265</v>
      </c>
      <c r="C1261" s="18" t="s">
        <v>197</v>
      </c>
      <c r="D1261" s="18" t="s">
        <v>869</v>
      </c>
      <c r="E1261" s="18" t="s">
        <v>201</v>
      </c>
      <c r="F1261" s="18"/>
      <c r="G1261" s="18" t="s">
        <v>1019</v>
      </c>
      <c r="H1261" s="30" t="n">
        <v>77.9</v>
      </c>
      <c r="I1261" s="18" t="s">
        <v>513</v>
      </c>
      <c r="J1261" s="28" t="n">
        <v>7952.03</v>
      </c>
      <c r="K1261" s="12" t="str">
        <f aca="false">TEXT(B1261,"yyyy-mm")</f>
        <v>2026-08</v>
      </c>
      <c r="L1261" s="21" t="str">
        <f aca="false">IFERROR(INDEX(Projects!$E$2:$E$500,MATCH(C1261,Projects!$A$2:$A$500,0)),"")</f>
        <v>Customer Experience</v>
      </c>
      <c r="M1261" s="31" t="n">
        <f aca="false">IF(I1261="Yes",H1261*INDEX(Resources!$I$2:$I$500,MATCH(E1261,Resources!$A$2:$A$500,0)),0)</f>
        <v>15969.5</v>
      </c>
    </row>
    <row r="1262" customFormat="false" ht="15" hidden="false" customHeight="false" outlineLevel="0" collapsed="false">
      <c r="A1262" s="18" t="s">
        <v>2295</v>
      </c>
      <c r="B1262" s="19" t="n">
        <v>46265</v>
      </c>
      <c r="C1262" s="18" t="s">
        <v>197</v>
      </c>
      <c r="D1262" s="18" t="s">
        <v>869</v>
      </c>
      <c r="E1262" s="18" t="s">
        <v>389</v>
      </c>
      <c r="F1262" s="18"/>
      <c r="G1262" s="18" t="s">
        <v>1019</v>
      </c>
      <c r="H1262" s="30" t="n">
        <v>130</v>
      </c>
      <c r="I1262" s="18" t="s">
        <v>513</v>
      </c>
      <c r="J1262" s="28" t="n">
        <v>13873.6</v>
      </c>
      <c r="K1262" s="12" t="str">
        <f aca="false">TEXT(B1262,"yyyy-mm")</f>
        <v>2026-08</v>
      </c>
      <c r="L1262" s="21" t="str">
        <f aca="false">IFERROR(INDEX(Projects!$E$2:$E$500,MATCH(C1262,Projects!$A$2:$A$500,0)),"")</f>
        <v>Customer Experience</v>
      </c>
      <c r="M1262" s="31" t="n">
        <f aca="false">IF(I1262="Yes",H1262*INDEX(Resources!$I$2:$I$500,MATCH(E1262,Resources!$A$2:$A$500,0)),0)</f>
        <v>27950</v>
      </c>
    </row>
    <row r="1263" customFormat="false" ht="15" hidden="false" customHeight="false" outlineLevel="0" collapsed="false">
      <c r="A1263" s="18" t="s">
        <v>2296</v>
      </c>
      <c r="B1263" s="19" t="n">
        <v>46265</v>
      </c>
      <c r="C1263" s="18" t="s">
        <v>197</v>
      </c>
      <c r="D1263" s="18" t="s">
        <v>869</v>
      </c>
      <c r="E1263" s="18" t="s">
        <v>409</v>
      </c>
      <c r="F1263" s="18"/>
      <c r="G1263" s="18" t="s">
        <v>1019</v>
      </c>
      <c r="H1263" s="30" t="n">
        <v>154.2</v>
      </c>
      <c r="I1263" s="18" t="s">
        <v>513</v>
      </c>
      <c r="J1263" s="28" t="n">
        <v>11447.81</v>
      </c>
      <c r="K1263" s="12" t="str">
        <f aca="false">TEXT(B1263,"yyyy-mm")</f>
        <v>2026-08</v>
      </c>
      <c r="L1263" s="21" t="str">
        <f aca="false">IFERROR(INDEX(Projects!$E$2:$E$500,MATCH(C1263,Projects!$A$2:$A$500,0)),"")</f>
        <v>Customer Experience</v>
      </c>
      <c r="M1263" s="31" t="n">
        <f aca="false">IF(I1263="Yes",H1263*INDEX(Resources!$I$2:$I$500,MATCH(E1263,Resources!$A$2:$A$500,0)),0)</f>
        <v>23130</v>
      </c>
    </row>
    <row r="1264" customFormat="false" ht="15" hidden="false" customHeight="false" outlineLevel="0" collapsed="false">
      <c r="A1264" s="18" t="s">
        <v>2297</v>
      </c>
      <c r="B1264" s="19" t="n">
        <v>46265</v>
      </c>
      <c r="C1264" s="18" t="s">
        <v>197</v>
      </c>
      <c r="D1264" s="18" t="s">
        <v>869</v>
      </c>
      <c r="E1264" s="18" t="s">
        <v>434</v>
      </c>
      <c r="F1264" s="18"/>
      <c r="G1264" s="18" t="s">
        <v>1019</v>
      </c>
      <c r="H1264" s="30" t="n">
        <v>78.7</v>
      </c>
      <c r="I1264" s="18" t="s">
        <v>513</v>
      </c>
      <c r="J1264" s="28" t="n">
        <v>5112.35</v>
      </c>
      <c r="K1264" s="12" t="str">
        <f aca="false">TEXT(B1264,"yyyy-mm")</f>
        <v>2026-08</v>
      </c>
      <c r="L1264" s="21" t="str">
        <f aca="false">IFERROR(INDEX(Projects!$E$2:$E$500,MATCH(C1264,Projects!$A$2:$A$500,0)),"")</f>
        <v>Customer Experience</v>
      </c>
      <c r="M1264" s="31" t="n">
        <f aca="false">IF(I1264="Yes",H1264*INDEX(Resources!$I$2:$I$500,MATCH(E1264,Resources!$A$2:$A$500,0)),0)</f>
        <v>10624.5</v>
      </c>
    </row>
    <row r="1265" customFormat="false" ht="15" hidden="false" customHeight="false" outlineLevel="0" collapsed="false">
      <c r="A1265" s="18" t="s">
        <v>2298</v>
      </c>
      <c r="B1265" s="19" t="n">
        <v>46265</v>
      </c>
      <c r="C1265" s="18" t="s">
        <v>197</v>
      </c>
      <c r="D1265" s="18" t="s">
        <v>872</v>
      </c>
      <c r="E1265" s="18"/>
      <c r="F1265" s="18" t="s">
        <v>1059</v>
      </c>
      <c r="G1265" s="18" t="s">
        <v>1026</v>
      </c>
      <c r="H1265" s="30" t="n">
        <v>0</v>
      </c>
      <c r="I1265" s="18" t="s">
        <v>527</v>
      </c>
      <c r="J1265" s="28" t="n">
        <v>3127.49</v>
      </c>
      <c r="K1265" s="12" t="str">
        <f aca="false">TEXT(B1265,"yyyy-mm")</f>
        <v>2026-08</v>
      </c>
      <c r="L1265" s="21" t="str">
        <f aca="false">IFERROR(INDEX(Projects!$E$2:$E$500,MATCH(C1265,Projects!$A$2:$A$500,0)),"")</f>
        <v>Customer Experience</v>
      </c>
      <c r="M1265" s="31" t="n">
        <f aca="false">IF(I1265="Yes",H1265*INDEX(Resources!$I$2:$I$500,MATCH(E1265,Resources!$A$2:$A$500,0)),0)</f>
        <v>0</v>
      </c>
    </row>
    <row r="1266" customFormat="false" ht="15" hidden="false" customHeight="false" outlineLevel="0" collapsed="false">
      <c r="A1266" s="18" t="s">
        <v>2299</v>
      </c>
      <c r="B1266" s="19" t="n">
        <v>46265</v>
      </c>
      <c r="C1266" s="18" t="s">
        <v>197</v>
      </c>
      <c r="D1266" s="18" t="s">
        <v>874</v>
      </c>
      <c r="E1266" s="18"/>
      <c r="F1266" s="18" t="s">
        <v>1224</v>
      </c>
      <c r="G1266" s="18" t="s">
        <v>1026</v>
      </c>
      <c r="H1266" s="30" t="n">
        <v>0</v>
      </c>
      <c r="I1266" s="18" t="s">
        <v>527</v>
      </c>
      <c r="J1266" s="28" t="n">
        <v>3852.34</v>
      </c>
      <c r="K1266" s="12" t="str">
        <f aca="false">TEXT(B1266,"yyyy-mm")</f>
        <v>2026-08</v>
      </c>
      <c r="L1266" s="21" t="str">
        <f aca="false">IFERROR(INDEX(Projects!$E$2:$E$500,MATCH(C1266,Projects!$A$2:$A$500,0)),"")</f>
        <v>Customer Experience</v>
      </c>
      <c r="M1266" s="31" t="n">
        <f aca="false">IF(I1266="Yes",H1266*INDEX(Resources!$I$2:$I$500,MATCH(E1266,Resources!$A$2:$A$500,0)),0)</f>
        <v>0</v>
      </c>
    </row>
    <row r="1267" customFormat="false" ht="15" hidden="false" customHeight="false" outlineLevel="0" collapsed="false">
      <c r="A1267" s="18" t="s">
        <v>2300</v>
      </c>
      <c r="B1267" s="19" t="n">
        <v>46265</v>
      </c>
      <c r="C1267" s="18" t="s">
        <v>197</v>
      </c>
      <c r="D1267" s="18" t="s">
        <v>876</v>
      </c>
      <c r="E1267" s="18"/>
      <c r="F1267" s="18" t="s">
        <v>1032</v>
      </c>
      <c r="G1267" s="18" t="s">
        <v>1033</v>
      </c>
      <c r="H1267" s="30" t="n">
        <v>0</v>
      </c>
      <c r="I1267" s="18" t="s">
        <v>527</v>
      </c>
      <c r="J1267" s="28" t="n">
        <v>1088.71</v>
      </c>
      <c r="K1267" s="12" t="str">
        <f aca="false">TEXT(B1267,"yyyy-mm")</f>
        <v>2026-08</v>
      </c>
      <c r="L1267" s="21" t="str">
        <f aca="false">IFERROR(INDEX(Projects!$E$2:$E$500,MATCH(C1267,Projects!$A$2:$A$500,0)),"")</f>
        <v>Customer Experience</v>
      </c>
      <c r="M1267" s="31" t="n">
        <f aca="false">IF(I1267="Yes",H1267*INDEX(Resources!$I$2:$I$500,MATCH(E1267,Resources!$A$2:$A$500,0)),0)</f>
        <v>0</v>
      </c>
    </row>
    <row r="1268" customFormat="false" ht="15" hidden="false" customHeight="false" outlineLevel="0" collapsed="false">
      <c r="A1268" s="18" t="s">
        <v>2301</v>
      </c>
      <c r="B1268" s="19" t="n">
        <v>46265</v>
      </c>
      <c r="C1268" s="18" t="s">
        <v>207</v>
      </c>
      <c r="D1268" s="18" t="s">
        <v>869</v>
      </c>
      <c r="E1268" s="18" t="s">
        <v>211</v>
      </c>
      <c r="F1268" s="18"/>
      <c r="G1268" s="18" t="s">
        <v>1019</v>
      </c>
      <c r="H1268" s="30" t="n">
        <v>54.9</v>
      </c>
      <c r="I1268" s="18" t="s">
        <v>513</v>
      </c>
      <c r="J1268" s="28" t="n">
        <v>5604.19</v>
      </c>
      <c r="K1268" s="12" t="str">
        <f aca="false">TEXT(B1268,"yyyy-mm")</f>
        <v>2026-08</v>
      </c>
      <c r="L1268" s="21" t="str">
        <f aca="false">IFERROR(INDEX(Projects!$E$2:$E$500,MATCH(C1268,Projects!$A$2:$A$500,0)),"")</f>
        <v>Operational Excellence</v>
      </c>
      <c r="M1268" s="31" t="n">
        <f aca="false">IF(I1268="Yes",H1268*INDEX(Resources!$I$2:$I$500,MATCH(E1268,Resources!$A$2:$A$500,0)),0)</f>
        <v>11254.5</v>
      </c>
    </row>
    <row r="1269" customFormat="false" ht="15" hidden="false" customHeight="false" outlineLevel="0" collapsed="false">
      <c r="A1269" s="18" t="s">
        <v>2302</v>
      </c>
      <c r="B1269" s="19" t="n">
        <v>46265</v>
      </c>
      <c r="C1269" s="18" t="s">
        <v>207</v>
      </c>
      <c r="D1269" s="18" t="s">
        <v>869</v>
      </c>
      <c r="E1269" s="18" t="s">
        <v>368</v>
      </c>
      <c r="F1269" s="18"/>
      <c r="G1269" s="18" t="s">
        <v>1019</v>
      </c>
      <c r="H1269" s="30" t="n">
        <v>123.5</v>
      </c>
      <c r="I1269" s="18" t="s">
        <v>513</v>
      </c>
      <c r="J1269" s="28" t="n">
        <v>9069.84</v>
      </c>
      <c r="K1269" s="12" t="str">
        <f aca="false">TEXT(B1269,"yyyy-mm")</f>
        <v>2026-08</v>
      </c>
      <c r="L1269" s="21" t="str">
        <f aca="false">IFERROR(INDEX(Projects!$E$2:$E$500,MATCH(C1269,Projects!$A$2:$A$500,0)),"")</f>
        <v>Operational Excellence</v>
      </c>
      <c r="M1269" s="31" t="n">
        <f aca="false">IF(I1269="Yes",H1269*INDEX(Resources!$I$2:$I$500,MATCH(E1269,Resources!$A$2:$A$500,0)),0)</f>
        <v>18525</v>
      </c>
    </row>
    <row r="1270" customFormat="false" ht="15" hidden="false" customHeight="false" outlineLevel="0" collapsed="false">
      <c r="A1270" s="18" t="s">
        <v>2303</v>
      </c>
      <c r="B1270" s="19" t="n">
        <v>46265</v>
      </c>
      <c r="C1270" s="18" t="s">
        <v>207</v>
      </c>
      <c r="D1270" s="18" t="s">
        <v>869</v>
      </c>
      <c r="E1270" s="18" t="s">
        <v>393</v>
      </c>
      <c r="F1270" s="18"/>
      <c r="G1270" s="18" t="s">
        <v>1019</v>
      </c>
      <c r="H1270" s="30" t="n">
        <v>108.7</v>
      </c>
      <c r="I1270" s="18" t="s">
        <v>513</v>
      </c>
      <c r="J1270" s="28" t="n">
        <v>10800.43</v>
      </c>
      <c r="K1270" s="12" t="str">
        <f aca="false">TEXT(B1270,"yyyy-mm")</f>
        <v>2026-08</v>
      </c>
      <c r="L1270" s="21" t="str">
        <f aca="false">IFERROR(INDEX(Projects!$E$2:$E$500,MATCH(C1270,Projects!$A$2:$A$500,0)),"")</f>
        <v>Operational Excellence</v>
      </c>
      <c r="M1270" s="31" t="n">
        <f aca="false">IF(I1270="Yes",H1270*INDEX(Resources!$I$2:$I$500,MATCH(E1270,Resources!$A$2:$A$500,0)),0)</f>
        <v>21740</v>
      </c>
    </row>
    <row r="1271" customFormat="false" ht="15" hidden="false" customHeight="false" outlineLevel="0" collapsed="false">
      <c r="A1271" s="18" t="s">
        <v>2304</v>
      </c>
      <c r="B1271" s="19" t="n">
        <v>46265</v>
      </c>
      <c r="C1271" s="18" t="s">
        <v>207</v>
      </c>
      <c r="D1271" s="18" t="s">
        <v>869</v>
      </c>
      <c r="E1271" s="18" t="s">
        <v>412</v>
      </c>
      <c r="F1271" s="18"/>
      <c r="G1271" s="18" t="s">
        <v>1019</v>
      </c>
      <c r="H1271" s="30" t="n">
        <v>168.1</v>
      </c>
      <c r="I1271" s="18" t="s">
        <v>513</v>
      </c>
      <c r="J1271" s="28" t="n">
        <v>10005.31</v>
      </c>
      <c r="K1271" s="12" t="str">
        <f aca="false">TEXT(B1271,"yyyy-mm")</f>
        <v>2026-08</v>
      </c>
      <c r="L1271" s="21" t="str">
        <f aca="false">IFERROR(INDEX(Projects!$E$2:$E$500,MATCH(C1271,Projects!$A$2:$A$500,0)),"")</f>
        <v>Operational Excellence</v>
      </c>
      <c r="M1271" s="31" t="n">
        <f aca="false">IF(I1271="Yes",H1271*INDEX(Resources!$I$2:$I$500,MATCH(E1271,Resources!$A$2:$A$500,0)),0)</f>
        <v>20172</v>
      </c>
    </row>
    <row r="1272" customFormat="false" ht="15" hidden="false" customHeight="false" outlineLevel="0" collapsed="false">
      <c r="A1272" s="18" t="s">
        <v>2305</v>
      </c>
      <c r="B1272" s="19" t="n">
        <v>46265</v>
      </c>
      <c r="C1272" s="18" t="s">
        <v>207</v>
      </c>
      <c r="D1272" s="18" t="s">
        <v>869</v>
      </c>
      <c r="E1272" s="18" t="s">
        <v>439</v>
      </c>
      <c r="F1272" s="18"/>
      <c r="G1272" s="18" t="s">
        <v>1019</v>
      </c>
      <c r="H1272" s="30" t="n">
        <v>62.2</v>
      </c>
      <c r="I1272" s="18" t="s">
        <v>513</v>
      </c>
      <c r="J1272" s="28" t="n">
        <v>5050.64</v>
      </c>
      <c r="K1272" s="12" t="str">
        <f aca="false">TEXT(B1272,"yyyy-mm")</f>
        <v>2026-08</v>
      </c>
      <c r="L1272" s="21" t="str">
        <f aca="false">IFERROR(INDEX(Projects!$E$2:$E$500,MATCH(C1272,Projects!$A$2:$A$500,0)),"")</f>
        <v>Operational Excellence</v>
      </c>
      <c r="M1272" s="31" t="n">
        <f aca="false">IF(I1272="Yes",H1272*INDEX(Resources!$I$2:$I$500,MATCH(E1272,Resources!$A$2:$A$500,0)),0)</f>
        <v>8397</v>
      </c>
    </row>
    <row r="1273" customFormat="false" ht="15" hidden="false" customHeight="false" outlineLevel="0" collapsed="false">
      <c r="A1273" s="18" t="s">
        <v>2306</v>
      </c>
      <c r="B1273" s="19" t="n">
        <v>46265</v>
      </c>
      <c r="C1273" s="18" t="s">
        <v>207</v>
      </c>
      <c r="D1273" s="18" t="s">
        <v>869</v>
      </c>
      <c r="E1273" s="18" t="s">
        <v>492</v>
      </c>
      <c r="F1273" s="18"/>
      <c r="G1273" s="18" t="s">
        <v>1019</v>
      </c>
      <c r="H1273" s="30" t="n">
        <v>58</v>
      </c>
      <c r="I1273" s="18" t="s">
        <v>513</v>
      </c>
      <c r="J1273" s="28" t="n">
        <v>4844.16</v>
      </c>
      <c r="K1273" s="12" t="str">
        <f aca="false">TEXT(B1273,"yyyy-mm")</f>
        <v>2026-08</v>
      </c>
      <c r="L1273" s="21" t="str">
        <f aca="false">IFERROR(INDEX(Projects!$E$2:$E$500,MATCH(C1273,Projects!$A$2:$A$500,0)),"")</f>
        <v>Operational Excellence</v>
      </c>
      <c r="M1273" s="31" t="n">
        <f aca="false">IF(I1273="Yes",H1273*INDEX(Resources!$I$2:$I$500,MATCH(E1273,Resources!$A$2:$A$500,0)),0)</f>
        <v>10150</v>
      </c>
    </row>
    <row r="1274" customFormat="false" ht="15" hidden="false" customHeight="false" outlineLevel="0" collapsed="false">
      <c r="A1274" s="18" t="s">
        <v>2307</v>
      </c>
      <c r="B1274" s="19" t="n">
        <v>46265</v>
      </c>
      <c r="C1274" s="18" t="s">
        <v>207</v>
      </c>
      <c r="D1274" s="18" t="s">
        <v>872</v>
      </c>
      <c r="E1274" s="18"/>
      <c r="F1274" s="18" t="s">
        <v>353</v>
      </c>
      <c r="G1274" s="18" t="s">
        <v>1026</v>
      </c>
      <c r="H1274" s="30" t="n">
        <v>0</v>
      </c>
      <c r="I1274" s="18" t="s">
        <v>527</v>
      </c>
      <c r="J1274" s="28" t="n">
        <v>1642.24</v>
      </c>
      <c r="K1274" s="12" t="str">
        <f aca="false">TEXT(B1274,"yyyy-mm")</f>
        <v>2026-08</v>
      </c>
      <c r="L1274" s="21" t="str">
        <f aca="false">IFERROR(INDEX(Projects!$E$2:$E$500,MATCH(C1274,Projects!$A$2:$A$500,0)),"")</f>
        <v>Operational Excellence</v>
      </c>
      <c r="M1274" s="31" t="n">
        <f aca="false">IF(I1274="Yes",H1274*INDEX(Resources!$I$2:$I$500,MATCH(E1274,Resources!$A$2:$A$500,0)),0)</f>
        <v>0</v>
      </c>
    </row>
    <row r="1275" customFormat="false" ht="15" hidden="false" customHeight="false" outlineLevel="0" collapsed="false">
      <c r="A1275" s="18" t="s">
        <v>2308</v>
      </c>
      <c r="B1275" s="19" t="n">
        <v>46265</v>
      </c>
      <c r="C1275" s="18" t="s">
        <v>207</v>
      </c>
      <c r="D1275" s="18" t="s">
        <v>495</v>
      </c>
      <c r="E1275" s="18"/>
      <c r="F1275" s="18" t="s">
        <v>1373</v>
      </c>
      <c r="G1275" s="18" t="s">
        <v>1026</v>
      </c>
      <c r="H1275" s="30" t="n">
        <v>0</v>
      </c>
      <c r="I1275" s="18" t="s">
        <v>527</v>
      </c>
      <c r="J1275" s="28" t="n">
        <v>956.54</v>
      </c>
      <c r="K1275" s="12" t="str">
        <f aca="false">TEXT(B1275,"yyyy-mm")</f>
        <v>2026-08</v>
      </c>
      <c r="L1275" s="21" t="str">
        <f aca="false">IFERROR(INDEX(Projects!$E$2:$E$500,MATCH(C1275,Projects!$A$2:$A$500,0)),"")</f>
        <v>Operational Excellence</v>
      </c>
      <c r="M1275" s="31" t="n">
        <f aca="false">IF(I1275="Yes",H1275*INDEX(Resources!$I$2:$I$500,MATCH(E1275,Resources!$A$2:$A$500,0)),0)</f>
        <v>0</v>
      </c>
    </row>
    <row r="1276" customFormat="false" ht="15" hidden="false" customHeight="false" outlineLevel="0" collapsed="false">
      <c r="A1276" s="18" t="s">
        <v>2309</v>
      </c>
      <c r="B1276" s="19" t="n">
        <v>46265</v>
      </c>
      <c r="C1276" s="18" t="s">
        <v>207</v>
      </c>
      <c r="D1276" s="18" t="s">
        <v>876</v>
      </c>
      <c r="E1276" s="18"/>
      <c r="F1276" s="18" t="s">
        <v>1071</v>
      </c>
      <c r="G1276" s="18" t="s">
        <v>1033</v>
      </c>
      <c r="H1276" s="30" t="n">
        <v>0</v>
      </c>
      <c r="I1276" s="18" t="s">
        <v>527</v>
      </c>
      <c r="J1276" s="28" t="n">
        <v>651.53</v>
      </c>
      <c r="K1276" s="12" t="str">
        <f aca="false">TEXT(B1276,"yyyy-mm")</f>
        <v>2026-08</v>
      </c>
      <c r="L1276" s="21" t="str">
        <f aca="false">IFERROR(INDEX(Projects!$E$2:$E$500,MATCH(C1276,Projects!$A$2:$A$500,0)),"")</f>
        <v>Operational Excellence</v>
      </c>
      <c r="M1276" s="31" t="n">
        <f aca="false">IF(I1276="Yes",H1276*INDEX(Resources!$I$2:$I$500,MATCH(E1276,Resources!$A$2:$A$500,0)),0)</f>
        <v>0</v>
      </c>
    </row>
    <row r="1277" customFormat="false" ht="15" hidden="false" customHeight="false" outlineLevel="0" collapsed="false">
      <c r="A1277" s="18" t="s">
        <v>2310</v>
      </c>
      <c r="B1277" s="19" t="n">
        <v>46265</v>
      </c>
      <c r="C1277" s="18" t="s">
        <v>215</v>
      </c>
      <c r="D1277" s="18" t="s">
        <v>889</v>
      </c>
      <c r="E1277" s="18"/>
      <c r="F1277" s="18" t="s">
        <v>1035</v>
      </c>
      <c r="G1277" s="18" t="s">
        <v>1026</v>
      </c>
      <c r="H1277" s="30" t="n">
        <v>0</v>
      </c>
      <c r="I1277" s="18" t="s">
        <v>527</v>
      </c>
      <c r="J1277" s="28" t="n">
        <v>4143.59</v>
      </c>
      <c r="K1277" s="12" t="str">
        <f aca="false">TEXT(B1277,"yyyy-mm")</f>
        <v>2026-08</v>
      </c>
      <c r="L1277" s="21" t="str">
        <f aca="false">IFERROR(INDEX(Projects!$E$2:$E$500,MATCH(C1277,Projects!$A$2:$A$500,0)),"")</f>
        <v>Data &amp; AI</v>
      </c>
      <c r="M1277" s="31" t="n">
        <f aca="false">IF(I1277="Yes",H1277*INDEX(Resources!$I$2:$I$500,MATCH(E1277,Resources!$A$2:$A$500,0)),0)</f>
        <v>0</v>
      </c>
    </row>
    <row r="1278" customFormat="false" ht="15" hidden="false" customHeight="false" outlineLevel="0" collapsed="false">
      <c r="A1278" s="18" t="s">
        <v>2311</v>
      </c>
      <c r="B1278" s="19" t="n">
        <v>46265</v>
      </c>
      <c r="C1278" s="18" t="s">
        <v>215</v>
      </c>
      <c r="D1278" s="18" t="s">
        <v>869</v>
      </c>
      <c r="E1278" s="18" t="s">
        <v>218</v>
      </c>
      <c r="F1278" s="18"/>
      <c r="G1278" s="18" t="s">
        <v>1019</v>
      </c>
      <c r="H1278" s="30" t="n">
        <v>45.8</v>
      </c>
      <c r="I1278" s="18" t="s">
        <v>527</v>
      </c>
      <c r="J1278" s="28" t="n">
        <v>3425.84</v>
      </c>
      <c r="K1278" s="12" t="str">
        <f aca="false">TEXT(B1278,"yyyy-mm")</f>
        <v>2026-08</v>
      </c>
      <c r="L1278" s="21" t="str">
        <f aca="false">IFERROR(INDEX(Projects!$E$2:$E$500,MATCH(C1278,Projects!$A$2:$A$500,0)),"")</f>
        <v>Data &amp; AI</v>
      </c>
      <c r="M1278" s="31" t="n">
        <f aca="false">IF(I1278="Yes",H1278*INDEX(Resources!$I$2:$I$500,MATCH(E1278,Resources!$A$2:$A$500,0)),0)</f>
        <v>0</v>
      </c>
    </row>
    <row r="1279" customFormat="false" ht="15" hidden="false" customHeight="false" outlineLevel="0" collapsed="false">
      <c r="A1279" s="18" t="s">
        <v>2312</v>
      </c>
      <c r="B1279" s="19" t="n">
        <v>46265</v>
      </c>
      <c r="C1279" s="18" t="s">
        <v>215</v>
      </c>
      <c r="D1279" s="18" t="s">
        <v>869</v>
      </c>
      <c r="E1279" s="18" t="s">
        <v>414</v>
      </c>
      <c r="F1279" s="18"/>
      <c r="G1279" s="18" t="s">
        <v>1019</v>
      </c>
      <c r="H1279" s="30" t="n">
        <v>91.6</v>
      </c>
      <c r="I1279" s="18" t="s">
        <v>513</v>
      </c>
      <c r="J1279" s="28" t="n">
        <v>5452.03</v>
      </c>
      <c r="K1279" s="12" t="str">
        <f aca="false">TEXT(B1279,"yyyy-mm")</f>
        <v>2026-08</v>
      </c>
      <c r="L1279" s="21" t="str">
        <f aca="false">IFERROR(INDEX(Projects!$E$2:$E$500,MATCH(C1279,Projects!$A$2:$A$500,0)),"")</f>
        <v>Data &amp; AI</v>
      </c>
      <c r="M1279" s="31" t="n">
        <f aca="false">IF(I1279="Yes",H1279*INDEX(Resources!$I$2:$I$500,MATCH(E1279,Resources!$A$2:$A$500,0)),0)</f>
        <v>10992</v>
      </c>
    </row>
    <row r="1280" customFormat="false" ht="15" hidden="false" customHeight="false" outlineLevel="0" collapsed="false">
      <c r="A1280" s="18" t="s">
        <v>2313</v>
      </c>
      <c r="B1280" s="19" t="n">
        <v>46265</v>
      </c>
      <c r="C1280" s="18" t="s">
        <v>215</v>
      </c>
      <c r="D1280" s="18" t="s">
        <v>869</v>
      </c>
      <c r="E1280" s="18" t="s">
        <v>442</v>
      </c>
      <c r="F1280" s="18"/>
      <c r="G1280" s="18" t="s">
        <v>1019</v>
      </c>
      <c r="H1280" s="30" t="n">
        <v>86.6</v>
      </c>
      <c r="I1280" s="18" t="s">
        <v>513</v>
      </c>
      <c r="J1280" s="28" t="n">
        <v>6062</v>
      </c>
      <c r="K1280" s="12" t="str">
        <f aca="false">TEXT(B1280,"yyyy-mm")</f>
        <v>2026-08</v>
      </c>
      <c r="L1280" s="21" t="str">
        <f aca="false">IFERROR(INDEX(Projects!$E$2:$E$500,MATCH(C1280,Projects!$A$2:$A$500,0)),"")</f>
        <v>Data &amp; AI</v>
      </c>
      <c r="M1280" s="31" t="n">
        <f aca="false">IF(I1280="Yes",H1280*INDEX(Resources!$I$2:$I$500,MATCH(E1280,Resources!$A$2:$A$500,0)),0)</f>
        <v>9959</v>
      </c>
    </row>
    <row r="1281" customFormat="false" ht="15" hidden="false" customHeight="false" outlineLevel="0" collapsed="false">
      <c r="A1281" s="18" t="s">
        <v>2314</v>
      </c>
      <c r="B1281" s="19" t="n">
        <v>46265</v>
      </c>
      <c r="C1281" s="18" t="s">
        <v>215</v>
      </c>
      <c r="D1281" s="18" t="s">
        <v>869</v>
      </c>
      <c r="E1281" s="18" t="s">
        <v>450</v>
      </c>
      <c r="F1281" s="18"/>
      <c r="G1281" s="18" t="s">
        <v>1019</v>
      </c>
      <c r="H1281" s="30" t="n">
        <v>198.2</v>
      </c>
      <c r="I1281" s="18" t="s">
        <v>513</v>
      </c>
      <c r="J1281" s="28" t="n">
        <v>20692.08</v>
      </c>
      <c r="K1281" s="12" t="str">
        <f aca="false">TEXT(B1281,"yyyy-mm")</f>
        <v>2026-08</v>
      </c>
      <c r="L1281" s="21" t="str">
        <f aca="false">IFERROR(INDEX(Projects!$E$2:$E$500,MATCH(C1281,Projects!$A$2:$A$500,0)),"")</f>
        <v>Data &amp; AI</v>
      </c>
      <c r="M1281" s="31" t="n">
        <f aca="false">IF(I1281="Yes",H1281*INDEX(Resources!$I$2:$I$500,MATCH(E1281,Resources!$A$2:$A$500,0)),0)</f>
        <v>41622</v>
      </c>
    </row>
    <row r="1282" customFormat="false" ht="15" hidden="false" customHeight="false" outlineLevel="0" collapsed="false">
      <c r="A1282" s="18" t="s">
        <v>2315</v>
      </c>
      <c r="B1282" s="19" t="n">
        <v>46265</v>
      </c>
      <c r="C1282" s="18" t="s">
        <v>215</v>
      </c>
      <c r="D1282" s="18" t="s">
        <v>869</v>
      </c>
      <c r="E1282" s="18" t="s">
        <v>462</v>
      </c>
      <c r="F1282" s="18"/>
      <c r="G1282" s="18" t="s">
        <v>1019</v>
      </c>
      <c r="H1282" s="30" t="n">
        <v>84.1</v>
      </c>
      <c r="I1282" s="18" t="s">
        <v>513</v>
      </c>
      <c r="J1282" s="28" t="n">
        <v>9560.49</v>
      </c>
      <c r="K1282" s="12" t="str">
        <f aca="false">TEXT(B1282,"yyyy-mm")</f>
        <v>2026-08</v>
      </c>
      <c r="L1282" s="21" t="str">
        <f aca="false">IFERROR(INDEX(Projects!$E$2:$E$500,MATCH(C1282,Projects!$A$2:$A$500,0)),"")</f>
        <v>Data &amp; AI</v>
      </c>
      <c r="M1282" s="31" t="n">
        <f aca="false">IF(I1282="Yes",H1282*INDEX(Resources!$I$2:$I$500,MATCH(E1282,Resources!$A$2:$A$500,0)),0)</f>
        <v>19343</v>
      </c>
    </row>
    <row r="1283" customFormat="false" ht="15" hidden="false" customHeight="false" outlineLevel="0" collapsed="false">
      <c r="A1283" s="18" t="s">
        <v>2316</v>
      </c>
      <c r="B1283" s="19" t="n">
        <v>46265</v>
      </c>
      <c r="C1283" s="18" t="s">
        <v>215</v>
      </c>
      <c r="D1283" s="18" t="s">
        <v>872</v>
      </c>
      <c r="E1283" s="18"/>
      <c r="F1283" s="18" t="s">
        <v>1059</v>
      </c>
      <c r="G1283" s="18" t="s">
        <v>1026</v>
      </c>
      <c r="H1283" s="30" t="n">
        <v>0</v>
      </c>
      <c r="I1283" s="18" t="s">
        <v>527</v>
      </c>
      <c r="J1283" s="28" t="n">
        <v>2489.36</v>
      </c>
      <c r="K1283" s="12" t="str">
        <f aca="false">TEXT(B1283,"yyyy-mm")</f>
        <v>2026-08</v>
      </c>
      <c r="L1283" s="21" t="str">
        <f aca="false">IFERROR(INDEX(Projects!$E$2:$E$500,MATCH(C1283,Projects!$A$2:$A$500,0)),"")</f>
        <v>Data &amp; AI</v>
      </c>
      <c r="M1283" s="31" t="n">
        <f aca="false">IF(I1283="Yes",H1283*INDEX(Resources!$I$2:$I$500,MATCH(E1283,Resources!$A$2:$A$500,0)),0)</f>
        <v>0</v>
      </c>
    </row>
    <row r="1284" customFormat="false" ht="15" hidden="false" customHeight="false" outlineLevel="0" collapsed="false">
      <c r="A1284" s="18" t="s">
        <v>2317</v>
      </c>
      <c r="B1284" s="19" t="n">
        <v>46265</v>
      </c>
      <c r="C1284" s="18" t="s">
        <v>215</v>
      </c>
      <c r="D1284" s="18" t="s">
        <v>876</v>
      </c>
      <c r="E1284" s="18"/>
      <c r="F1284" s="18" t="s">
        <v>1071</v>
      </c>
      <c r="G1284" s="18" t="s">
        <v>1033</v>
      </c>
      <c r="H1284" s="30" t="n">
        <v>0</v>
      </c>
      <c r="I1284" s="18" t="s">
        <v>527</v>
      </c>
      <c r="J1284" s="28" t="n">
        <v>502.12</v>
      </c>
      <c r="K1284" s="12" t="str">
        <f aca="false">TEXT(B1284,"yyyy-mm")</f>
        <v>2026-08</v>
      </c>
      <c r="L1284" s="21" t="str">
        <f aca="false">IFERROR(INDEX(Projects!$E$2:$E$500,MATCH(C1284,Projects!$A$2:$A$500,0)),"")</f>
        <v>Data &amp; AI</v>
      </c>
      <c r="M1284" s="31" t="n">
        <f aca="false">IF(I1284="Yes",H1284*INDEX(Resources!$I$2:$I$500,MATCH(E1284,Resources!$A$2:$A$500,0)),0)</f>
        <v>0</v>
      </c>
    </row>
    <row r="1285" customFormat="false" ht="15" hidden="false" customHeight="false" outlineLevel="0" collapsed="false">
      <c r="A1285" s="18" t="s">
        <v>2318</v>
      </c>
      <c r="B1285" s="19" t="n">
        <v>46265</v>
      </c>
      <c r="C1285" s="18" t="s">
        <v>222</v>
      </c>
      <c r="D1285" s="18" t="s">
        <v>889</v>
      </c>
      <c r="E1285" s="18"/>
      <c r="F1285" s="18" t="s">
        <v>1035</v>
      </c>
      <c r="G1285" s="18" t="s">
        <v>1026</v>
      </c>
      <c r="H1285" s="30" t="n">
        <v>0</v>
      </c>
      <c r="I1285" s="18" t="s">
        <v>527</v>
      </c>
      <c r="J1285" s="28" t="n">
        <v>7117.69</v>
      </c>
      <c r="K1285" s="12" t="str">
        <f aca="false">TEXT(B1285,"yyyy-mm")</f>
        <v>2026-08</v>
      </c>
      <c r="L1285" s="21" t="str">
        <f aca="false">IFERROR(INDEX(Projects!$E$2:$E$500,MATCH(C1285,Projects!$A$2:$A$500,0)),"")</f>
        <v>Cloud &amp; Infrastructure</v>
      </c>
      <c r="M1285" s="31" t="n">
        <f aca="false">IF(I1285="Yes",H1285*INDEX(Resources!$I$2:$I$500,MATCH(E1285,Resources!$A$2:$A$500,0)),0)</f>
        <v>0</v>
      </c>
    </row>
    <row r="1286" customFormat="false" ht="15" hidden="false" customHeight="false" outlineLevel="0" collapsed="false">
      <c r="A1286" s="18" t="s">
        <v>2319</v>
      </c>
      <c r="B1286" s="19" t="n">
        <v>46265</v>
      </c>
      <c r="C1286" s="18" t="s">
        <v>222</v>
      </c>
      <c r="D1286" s="18" t="s">
        <v>882</v>
      </c>
      <c r="E1286" s="18"/>
      <c r="F1286" s="18" t="s">
        <v>1616</v>
      </c>
      <c r="G1286" s="18" t="s">
        <v>1026</v>
      </c>
      <c r="H1286" s="30" t="n">
        <v>0</v>
      </c>
      <c r="I1286" s="18" t="s">
        <v>527</v>
      </c>
      <c r="J1286" s="28" t="n">
        <v>22310.72</v>
      </c>
      <c r="K1286" s="12" t="str">
        <f aca="false">TEXT(B1286,"yyyy-mm")</f>
        <v>2026-08</v>
      </c>
      <c r="L1286" s="21" t="str">
        <f aca="false">IFERROR(INDEX(Projects!$E$2:$E$500,MATCH(C1286,Projects!$A$2:$A$500,0)),"")</f>
        <v>Cloud &amp; Infrastructure</v>
      </c>
      <c r="M1286" s="31" t="n">
        <f aca="false">IF(I1286="Yes",H1286*INDEX(Resources!$I$2:$I$500,MATCH(E1286,Resources!$A$2:$A$500,0)),0)</f>
        <v>0</v>
      </c>
    </row>
    <row r="1287" customFormat="false" ht="15" hidden="false" customHeight="false" outlineLevel="0" collapsed="false">
      <c r="A1287" s="18" t="s">
        <v>2320</v>
      </c>
      <c r="B1287" s="19" t="n">
        <v>46265</v>
      </c>
      <c r="C1287" s="18" t="s">
        <v>222</v>
      </c>
      <c r="D1287" s="18" t="s">
        <v>869</v>
      </c>
      <c r="E1287" s="18" t="s">
        <v>226</v>
      </c>
      <c r="F1287" s="18"/>
      <c r="G1287" s="18" t="s">
        <v>1019</v>
      </c>
      <c r="H1287" s="30" t="n">
        <v>44.7</v>
      </c>
      <c r="I1287" s="18" t="s">
        <v>513</v>
      </c>
      <c r="J1287" s="28" t="n">
        <v>3933.6</v>
      </c>
      <c r="K1287" s="12" t="str">
        <f aca="false">TEXT(B1287,"yyyy-mm")</f>
        <v>2026-08</v>
      </c>
      <c r="L1287" s="21" t="str">
        <f aca="false">IFERROR(INDEX(Projects!$E$2:$E$500,MATCH(C1287,Projects!$A$2:$A$500,0)),"")</f>
        <v>Cloud &amp; Infrastructure</v>
      </c>
      <c r="M1287" s="31" t="n">
        <f aca="false">IF(I1287="Yes",H1287*INDEX(Resources!$I$2:$I$500,MATCH(E1287,Resources!$A$2:$A$500,0)),0)</f>
        <v>7822.5</v>
      </c>
    </row>
    <row r="1288" customFormat="false" ht="15" hidden="false" customHeight="false" outlineLevel="0" collapsed="false">
      <c r="A1288" s="18" t="s">
        <v>2321</v>
      </c>
      <c r="B1288" s="19" t="n">
        <v>46265</v>
      </c>
      <c r="C1288" s="18" t="s">
        <v>222</v>
      </c>
      <c r="D1288" s="18" t="s">
        <v>869</v>
      </c>
      <c r="E1288" s="18" t="s">
        <v>348</v>
      </c>
      <c r="F1288" s="18"/>
      <c r="G1288" s="18" t="s">
        <v>1019</v>
      </c>
      <c r="H1288" s="30" t="n">
        <v>24.7</v>
      </c>
      <c r="I1288" s="18" t="s">
        <v>513</v>
      </c>
      <c r="J1288" s="28" t="n">
        <v>3209.02</v>
      </c>
      <c r="K1288" s="12" t="str">
        <f aca="false">TEXT(B1288,"yyyy-mm")</f>
        <v>2026-08</v>
      </c>
      <c r="L1288" s="21" t="str">
        <f aca="false">IFERROR(INDEX(Projects!$E$2:$E$500,MATCH(C1288,Projects!$A$2:$A$500,0)),"")</f>
        <v>Cloud &amp; Infrastructure</v>
      </c>
      <c r="M1288" s="31" t="n">
        <f aca="false">IF(I1288="Yes",H1288*INDEX(Resources!$I$2:$I$500,MATCH(E1288,Resources!$A$2:$A$500,0)),0)</f>
        <v>6422</v>
      </c>
    </row>
    <row r="1289" customFormat="false" ht="15" hidden="false" customHeight="false" outlineLevel="0" collapsed="false">
      <c r="A1289" s="18" t="s">
        <v>2322</v>
      </c>
      <c r="B1289" s="19" t="n">
        <v>46265</v>
      </c>
      <c r="C1289" s="18" t="s">
        <v>222</v>
      </c>
      <c r="D1289" s="18" t="s">
        <v>869</v>
      </c>
      <c r="E1289" s="18" t="s">
        <v>395</v>
      </c>
      <c r="F1289" s="18"/>
      <c r="G1289" s="18" t="s">
        <v>1019</v>
      </c>
      <c r="H1289" s="30" t="n">
        <v>91.1</v>
      </c>
      <c r="I1289" s="18" t="s">
        <v>513</v>
      </c>
      <c r="J1289" s="28" t="n">
        <v>9743.15</v>
      </c>
      <c r="K1289" s="12" t="str">
        <f aca="false">TEXT(B1289,"yyyy-mm")</f>
        <v>2026-08</v>
      </c>
      <c r="L1289" s="21" t="str">
        <f aca="false">IFERROR(INDEX(Projects!$E$2:$E$500,MATCH(C1289,Projects!$A$2:$A$500,0)),"")</f>
        <v>Cloud &amp; Infrastructure</v>
      </c>
      <c r="M1289" s="31" t="n">
        <f aca="false">IF(I1289="Yes",H1289*INDEX(Resources!$I$2:$I$500,MATCH(E1289,Resources!$A$2:$A$500,0)),0)</f>
        <v>15487</v>
      </c>
    </row>
    <row r="1290" customFormat="false" ht="15" hidden="false" customHeight="false" outlineLevel="0" collapsed="false">
      <c r="A1290" s="18" t="s">
        <v>2323</v>
      </c>
      <c r="B1290" s="19" t="n">
        <v>46265</v>
      </c>
      <c r="C1290" s="18" t="s">
        <v>222</v>
      </c>
      <c r="D1290" s="18" t="s">
        <v>869</v>
      </c>
      <c r="E1290" s="18" t="s">
        <v>470</v>
      </c>
      <c r="F1290" s="18"/>
      <c r="G1290" s="18" t="s">
        <v>1019</v>
      </c>
      <c r="H1290" s="30" t="n">
        <v>157.9</v>
      </c>
      <c r="I1290" s="18" t="s">
        <v>513</v>
      </c>
      <c r="J1290" s="28" t="n">
        <v>17217.42</v>
      </c>
      <c r="K1290" s="12" t="str">
        <f aca="false">TEXT(B1290,"yyyy-mm")</f>
        <v>2026-08</v>
      </c>
      <c r="L1290" s="21" t="str">
        <f aca="false">IFERROR(INDEX(Projects!$E$2:$E$500,MATCH(C1290,Projects!$A$2:$A$500,0)),"")</f>
        <v>Cloud &amp; Infrastructure</v>
      </c>
      <c r="M1290" s="31" t="n">
        <f aca="false">IF(I1290="Yes",H1290*INDEX(Resources!$I$2:$I$500,MATCH(E1290,Resources!$A$2:$A$500,0)),0)</f>
        <v>34738</v>
      </c>
    </row>
    <row r="1291" customFormat="false" ht="15" hidden="false" customHeight="false" outlineLevel="0" collapsed="false">
      <c r="A1291" s="18" t="s">
        <v>2324</v>
      </c>
      <c r="B1291" s="19" t="n">
        <v>46265</v>
      </c>
      <c r="C1291" s="18" t="s">
        <v>222</v>
      </c>
      <c r="D1291" s="18" t="s">
        <v>869</v>
      </c>
      <c r="E1291" s="18" t="s">
        <v>483</v>
      </c>
      <c r="F1291" s="18"/>
      <c r="G1291" s="18" t="s">
        <v>1019</v>
      </c>
      <c r="H1291" s="30" t="n">
        <v>77.1</v>
      </c>
      <c r="I1291" s="18" t="s">
        <v>513</v>
      </c>
      <c r="J1291" s="28" t="n">
        <v>7691.5</v>
      </c>
      <c r="K1291" s="12" t="str">
        <f aca="false">TEXT(B1291,"yyyy-mm")</f>
        <v>2026-08</v>
      </c>
      <c r="L1291" s="21" t="str">
        <f aca="false">IFERROR(INDEX(Projects!$E$2:$E$500,MATCH(C1291,Projects!$A$2:$A$500,0)),"")</f>
        <v>Cloud &amp; Infrastructure</v>
      </c>
      <c r="M1291" s="31" t="n">
        <f aca="false">IF(I1291="Yes",H1291*INDEX(Resources!$I$2:$I$500,MATCH(E1291,Resources!$A$2:$A$500,0)),0)</f>
        <v>15805.5</v>
      </c>
    </row>
    <row r="1292" customFormat="false" ht="15" hidden="false" customHeight="false" outlineLevel="0" collapsed="false">
      <c r="A1292" s="18" t="s">
        <v>2325</v>
      </c>
      <c r="B1292" s="19" t="n">
        <v>46265</v>
      </c>
      <c r="C1292" s="18" t="s">
        <v>222</v>
      </c>
      <c r="D1292" s="18" t="s">
        <v>872</v>
      </c>
      <c r="E1292" s="18"/>
      <c r="F1292" s="18" t="s">
        <v>353</v>
      </c>
      <c r="G1292" s="18" t="s">
        <v>1026</v>
      </c>
      <c r="H1292" s="30" t="n">
        <v>0</v>
      </c>
      <c r="I1292" s="18" t="s">
        <v>527</v>
      </c>
      <c r="J1292" s="28" t="n">
        <v>2105.26</v>
      </c>
      <c r="K1292" s="12" t="str">
        <f aca="false">TEXT(B1292,"yyyy-mm")</f>
        <v>2026-08</v>
      </c>
      <c r="L1292" s="21" t="str">
        <f aca="false">IFERROR(INDEX(Projects!$E$2:$E$500,MATCH(C1292,Projects!$A$2:$A$500,0)),"")</f>
        <v>Cloud &amp; Infrastructure</v>
      </c>
      <c r="M1292" s="31" t="n">
        <f aca="false">IF(I1292="Yes",H1292*INDEX(Resources!$I$2:$I$500,MATCH(E1292,Resources!$A$2:$A$500,0)),0)</f>
        <v>0</v>
      </c>
    </row>
    <row r="1293" customFormat="false" ht="15" hidden="false" customHeight="false" outlineLevel="0" collapsed="false">
      <c r="A1293" s="18" t="s">
        <v>2326</v>
      </c>
      <c r="B1293" s="19" t="n">
        <v>46265</v>
      </c>
      <c r="C1293" s="18" t="s">
        <v>222</v>
      </c>
      <c r="D1293" s="18" t="s">
        <v>876</v>
      </c>
      <c r="E1293" s="18"/>
      <c r="F1293" s="18" t="s">
        <v>1071</v>
      </c>
      <c r="G1293" s="18" t="s">
        <v>1033</v>
      </c>
      <c r="H1293" s="30" t="n">
        <v>0</v>
      </c>
      <c r="I1293" s="18" t="s">
        <v>527</v>
      </c>
      <c r="J1293" s="28" t="n">
        <v>990.96</v>
      </c>
      <c r="K1293" s="12" t="str">
        <f aca="false">TEXT(B1293,"yyyy-mm")</f>
        <v>2026-08</v>
      </c>
      <c r="L1293" s="21" t="str">
        <f aca="false">IFERROR(INDEX(Projects!$E$2:$E$500,MATCH(C1293,Projects!$A$2:$A$500,0)),"")</f>
        <v>Cloud &amp; Infrastructure</v>
      </c>
      <c r="M1293" s="31" t="n">
        <f aca="false">IF(I1293="Yes",H1293*INDEX(Resources!$I$2:$I$500,MATCH(E1293,Resources!$A$2:$A$500,0)),0)</f>
        <v>0</v>
      </c>
    </row>
    <row r="1294" customFormat="false" ht="15" hidden="false" customHeight="false" outlineLevel="0" collapsed="false">
      <c r="A1294" s="18" t="s">
        <v>2327</v>
      </c>
      <c r="B1294" s="19" t="n">
        <v>46265</v>
      </c>
      <c r="C1294" s="18" t="s">
        <v>228</v>
      </c>
      <c r="D1294" s="18" t="s">
        <v>889</v>
      </c>
      <c r="E1294" s="18"/>
      <c r="F1294" s="18" t="s">
        <v>1035</v>
      </c>
      <c r="G1294" s="18" t="s">
        <v>1026</v>
      </c>
      <c r="H1294" s="30" t="n">
        <v>0</v>
      </c>
      <c r="I1294" s="18" t="s">
        <v>527</v>
      </c>
      <c r="J1294" s="28" t="n">
        <v>3385.13</v>
      </c>
      <c r="K1294" s="12" t="str">
        <f aca="false">TEXT(B1294,"yyyy-mm")</f>
        <v>2026-08</v>
      </c>
      <c r="L1294" s="21" t="str">
        <f aca="false">IFERROR(INDEX(Projects!$E$2:$E$500,MATCH(C1294,Projects!$A$2:$A$500,0)),"")</f>
        <v>Data &amp; AI</v>
      </c>
      <c r="M1294" s="31" t="n">
        <f aca="false">IF(I1294="Yes",H1294*INDEX(Resources!$I$2:$I$500,MATCH(E1294,Resources!$A$2:$A$500,0)),0)</f>
        <v>0</v>
      </c>
    </row>
    <row r="1295" customFormat="false" ht="15" hidden="false" customHeight="false" outlineLevel="0" collapsed="false">
      <c r="A1295" s="18" t="s">
        <v>2328</v>
      </c>
      <c r="B1295" s="19" t="n">
        <v>46265</v>
      </c>
      <c r="C1295" s="18" t="s">
        <v>228</v>
      </c>
      <c r="D1295" s="18" t="s">
        <v>869</v>
      </c>
      <c r="E1295" s="18" t="s">
        <v>231</v>
      </c>
      <c r="F1295" s="18"/>
      <c r="G1295" s="18" t="s">
        <v>1019</v>
      </c>
      <c r="H1295" s="30" t="n">
        <v>57.1</v>
      </c>
      <c r="I1295" s="18" t="s">
        <v>513</v>
      </c>
      <c r="J1295" s="28" t="n">
        <v>5828.77</v>
      </c>
      <c r="K1295" s="12" t="str">
        <f aca="false">TEXT(B1295,"yyyy-mm")</f>
        <v>2026-08</v>
      </c>
      <c r="L1295" s="21" t="str">
        <f aca="false">IFERROR(INDEX(Projects!$E$2:$E$500,MATCH(C1295,Projects!$A$2:$A$500,0)),"")</f>
        <v>Data &amp; AI</v>
      </c>
      <c r="M1295" s="31" t="n">
        <f aca="false">IF(I1295="Yes",H1295*INDEX(Resources!$I$2:$I$500,MATCH(E1295,Resources!$A$2:$A$500,0)),0)</f>
        <v>11705.5</v>
      </c>
    </row>
    <row r="1296" customFormat="false" ht="15" hidden="false" customHeight="false" outlineLevel="0" collapsed="false">
      <c r="A1296" s="18" t="s">
        <v>2329</v>
      </c>
      <c r="B1296" s="19" t="n">
        <v>46265</v>
      </c>
      <c r="C1296" s="18" t="s">
        <v>228</v>
      </c>
      <c r="D1296" s="18" t="s">
        <v>869</v>
      </c>
      <c r="E1296" s="18" t="s">
        <v>354</v>
      </c>
      <c r="F1296" s="18"/>
      <c r="G1296" s="18" t="s">
        <v>1019</v>
      </c>
      <c r="H1296" s="30" t="n">
        <v>58.8</v>
      </c>
      <c r="I1296" s="18" t="s">
        <v>513</v>
      </c>
      <c r="J1296" s="28" t="n">
        <v>7639.3</v>
      </c>
      <c r="K1296" s="12" t="str">
        <f aca="false">TEXT(B1296,"yyyy-mm")</f>
        <v>2026-08</v>
      </c>
      <c r="L1296" s="21" t="str">
        <f aca="false">IFERROR(INDEX(Projects!$E$2:$E$500,MATCH(C1296,Projects!$A$2:$A$500,0)),"")</f>
        <v>Data &amp; AI</v>
      </c>
      <c r="M1296" s="31" t="n">
        <f aca="false">IF(I1296="Yes",H1296*INDEX(Resources!$I$2:$I$500,MATCH(E1296,Resources!$A$2:$A$500,0)),0)</f>
        <v>15288</v>
      </c>
    </row>
    <row r="1297" customFormat="false" ht="15" hidden="false" customHeight="false" outlineLevel="0" collapsed="false">
      <c r="A1297" s="18" t="s">
        <v>2330</v>
      </c>
      <c r="B1297" s="19" t="n">
        <v>46265</v>
      </c>
      <c r="C1297" s="18" t="s">
        <v>228</v>
      </c>
      <c r="D1297" s="18" t="s">
        <v>869</v>
      </c>
      <c r="E1297" s="18" t="s">
        <v>417</v>
      </c>
      <c r="F1297" s="18"/>
      <c r="G1297" s="18" t="s">
        <v>1019</v>
      </c>
      <c r="H1297" s="30" t="n">
        <v>95.9</v>
      </c>
      <c r="I1297" s="18" t="s">
        <v>513</v>
      </c>
      <c r="J1297" s="28" t="n">
        <v>5216.96</v>
      </c>
      <c r="K1297" s="12" t="str">
        <f aca="false">TEXT(B1297,"yyyy-mm")</f>
        <v>2026-08</v>
      </c>
      <c r="L1297" s="21" t="str">
        <f aca="false">IFERROR(INDEX(Projects!$E$2:$E$500,MATCH(C1297,Projects!$A$2:$A$500,0)),"")</f>
        <v>Data &amp; AI</v>
      </c>
      <c r="M1297" s="31" t="n">
        <f aca="false">IF(I1297="Yes",H1297*INDEX(Resources!$I$2:$I$500,MATCH(E1297,Resources!$A$2:$A$500,0)),0)</f>
        <v>10549</v>
      </c>
    </row>
    <row r="1298" customFormat="false" ht="15" hidden="false" customHeight="false" outlineLevel="0" collapsed="false">
      <c r="A1298" s="18" t="s">
        <v>2331</v>
      </c>
      <c r="B1298" s="19" t="n">
        <v>46265</v>
      </c>
      <c r="C1298" s="18" t="s">
        <v>228</v>
      </c>
      <c r="D1298" s="18" t="s">
        <v>869</v>
      </c>
      <c r="E1298" s="18" t="s">
        <v>446</v>
      </c>
      <c r="F1298" s="18"/>
      <c r="G1298" s="18" t="s">
        <v>1019</v>
      </c>
      <c r="H1298" s="30" t="n">
        <v>79.4</v>
      </c>
      <c r="I1298" s="18" t="s">
        <v>513</v>
      </c>
      <c r="J1298" s="28" t="n">
        <v>4446.4</v>
      </c>
      <c r="K1298" s="12" t="str">
        <f aca="false">TEXT(B1298,"yyyy-mm")</f>
        <v>2026-08</v>
      </c>
      <c r="L1298" s="21" t="str">
        <f aca="false">IFERROR(INDEX(Projects!$E$2:$E$500,MATCH(C1298,Projects!$A$2:$A$500,0)),"")</f>
        <v>Data &amp; AI</v>
      </c>
      <c r="M1298" s="31" t="n">
        <f aca="false">IF(I1298="Yes",H1298*INDEX(Resources!$I$2:$I$500,MATCH(E1298,Resources!$A$2:$A$500,0)),0)</f>
        <v>9131</v>
      </c>
    </row>
    <row r="1299" customFormat="false" ht="15" hidden="false" customHeight="false" outlineLevel="0" collapsed="false">
      <c r="A1299" s="18" t="s">
        <v>2332</v>
      </c>
      <c r="B1299" s="19" t="n">
        <v>46265</v>
      </c>
      <c r="C1299" s="18" t="s">
        <v>228</v>
      </c>
      <c r="D1299" s="18" t="s">
        <v>869</v>
      </c>
      <c r="E1299" s="18" t="s">
        <v>454</v>
      </c>
      <c r="F1299" s="18"/>
      <c r="G1299" s="18" t="s">
        <v>1019</v>
      </c>
      <c r="H1299" s="30" t="n">
        <v>162.3</v>
      </c>
      <c r="I1299" s="18" t="s">
        <v>513</v>
      </c>
      <c r="J1299" s="28" t="n">
        <v>12415.95</v>
      </c>
      <c r="K1299" s="12" t="str">
        <f aca="false">TEXT(B1299,"yyyy-mm")</f>
        <v>2026-08</v>
      </c>
      <c r="L1299" s="21" t="str">
        <f aca="false">IFERROR(INDEX(Projects!$E$2:$E$500,MATCH(C1299,Projects!$A$2:$A$500,0)),"")</f>
        <v>Data &amp; AI</v>
      </c>
      <c r="M1299" s="31" t="n">
        <f aca="false">IF(I1299="Yes",H1299*INDEX(Resources!$I$2:$I$500,MATCH(E1299,Resources!$A$2:$A$500,0)),0)</f>
        <v>25156.5</v>
      </c>
    </row>
    <row r="1300" customFormat="false" ht="15" hidden="false" customHeight="false" outlineLevel="0" collapsed="false">
      <c r="A1300" s="18" t="s">
        <v>2333</v>
      </c>
      <c r="B1300" s="19" t="n">
        <v>46265</v>
      </c>
      <c r="C1300" s="18" t="s">
        <v>228</v>
      </c>
      <c r="D1300" s="18" t="s">
        <v>869</v>
      </c>
      <c r="E1300" s="18" t="s">
        <v>462</v>
      </c>
      <c r="F1300" s="18"/>
      <c r="G1300" s="18" t="s">
        <v>1019</v>
      </c>
      <c r="H1300" s="30" t="n">
        <v>116</v>
      </c>
      <c r="I1300" s="18" t="s">
        <v>513</v>
      </c>
      <c r="J1300" s="28" t="n">
        <v>13186.88</v>
      </c>
      <c r="K1300" s="12" t="str">
        <f aca="false">TEXT(B1300,"yyyy-mm")</f>
        <v>2026-08</v>
      </c>
      <c r="L1300" s="21" t="str">
        <f aca="false">IFERROR(INDEX(Projects!$E$2:$E$500,MATCH(C1300,Projects!$A$2:$A$500,0)),"")</f>
        <v>Data &amp; AI</v>
      </c>
      <c r="M1300" s="31" t="n">
        <f aca="false">IF(I1300="Yes",H1300*INDEX(Resources!$I$2:$I$500,MATCH(E1300,Resources!$A$2:$A$500,0)),0)</f>
        <v>26680</v>
      </c>
    </row>
    <row r="1301" customFormat="false" ht="15" hidden="false" customHeight="false" outlineLevel="0" collapsed="false">
      <c r="A1301" s="18" t="s">
        <v>2334</v>
      </c>
      <c r="B1301" s="19" t="n">
        <v>46265</v>
      </c>
      <c r="C1301" s="18" t="s">
        <v>228</v>
      </c>
      <c r="D1301" s="18" t="s">
        <v>872</v>
      </c>
      <c r="E1301" s="18"/>
      <c r="F1301" s="18" t="s">
        <v>1059</v>
      </c>
      <c r="G1301" s="18" t="s">
        <v>1026</v>
      </c>
      <c r="H1301" s="30" t="n">
        <v>0</v>
      </c>
      <c r="I1301" s="18" t="s">
        <v>527</v>
      </c>
      <c r="J1301" s="28" t="n">
        <v>2170.97</v>
      </c>
      <c r="K1301" s="12" t="str">
        <f aca="false">TEXT(B1301,"yyyy-mm")</f>
        <v>2026-08</v>
      </c>
      <c r="L1301" s="21" t="str">
        <f aca="false">IFERROR(INDEX(Projects!$E$2:$E$500,MATCH(C1301,Projects!$A$2:$A$500,0)),"")</f>
        <v>Data &amp; AI</v>
      </c>
      <c r="M1301" s="31" t="n">
        <f aca="false">IF(I1301="Yes",H1301*INDEX(Resources!$I$2:$I$500,MATCH(E1301,Resources!$A$2:$A$500,0)),0)</f>
        <v>0</v>
      </c>
    </row>
    <row r="1302" customFormat="false" ht="15" hidden="false" customHeight="false" outlineLevel="0" collapsed="false">
      <c r="A1302" s="18" t="s">
        <v>2335</v>
      </c>
      <c r="B1302" s="19" t="n">
        <v>46265</v>
      </c>
      <c r="C1302" s="18" t="s">
        <v>228</v>
      </c>
      <c r="D1302" s="18" t="s">
        <v>876</v>
      </c>
      <c r="E1302" s="18"/>
      <c r="F1302" s="18" t="s">
        <v>1071</v>
      </c>
      <c r="G1302" s="18" t="s">
        <v>1033</v>
      </c>
      <c r="H1302" s="30" t="n">
        <v>0</v>
      </c>
      <c r="I1302" s="18" t="s">
        <v>527</v>
      </c>
      <c r="J1302" s="28" t="n">
        <v>540.7</v>
      </c>
      <c r="K1302" s="12" t="str">
        <f aca="false">TEXT(B1302,"yyyy-mm")</f>
        <v>2026-08</v>
      </c>
      <c r="L1302" s="21" t="str">
        <f aca="false">IFERROR(INDEX(Projects!$E$2:$E$500,MATCH(C1302,Projects!$A$2:$A$500,0)),"")</f>
        <v>Data &amp; AI</v>
      </c>
      <c r="M1302" s="31" t="n">
        <f aca="false">IF(I1302="Yes",H1302*INDEX(Resources!$I$2:$I$500,MATCH(E1302,Resources!$A$2:$A$500,0)),0)</f>
        <v>0</v>
      </c>
    </row>
    <row r="1303" customFormat="false" ht="15" hidden="false" customHeight="false" outlineLevel="0" collapsed="false">
      <c r="A1303" s="18" t="s">
        <v>2336</v>
      </c>
      <c r="B1303" s="19" t="n">
        <v>46265</v>
      </c>
      <c r="C1303" s="18" t="s">
        <v>233</v>
      </c>
      <c r="D1303" s="18" t="s">
        <v>869</v>
      </c>
      <c r="E1303" s="18" t="s">
        <v>237</v>
      </c>
      <c r="F1303" s="18"/>
      <c r="G1303" s="18" t="s">
        <v>1019</v>
      </c>
      <c r="H1303" s="30" t="n">
        <v>95.6</v>
      </c>
      <c r="I1303" s="18" t="s">
        <v>513</v>
      </c>
      <c r="J1303" s="28" t="n">
        <v>7150.88</v>
      </c>
      <c r="K1303" s="12" t="str">
        <f aca="false">TEXT(B1303,"yyyy-mm")</f>
        <v>2026-08</v>
      </c>
      <c r="L1303" s="21" t="str">
        <f aca="false">IFERROR(INDEX(Projects!$E$2:$E$500,MATCH(C1303,Projects!$A$2:$A$500,0)),"")</f>
        <v>Customer Experience</v>
      </c>
      <c r="M1303" s="31" t="n">
        <f aca="false">IF(I1303="Yes",H1303*INDEX(Resources!$I$2:$I$500,MATCH(E1303,Resources!$A$2:$A$500,0)),0)</f>
        <v>14340</v>
      </c>
    </row>
    <row r="1304" customFormat="false" ht="15" hidden="false" customHeight="false" outlineLevel="0" collapsed="false">
      <c r="A1304" s="18" t="s">
        <v>2337</v>
      </c>
      <c r="B1304" s="19" t="n">
        <v>46265</v>
      </c>
      <c r="C1304" s="18" t="s">
        <v>233</v>
      </c>
      <c r="D1304" s="18" t="s">
        <v>869</v>
      </c>
      <c r="E1304" s="18" t="s">
        <v>398</v>
      </c>
      <c r="F1304" s="18"/>
      <c r="G1304" s="18" t="s">
        <v>1019</v>
      </c>
      <c r="H1304" s="30" t="n">
        <v>149</v>
      </c>
      <c r="I1304" s="18" t="s">
        <v>513</v>
      </c>
      <c r="J1304" s="28" t="n">
        <v>12748.44</v>
      </c>
      <c r="K1304" s="12" t="str">
        <f aca="false">TEXT(B1304,"yyyy-mm")</f>
        <v>2026-08</v>
      </c>
      <c r="L1304" s="21" t="str">
        <f aca="false">IFERROR(INDEX(Projects!$E$2:$E$500,MATCH(C1304,Projects!$A$2:$A$500,0)),"")</f>
        <v>Customer Experience</v>
      </c>
      <c r="M1304" s="31" t="n">
        <f aca="false">IF(I1304="Yes",H1304*INDEX(Resources!$I$2:$I$500,MATCH(E1304,Resources!$A$2:$A$500,0)),0)</f>
        <v>25330</v>
      </c>
    </row>
    <row r="1305" customFormat="false" ht="15" hidden="false" customHeight="false" outlineLevel="0" collapsed="false">
      <c r="A1305" s="18" t="s">
        <v>2338</v>
      </c>
      <c r="B1305" s="19" t="n">
        <v>46265</v>
      </c>
      <c r="C1305" s="18" t="s">
        <v>233</v>
      </c>
      <c r="D1305" s="18" t="s">
        <v>869</v>
      </c>
      <c r="E1305" s="18" t="s">
        <v>420</v>
      </c>
      <c r="F1305" s="18"/>
      <c r="G1305" s="18" t="s">
        <v>1019</v>
      </c>
      <c r="H1305" s="30" t="n">
        <v>192.1</v>
      </c>
      <c r="I1305" s="18" t="s">
        <v>513</v>
      </c>
      <c r="J1305" s="28" t="n">
        <v>11433.79</v>
      </c>
      <c r="K1305" s="12" t="str">
        <f aca="false">TEXT(B1305,"yyyy-mm")</f>
        <v>2026-08</v>
      </c>
      <c r="L1305" s="21" t="str">
        <f aca="false">IFERROR(INDEX(Projects!$E$2:$E$500,MATCH(C1305,Projects!$A$2:$A$500,0)),"")</f>
        <v>Customer Experience</v>
      </c>
      <c r="M1305" s="31" t="n">
        <f aca="false">IF(I1305="Yes",H1305*INDEX(Resources!$I$2:$I$500,MATCH(E1305,Resources!$A$2:$A$500,0)),0)</f>
        <v>23052</v>
      </c>
    </row>
    <row r="1306" customFormat="false" ht="15" hidden="false" customHeight="false" outlineLevel="0" collapsed="false">
      <c r="A1306" s="18" t="s">
        <v>2339</v>
      </c>
      <c r="B1306" s="19" t="n">
        <v>46265</v>
      </c>
      <c r="C1306" s="18" t="s">
        <v>233</v>
      </c>
      <c r="D1306" s="18" t="s">
        <v>869</v>
      </c>
      <c r="E1306" s="18" t="s">
        <v>444</v>
      </c>
      <c r="F1306" s="18"/>
      <c r="G1306" s="18" t="s">
        <v>1019</v>
      </c>
      <c r="H1306" s="30" t="n">
        <v>114.2</v>
      </c>
      <c r="I1306" s="18" t="s">
        <v>513</v>
      </c>
      <c r="J1306" s="28" t="n">
        <v>5947.54</v>
      </c>
      <c r="K1306" s="12" t="str">
        <f aca="false">TEXT(B1306,"yyyy-mm")</f>
        <v>2026-08</v>
      </c>
      <c r="L1306" s="21" t="str">
        <f aca="false">IFERROR(INDEX(Projects!$E$2:$E$500,MATCH(C1306,Projects!$A$2:$A$500,0)),"")</f>
        <v>Customer Experience</v>
      </c>
      <c r="M1306" s="31" t="n">
        <f aca="false">IF(I1306="Yes",H1306*INDEX(Resources!$I$2:$I$500,MATCH(E1306,Resources!$A$2:$A$500,0)),0)</f>
        <v>11991</v>
      </c>
    </row>
    <row r="1307" customFormat="false" ht="15" hidden="false" customHeight="false" outlineLevel="0" collapsed="false">
      <c r="A1307" s="18" t="s">
        <v>2340</v>
      </c>
      <c r="B1307" s="19" t="n">
        <v>46265</v>
      </c>
      <c r="C1307" s="18" t="s">
        <v>233</v>
      </c>
      <c r="D1307" s="18" t="s">
        <v>872</v>
      </c>
      <c r="E1307" s="18"/>
      <c r="F1307" s="18" t="s">
        <v>353</v>
      </c>
      <c r="G1307" s="18" t="s">
        <v>1026</v>
      </c>
      <c r="H1307" s="30" t="n">
        <v>0</v>
      </c>
      <c r="I1307" s="18" t="s">
        <v>527</v>
      </c>
      <c r="J1307" s="28" t="n">
        <v>2530.29</v>
      </c>
      <c r="K1307" s="12" t="str">
        <f aca="false">TEXT(B1307,"yyyy-mm")</f>
        <v>2026-08</v>
      </c>
      <c r="L1307" s="21" t="str">
        <f aca="false">IFERROR(INDEX(Projects!$E$2:$E$500,MATCH(C1307,Projects!$A$2:$A$500,0)),"")</f>
        <v>Customer Experience</v>
      </c>
      <c r="M1307" s="31" t="n">
        <f aca="false">IF(I1307="Yes",H1307*INDEX(Resources!$I$2:$I$500,MATCH(E1307,Resources!$A$2:$A$500,0)),0)</f>
        <v>0</v>
      </c>
    </row>
    <row r="1308" customFormat="false" ht="15" hidden="false" customHeight="false" outlineLevel="0" collapsed="false">
      <c r="A1308" s="18" t="s">
        <v>2341</v>
      </c>
      <c r="B1308" s="19" t="n">
        <v>46265</v>
      </c>
      <c r="C1308" s="18" t="s">
        <v>233</v>
      </c>
      <c r="D1308" s="18" t="s">
        <v>874</v>
      </c>
      <c r="E1308" s="18"/>
      <c r="F1308" s="18" t="s">
        <v>1028</v>
      </c>
      <c r="G1308" s="18" t="s">
        <v>1026</v>
      </c>
      <c r="H1308" s="30" t="n">
        <v>0</v>
      </c>
      <c r="I1308" s="18" t="s">
        <v>527</v>
      </c>
      <c r="J1308" s="28" t="n">
        <v>4186.71</v>
      </c>
      <c r="K1308" s="12" t="str">
        <f aca="false">TEXT(B1308,"yyyy-mm")</f>
        <v>2026-08</v>
      </c>
      <c r="L1308" s="21" t="str">
        <f aca="false">IFERROR(INDEX(Projects!$E$2:$E$500,MATCH(C1308,Projects!$A$2:$A$500,0)),"")</f>
        <v>Customer Experience</v>
      </c>
      <c r="M1308" s="31" t="n">
        <f aca="false">IF(I1308="Yes",H1308*INDEX(Resources!$I$2:$I$500,MATCH(E1308,Resources!$A$2:$A$500,0)),0)</f>
        <v>0</v>
      </c>
    </row>
    <row r="1309" customFormat="false" ht="15" hidden="false" customHeight="false" outlineLevel="0" collapsed="false">
      <c r="A1309" s="18" t="s">
        <v>2342</v>
      </c>
      <c r="B1309" s="19" t="n">
        <v>46265</v>
      </c>
      <c r="C1309" s="18" t="s">
        <v>233</v>
      </c>
      <c r="D1309" s="18" t="s">
        <v>876</v>
      </c>
      <c r="E1309" s="18"/>
      <c r="F1309" s="18" t="s">
        <v>1071</v>
      </c>
      <c r="G1309" s="18" t="s">
        <v>1033</v>
      </c>
      <c r="H1309" s="30" t="n">
        <v>0</v>
      </c>
      <c r="I1309" s="18" t="s">
        <v>527</v>
      </c>
      <c r="J1309" s="28" t="n">
        <v>743.73</v>
      </c>
      <c r="K1309" s="12" t="str">
        <f aca="false">TEXT(B1309,"yyyy-mm")</f>
        <v>2026-08</v>
      </c>
      <c r="L1309" s="21" t="str">
        <f aca="false">IFERROR(INDEX(Projects!$E$2:$E$500,MATCH(C1309,Projects!$A$2:$A$500,0)),"")</f>
        <v>Customer Experience</v>
      </c>
      <c r="M1309" s="31" t="n">
        <f aca="false">IF(I1309="Yes",H1309*INDEX(Resources!$I$2:$I$500,MATCH(E1309,Resources!$A$2:$A$500,0)),0)</f>
        <v>0</v>
      </c>
    </row>
    <row r="1310" customFormat="false" ht="15" hidden="false" customHeight="false" outlineLevel="0" collapsed="false">
      <c r="A1310" s="18" t="s">
        <v>2343</v>
      </c>
      <c r="B1310" s="19" t="n">
        <v>46265</v>
      </c>
      <c r="C1310" s="18" t="s">
        <v>239</v>
      </c>
      <c r="D1310" s="18" t="s">
        <v>869</v>
      </c>
      <c r="E1310" s="18" t="s">
        <v>242</v>
      </c>
      <c r="F1310" s="18"/>
      <c r="G1310" s="18" t="s">
        <v>1019</v>
      </c>
      <c r="H1310" s="30" t="n">
        <v>89.9</v>
      </c>
      <c r="I1310" s="18" t="s">
        <v>513</v>
      </c>
      <c r="J1310" s="28" t="n">
        <v>8544.1</v>
      </c>
      <c r="K1310" s="12" t="str">
        <f aca="false">TEXT(B1310,"yyyy-mm")</f>
        <v>2026-08</v>
      </c>
      <c r="L1310" s="21" t="str">
        <f aca="false">IFERROR(INDEX(Projects!$E$2:$E$500,MATCH(C1310,Projects!$A$2:$A$500,0)),"")</f>
        <v>Digital Transformation</v>
      </c>
      <c r="M1310" s="31" t="n">
        <f aca="false">IF(I1310="Yes",H1310*INDEX(Resources!$I$2:$I$500,MATCH(E1310,Resources!$A$2:$A$500,0)),0)</f>
        <v>17081</v>
      </c>
    </row>
    <row r="1311" customFormat="false" ht="15" hidden="false" customHeight="false" outlineLevel="0" collapsed="false">
      <c r="A1311" s="18" t="s">
        <v>2344</v>
      </c>
      <c r="B1311" s="19" t="n">
        <v>46265</v>
      </c>
      <c r="C1311" s="18" t="s">
        <v>239</v>
      </c>
      <c r="D1311" s="18" t="s">
        <v>869</v>
      </c>
      <c r="E1311" s="18" t="s">
        <v>360</v>
      </c>
      <c r="F1311" s="18"/>
      <c r="G1311" s="18" t="s">
        <v>1019</v>
      </c>
      <c r="H1311" s="30" t="n">
        <v>89.6</v>
      </c>
      <c r="I1311" s="18" t="s">
        <v>513</v>
      </c>
      <c r="J1311" s="28" t="n">
        <v>9332.74</v>
      </c>
      <c r="K1311" s="12" t="str">
        <f aca="false">TEXT(B1311,"yyyy-mm")</f>
        <v>2026-08</v>
      </c>
      <c r="L1311" s="21" t="str">
        <f aca="false">IFERROR(INDEX(Projects!$E$2:$E$500,MATCH(C1311,Projects!$A$2:$A$500,0)),"")</f>
        <v>Digital Transformation</v>
      </c>
      <c r="M1311" s="31" t="n">
        <f aca="false">IF(I1311="Yes",H1311*INDEX(Resources!$I$2:$I$500,MATCH(E1311,Resources!$A$2:$A$500,0)),0)</f>
        <v>18816</v>
      </c>
    </row>
    <row r="1312" customFormat="false" ht="15" hidden="false" customHeight="false" outlineLevel="0" collapsed="false">
      <c r="A1312" s="18" t="s">
        <v>2345</v>
      </c>
      <c r="B1312" s="19" t="n">
        <v>46265</v>
      </c>
      <c r="C1312" s="18" t="s">
        <v>239</v>
      </c>
      <c r="D1312" s="18" t="s">
        <v>869</v>
      </c>
      <c r="E1312" s="18" t="s">
        <v>371</v>
      </c>
      <c r="F1312" s="18"/>
      <c r="G1312" s="18" t="s">
        <v>1019</v>
      </c>
      <c r="H1312" s="30" t="n">
        <v>88.3</v>
      </c>
      <c r="I1312" s="18" t="s">
        <v>513</v>
      </c>
      <c r="J1312" s="28" t="n">
        <v>5584.09</v>
      </c>
      <c r="K1312" s="12" t="str">
        <f aca="false">TEXT(B1312,"yyyy-mm")</f>
        <v>2026-08</v>
      </c>
      <c r="L1312" s="21" t="str">
        <f aca="false">IFERROR(INDEX(Projects!$E$2:$E$500,MATCH(C1312,Projects!$A$2:$A$500,0)),"")</f>
        <v>Digital Transformation</v>
      </c>
      <c r="M1312" s="31" t="n">
        <f aca="false">IF(I1312="Yes",H1312*INDEX(Resources!$I$2:$I$500,MATCH(E1312,Resources!$A$2:$A$500,0)),0)</f>
        <v>11479</v>
      </c>
    </row>
    <row r="1313" customFormat="false" ht="15" hidden="false" customHeight="false" outlineLevel="0" collapsed="false">
      <c r="A1313" s="18" t="s">
        <v>2346</v>
      </c>
      <c r="B1313" s="19" t="n">
        <v>46265</v>
      </c>
      <c r="C1313" s="18" t="s">
        <v>239</v>
      </c>
      <c r="D1313" s="18" t="s">
        <v>869</v>
      </c>
      <c r="E1313" s="18" t="s">
        <v>400</v>
      </c>
      <c r="F1313" s="18"/>
      <c r="G1313" s="18" t="s">
        <v>1019</v>
      </c>
      <c r="H1313" s="30" t="n">
        <v>116.8</v>
      </c>
      <c r="I1313" s="18" t="s">
        <v>513</v>
      </c>
      <c r="J1313" s="28" t="n">
        <v>11605.25</v>
      </c>
      <c r="K1313" s="12" t="str">
        <f aca="false">TEXT(B1313,"yyyy-mm")</f>
        <v>2026-08</v>
      </c>
      <c r="L1313" s="21" t="str">
        <f aca="false">IFERROR(INDEX(Projects!$E$2:$E$500,MATCH(C1313,Projects!$A$2:$A$500,0)),"")</f>
        <v>Digital Transformation</v>
      </c>
      <c r="M1313" s="31" t="n">
        <f aca="false">IF(I1313="Yes",H1313*INDEX(Resources!$I$2:$I$500,MATCH(E1313,Resources!$A$2:$A$500,0)),0)</f>
        <v>23360</v>
      </c>
    </row>
    <row r="1314" customFormat="false" ht="15" hidden="false" customHeight="false" outlineLevel="0" collapsed="false">
      <c r="A1314" s="18" t="s">
        <v>2347</v>
      </c>
      <c r="B1314" s="19" t="n">
        <v>46265</v>
      </c>
      <c r="C1314" s="18" t="s">
        <v>239</v>
      </c>
      <c r="D1314" s="18" t="s">
        <v>869</v>
      </c>
      <c r="E1314" s="18" t="s">
        <v>422</v>
      </c>
      <c r="F1314" s="18"/>
      <c r="G1314" s="18" t="s">
        <v>1019</v>
      </c>
      <c r="H1314" s="30" t="n">
        <v>77.8</v>
      </c>
      <c r="I1314" s="18" t="s">
        <v>513</v>
      </c>
      <c r="J1314" s="28" t="n">
        <v>4630.66</v>
      </c>
      <c r="K1314" s="12" t="str">
        <f aca="false">TEXT(B1314,"yyyy-mm")</f>
        <v>2026-08</v>
      </c>
      <c r="L1314" s="21" t="str">
        <f aca="false">IFERROR(INDEX(Projects!$E$2:$E$500,MATCH(C1314,Projects!$A$2:$A$500,0)),"")</f>
        <v>Digital Transformation</v>
      </c>
      <c r="M1314" s="31" t="n">
        <f aca="false">IF(I1314="Yes",H1314*INDEX(Resources!$I$2:$I$500,MATCH(E1314,Resources!$A$2:$A$500,0)),0)</f>
        <v>9336</v>
      </c>
    </row>
    <row r="1315" customFormat="false" ht="15" hidden="false" customHeight="false" outlineLevel="0" collapsed="false">
      <c r="A1315" s="18" t="s">
        <v>2348</v>
      </c>
      <c r="B1315" s="19" t="n">
        <v>46265</v>
      </c>
      <c r="C1315" s="18" t="s">
        <v>239</v>
      </c>
      <c r="D1315" s="18" t="s">
        <v>872</v>
      </c>
      <c r="E1315" s="18"/>
      <c r="F1315" s="18" t="s">
        <v>1059</v>
      </c>
      <c r="G1315" s="18" t="s">
        <v>1026</v>
      </c>
      <c r="H1315" s="30" t="n">
        <v>0</v>
      </c>
      <c r="I1315" s="18" t="s">
        <v>527</v>
      </c>
      <c r="J1315" s="28" t="n">
        <v>3551.97</v>
      </c>
      <c r="K1315" s="12" t="str">
        <f aca="false">TEXT(B1315,"yyyy-mm")</f>
        <v>2026-08</v>
      </c>
      <c r="L1315" s="21" t="str">
        <f aca="false">IFERROR(INDEX(Projects!$E$2:$E$500,MATCH(C1315,Projects!$A$2:$A$500,0)),"")</f>
        <v>Digital Transformation</v>
      </c>
      <c r="M1315" s="31" t="n">
        <f aca="false">IF(I1315="Yes",H1315*INDEX(Resources!$I$2:$I$500,MATCH(E1315,Resources!$A$2:$A$500,0)),0)</f>
        <v>0</v>
      </c>
    </row>
    <row r="1316" customFormat="false" ht="15" hidden="false" customHeight="false" outlineLevel="0" collapsed="false">
      <c r="A1316" s="18" t="s">
        <v>2349</v>
      </c>
      <c r="B1316" s="19" t="n">
        <v>46265</v>
      </c>
      <c r="C1316" s="18" t="s">
        <v>239</v>
      </c>
      <c r="D1316" s="18" t="s">
        <v>874</v>
      </c>
      <c r="E1316" s="18"/>
      <c r="F1316" s="18" t="s">
        <v>1028</v>
      </c>
      <c r="G1316" s="18" t="s">
        <v>1026</v>
      </c>
      <c r="H1316" s="30" t="n">
        <v>0</v>
      </c>
      <c r="I1316" s="18" t="s">
        <v>527</v>
      </c>
      <c r="J1316" s="28" t="n">
        <v>4875.32</v>
      </c>
      <c r="K1316" s="12" t="str">
        <f aca="false">TEXT(B1316,"yyyy-mm")</f>
        <v>2026-08</v>
      </c>
      <c r="L1316" s="21" t="str">
        <f aca="false">IFERROR(INDEX(Projects!$E$2:$E$500,MATCH(C1316,Projects!$A$2:$A$500,0)),"")</f>
        <v>Digital Transformation</v>
      </c>
      <c r="M1316" s="31" t="n">
        <f aca="false">IF(I1316="Yes",H1316*INDEX(Resources!$I$2:$I$500,MATCH(E1316,Resources!$A$2:$A$500,0)),0)</f>
        <v>0</v>
      </c>
    </row>
    <row r="1317" customFormat="false" ht="15" hidden="false" customHeight="false" outlineLevel="0" collapsed="false">
      <c r="A1317" s="18" t="s">
        <v>2350</v>
      </c>
      <c r="B1317" s="19" t="n">
        <v>46265</v>
      </c>
      <c r="C1317" s="18" t="s">
        <v>239</v>
      </c>
      <c r="D1317" s="18" t="s">
        <v>495</v>
      </c>
      <c r="E1317" s="18"/>
      <c r="F1317" s="18" t="s">
        <v>1373</v>
      </c>
      <c r="G1317" s="18" t="s">
        <v>1026</v>
      </c>
      <c r="H1317" s="30" t="n">
        <v>0</v>
      </c>
      <c r="I1317" s="18" t="s">
        <v>527</v>
      </c>
      <c r="J1317" s="28" t="n">
        <v>1412.84</v>
      </c>
      <c r="K1317" s="12" t="str">
        <f aca="false">TEXT(B1317,"yyyy-mm")</f>
        <v>2026-08</v>
      </c>
      <c r="L1317" s="21" t="str">
        <f aca="false">IFERROR(INDEX(Projects!$E$2:$E$500,MATCH(C1317,Projects!$A$2:$A$500,0)),"")</f>
        <v>Digital Transformation</v>
      </c>
      <c r="M1317" s="31" t="n">
        <f aca="false">IF(I1317="Yes",H1317*INDEX(Resources!$I$2:$I$500,MATCH(E1317,Resources!$A$2:$A$500,0)),0)</f>
        <v>0</v>
      </c>
    </row>
    <row r="1318" customFormat="false" ht="15" hidden="false" customHeight="false" outlineLevel="0" collapsed="false">
      <c r="A1318" s="18" t="s">
        <v>2351</v>
      </c>
      <c r="B1318" s="19" t="n">
        <v>46265</v>
      </c>
      <c r="C1318" s="18" t="s">
        <v>239</v>
      </c>
      <c r="D1318" s="18" t="s">
        <v>876</v>
      </c>
      <c r="E1318" s="18"/>
      <c r="F1318" s="18" t="s">
        <v>1071</v>
      </c>
      <c r="G1318" s="18" t="s">
        <v>1033</v>
      </c>
      <c r="H1318" s="30" t="n">
        <v>0</v>
      </c>
      <c r="I1318" s="18" t="s">
        <v>527</v>
      </c>
      <c r="J1318" s="28" t="n">
        <v>873.47</v>
      </c>
      <c r="K1318" s="12" t="str">
        <f aca="false">TEXT(B1318,"yyyy-mm")</f>
        <v>2026-08</v>
      </c>
      <c r="L1318" s="21" t="str">
        <f aca="false">IFERROR(INDEX(Projects!$E$2:$E$500,MATCH(C1318,Projects!$A$2:$A$500,0)),"")</f>
        <v>Digital Transformation</v>
      </c>
      <c r="M1318" s="31" t="n">
        <f aca="false">IF(I1318="Yes",H1318*INDEX(Resources!$I$2:$I$500,MATCH(E1318,Resources!$A$2:$A$500,0)),0)</f>
        <v>0</v>
      </c>
    </row>
    <row r="1319" customFormat="false" ht="15" hidden="false" customHeight="false" outlineLevel="0" collapsed="false">
      <c r="A1319" s="18" t="s">
        <v>2352</v>
      </c>
      <c r="B1319" s="19" t="n">
        <v>46265</v>
      </c>
      <c r="C1319" s="18" t="s">
        <v>244</v>
      </c>
      <c r="D1319" s="18" t="s">
        <v>889</v>
      </c>
      <c r="E1319" s="18"/>
      <c r="F1319" s="18" t="s">
        <v>474</v>
      </c>
      <c r="G1319" s="18" t="s">
        <v>1026</v>
      </c>
      <c r="H1319" s="30" t="n">
        <v>0</v>
      </c>
      <c r="I1319" s="18" t="s">
        <v>527</v>
      </c>
      <c r="J1319" s="28" t="n">
        <v>4768.74</v>
      </c>
      <c r="K1319" s="12" t="str">
        <f aca="false">TEXT(B1319,"yyyy-mm")</f>
        <v>2026-08</v>
      </c>
      <c r="L1319" s="21" t="str">
        <f aca="false">IFERROR(INDEX(Projects!$E$2:$E$500,MATCH(C1319,Projects!$A$2:$A$500,0)),"")</f>
        <v>Cloud &amp; Infrastructure</v>
      </c>
      <c r="M1319" s="31" t="n">
        <f aca="false">IF(I1319="Yes",H1319*INDEX(Resources!$I$2:$I$500,MATCH(E1319,Resources!$A$2:$A$500,0)),0)</f>
        <v>0</v>
      </c>
    </row>
    <row r="1320" customFormat="false" ht="15" hidden="false" customHeight="false" outlineLevel="0" collapsed="false">
      <c r="A1320" s="18" t="s">
        <v>2353</v>
      </c>
      <c r="B1320" s="19" t="n">
        <v>46265</v>
      </c>
      <c r="C1320" s="18" t="s">
        <v>244</v>
      </c>
      <c r="D1320" s="18" t="s">
        <v>869</v>
      </c>
      <c r="E1320" s="18" t="s">
        <v>247</v>
      </c>
      <c r="F1320" s="18"/>
      <c r="G1320" s="18" t="s">
        <v>1019</v>
      </c>
      <c r="H1320" s="30" t="n">
        <v>55.4</v>
      </c>
      <c r="I1320" s="18" t="s">
        <v>527</v>
      </c>
      <c r="J1320" s="28" t="n">
        <v>4875.2</v>
      </c>
      <c r="K1320" s="12" t="str">
        <f aca="false">TEXT(B1320,"yyyy-mm")</f>
        <v>2026-08</v>
      </c>
      <c r="L1320" s="21" t="str">
        <f aca="false">IFERROR(INDEX(Projects!$E$2:$E$500,MATCH(C1320,Projects!$A$2:$A$500,0)),"")</f>
        <v>Cloud &amp; Infrastructure</v>
      </c>
      <c r="M1320" s="31" t="n">
        <f aca="false">IF(I1320="Yes",H1320*INDEX(Resources!$I$2:$I$500,MATCH(E1320,Resources!$A$2:$A$500,0)),0)</f>
        <v>0</v>
      </c>
    </row>
    <row r="1321" customFormat="false" ht="15" hidden="false" customHeight="false" outlineLevel="0" collapsed="false">
      <c r="A1321" s="18" t="s">
        <v>2354</v>
      </c>
      <c r="B1321" s="19" t="n">
        <v>46265</v>
      </c>
      <c r="C1321" s="18" t="s">
        <v>244</v>
      </c>
      <c r="D1321" s="18" t="s">
        <v>869</v>
      </c>
      <c r="E1321" s="18" t="s">
        <v>405</v>
      </c>
      <c r="F1321" s="18"/>
      <c r="G1321" s="18" t="s">
        <v>1019</v>
      </c>
      <c r="H1321" s="30" t="n">
        <v>101.5</v>
      </c>
      <c r="I1321" s="18" t="s">
        <v>513</v>
      </c>
      <c r="J1321" s="28" t="n">
        <v>10085.04</v>
      </c>
      <c r="K1321" s="12" t="str">
        <f aca="false">TEXT(B1321,"yyyy-mm")</f>
        <v>2026-08</v>
      </c>
      <c r="L1321" s="21" t="str">
        <f aca="false">IFERROR(INDEX(Projects!$E$2:$E$500,MATCH(C1321,Projects!$A$2:$A$500,0)),"")</f>
        <v>Cloud &amp; Infrastructure</v>
      </c>
      <c r="M1321" s="31" t="n">
        <f aca="false">IF(I1321="Yes",H1321*INDEX(Resources!$I$2:$I$500,MATCH(E1321,Resources!$A$2:$A$500,0)),0)</f>
        <v>20300</v>
      </c>
    </row>
    <row r="1322" customFormat="false" ht="15" hidden="false" customHeight="false" outlineLevel="0" collapsed="false">
      <c r="A1322" s="18" t="s">
        <v>2355</v>
      </c>
      <c r="B1322" s="19" t="n">
        <v>46265</v>
      </c>
      <c r="C1322" s="18" t="s">
        <v>244</v>
      </c>
      <c r="D1322" s="18" t="s">
        <v>869</v>
      </c>
      <c r="E1322" s="18" t="s">
        <v>475</v>
      </c>
      <c r="F1322" s="18"/>
      <c r="G1322" s="18" t="s">
        <v>1019</v>
      </c>
      <c r="H1322" s="30" t="n">
        <v>163.8</v>
      </c>
      <c r="I1322" s="18" t="s">
        <v>513</v>
      </c>
      <c r="J1322" s="28" t="n">
        <v>19246.5</v>
      </c>
      <c r="K1322" s="12" t="str">
        <f aca="false">TEXT(B1322,"yyyy-mm")</f>
        <v>2026-08</v>
      </c>
      <c r="L1322" s="21" t="str">
        <f aca="false">IFERROR(INDEX(Projects!$E$2:$E$500,MATCH(C1322,Projects!$A$2:$A$500,0)),"")</f>
        <v>Cloud &amp; Infrastructure</v>
      </c>
      <c r="M1322" s="31" t="n">
        <f aca="false">IF(I1322="Yes",H1322*INDEX(Resources!$I$2:$I$500,MATCH(E1322,Resources!$A$2:$A$500,0)),0)</f>
        <v>31122</v>
      </c>
    </row>
    <row r="1323" customFormat="false" ht="15" hidden="false" customHeight="false" outlineLevel="0" collapsed="false">
      <c r="A1323" s="18" t="s">
        <v>2356</v>
      </c>
      <c r="B1323" s="19" t="n">
        <v>46265</v>
      </c>
      <c r="C1323" s="18" t="s">
        <v>244</v>
      </c>
      <c r="D1323" s="18" t="s">
        <v>869</v>
      </c>
      <c r="E1323" s="18" t="s">
        <v>487</v>
      </c>
      <c r="F1323" s="18"/>
      <c r="G1323" s="18" t="s">
        <v>1019</v>
      </c>
      <c r="H1323" s="30" t="n">
        <v>100.4</v>
      </c>
      <c r="I1323" s="18" t="s">
        <v>513</v>
      </c>
      <c r="J1323" s="28" t="n">
        <v>8029.99</v>
      </c>
      <c r="K1323" s="12" t="str">
        <f aca="false">TEXT(B1323,"yyyy-mm")</f>
        <v>2026-08</v>
      </c>
      <c r="L1323" s="21" t="str">
        <f aca="false">IFERROR(INDEX(Projects!$E$2:$E$500,MATCH(C1323,Projects!$A$2:$A$500,0)),"")</f>
        <v>Cloud &amp; Infrastructure</v>
      </c>
      <c r="M1323" s="31" t="n">
        <f aca="false">IF(I1323="Yes",H1323*INDEX(Resources!$I$2:$I$500,MATCH(E1323,Resources!$A$2:$A$500,0)),0)</f>
        <v>16566</v>
      </c>
    </row>
    <row r="1324" customFormat="false" ht="15" hidden="false" customHeight="false" outlineLevel="0" collapsed="false">
      <c r="A1324" s="18" t="s">
        <v>2357</v>
      </c>
      <c r="B1324" s="19" t="n">
        <v>46265</v>
      </c>
      <c r="C1324" s="18" t="s">
        <v>244</v>
      </c>
      <c r="D1324" s="18" t="s">
        <v>872</v>
      </c>
      <c r="E1324" s="18"/>
      <c r="F1324" s="18" t="s">
        <v>1025</v>
      </c>
      <c r="G1324" s="18" t="s">
        <v>1026</v>
      </c>
      <c r="H1324" s="30" t="n">
        <v>0</v>
      </c>
      <c r="I1324" s="18" t="s">
        <v>527</v>
      </c>
      <c r="J1324" s="28" t="n">
        <v>2372.84</v>
      </c>
      <c r="K1324" s="12" t="str">
        <f aca="false">TEXT(B1324,"yyyy-mm")</f>
        <v>2026-08</v>
      </c>
      <c r="L1324" s="21" t="str">
        <f aca="false">IFERROR(INDEX(Projects!$E$2:$E$500,MATCH(C1324,Projects!$A$2:$A$500,0)),"")</f>
        <v>Cloud &amp; Infrastructure</v>
      </c>
      <c r="M1324" s="31" t="n">
        <f aca="false">IF(I1324="Yes",H1324*INDEX(Resources!$I$2:$I$500,MATCH(E1324,Resources!$A$2:$A$500,0)),0)</f>
        <v>0</v>
      </c>
    </row>
    <row r="1325" customFormat="false" ht="15" hidden="false" customHeight="false" outlineLevel="0" collapsed="false">
      <c r="A1325" s="18" t="s">
        <v>2358</v>
      </c>
      <c r="B1325" s="19" t="n">
        <v>46265</v>
      </c>
      <c r="C1325" s="18" t="s">
        <v>244</v>
      </c>
      <c r="D1325" s="18" t="s">
        <v>876</v>
      </c>
      <c r="E1325" s="18"/>
      <c r="F1325" s="18" t="s">
        <v>1032</v>
      </c>
      <c r="G1325" s="18" t="s">
        <v>1033</v>
      </c>
      <c r="H1325" s="30" t="n">
        <v>0</v>
      </c>
      <c r="I1325" s="18" t="s">
        <v>527</v>
      </c>
      <c r="J1325" s="28" t="n">
        <v>944.89</v>
      </c>
      <c r="K1325" s="12" t="str">
        <f aca="false">TEXT(B1325,"yyyy-mm")</f>
        <v>2026-08</v>
      </c>
      <c r="L1325" s="21" t="str">
        <f aca="false">IFERROR(INDEX(Projects!$E$2:$E$500,MATCH(C1325,Projects!$A$2:$A$500,0)),"")</f>
        <v>Cloud &amp; Infrastructure</v>
      </c>
      <c r="M1325" s="31" t="n">
        <f aca="false">IF(I1325="Yes",H1325*INDEX(Resources!$I$2:$I$500,MATCH(E1325,Resources!$A$2:$A$500,0)),0)</f>
        <v>0</v>
      </c>
    </row>
    <row r="1326" customFormat="false" ht="15" hidden="false" customHeight="false" outlineLevel="0" collapsed="false">
      <c r="A1326" s="18" t="s">
        <v>2359</v>
      </c>
      <c r="B1326" s="19" t="n">
        <v>46265</v>
      </c>
      <c r="C1326" s="18" t="s">
        <v>249</v>
      </c>
      <c r="D1326" s="18" t="s">
        <v>869</v>
      </c>
      <c r="E1326" s="18" t="s">
        <v>218</v>
      </c>
      <c r="F1326" s="18"/>
      <c r="G1326" s="18" t="s">
        <v>1019</v>
      </c>
      <c r="H1326" s="30" t="n">
        <v>83.4</v>
      </c>
      <c r="I1326" s="18" t="s">
        <v>513</v>
      </c>
      <c r="J1326" s="28" t="n">
        <v>6238.32</v>
      </c>
      <c r="K1326" s="12" t="str">
        <f aca="false">TEXT(B1326,"yyyy-mm")</f>
        <v>2026-08</v>
      </c>
      <c r="L1326" s="21" t="str">
        <f aca="false">IFERROR(INDEX(Projects!$E$2:$E$500,MATCH(C1326,Projects!$A$2:$A$500,0)),"")</f>
        <v>Operational Excellence</v>
      </c>
      <c r="M1326" s="31" t="n">
        <f aca="false">IF(I1326="Yes",H1326*INDEX(Resources!$I$2:$I$500,MATCH(E1326,Resources!$A$2:$A$500,0)),0)</f>
        <v>12510</v>
      </c>
    </row>
    <row r="1327" customFormat="false" ht="15" hidden="false" customHeight="false" outlineLevel="0" collapsed="false">
      <c r="A1327" s="18" t="s">
        <v>2360</v>
      </c>
      <c r="B1327" s="19" t="n">
        <v>46265</v>
      </c>
      <c r="C1327" s="18" t="s">
        <v>249</v>
      </c>
      <c r="D1327" s="18" t="s">
        <v>869</v>
      </c>
      <c r="E1327" s="18" t="s">
        <v>373</v>
      </c>
      <c r="F1327" s="18"/>
      <c r="G1327" s="18" t="s">
        <v>1019</v>
      </c>
      <c r="H1327" s="30" t="n">
        <v>77</v>
      </c>
      <c r="I1327" s="18" t="s">
        <v>513</v>
      </c>
      <c r="J1327" s="28" t="n">
        <v>5654.88</v>
      </c>
      <c r="K1327" s="12" t="str">
        <f aca="false">TEXT(B1327,"yyyy-mm")</f>
        <v>2026-08</v>
      </c>
      <c r="L1327" s="21" t="str">
        <f aca="false">IFERROR(INDEX(Projects!$E$2:$E$500,MATCH(C1327,Projects!$A$2:$A$500,0)),"")</f>
        <v>Operational Excellence</v>
      </c>
      <c r="M1327" s="31" t="n">
        <f aca="false">IF(I1327="Yes",H1327*INDEX(Resources!$I$2:$I$500,MATCH(E1327,Resources!$A$2:$A$500,0)),0)</f>
        <v>11550</v>
      </c>
    </row>
    <row r="1328" customFormat="false" ht="15" hidden="false" customHeight="false" outlineLevel="0" collapsed="false">
      <c r="A1328" s="18" t="s">
        <v>2361</v>
      </c>
      <c r="B1328" s="19" t="n">
        <v>46265</v>
      </c>
      <c r="C1328" s="18" t="s">
        <v>249</v>
      </c>
      <c r="D1328" s="18" t="s">
        <v>869</v>
      </c>
      <c r="E1328" s="18" t="s">
        <v>403</v>
      </c>
      <c r="F1328" s="18"/>
      <c r="G1328" s="18" t="s">
        <v>1019</v>
      </c>
      <c r="H1328" s="30" t="n">
        <v>138.4</v>
      </c>
      <c r="I1328" s="18" t="s">
        <v>513</v>
      </c>
      <c r="J1328" s="28" t="n">
        <v>11841.5</v>
      </c>
      <c r="K1328" s="12" t="str">
        <f aca="false">TEXT(B1328,"yyyy-mm")</f>
        <v>2026-08</v>
      </c>
      <c r="L1328" s="21" t="str">
        <f aca="false">IFERROR(INDEX(Projects!$E$2:$E$500,MATCH(C1328,Projects!$A$2:$A$500,0)),"")</f>
        <v>Operational Excellence</v>
      </c>
      <c r="M1328" s="31" t="n">
        <f aca="false">IF(I1328="Yes",H1328*INDEX(Resources!$I$2:$I$500,MATCH(E1328,Resources!$A$2:$A$500,0)),0)</f>
        <v>23528</v>
      </c>
    </row>
    <row r="1329" customFormat="false" ht="15" hidden="false" customHeight="false" outlineLevel="0" collapsed="false">
      <c r="A1329" s="18" t="s">
        <v>2362</v>
      </c>
      <c r="B1329" s="19" t="n">
        <v>46265</v>
      </c>
      <c r="C1329" s="18" t="s">
        <v>249</v>
      </c>
      <c r="D1329" s="18" t="s">
        <v>869</v>
      </c>
      <c r="E1329" s="18" t="s">
        <v>424</v>
      </c>
      <c r="F1329" s="18"/>
      <c r="G1329" s="18" t="s">
        <v>1019</v>
      </c>
      <c r="H1329" s="30" t="n">
        <v>126.6</v>
      </c>
      <c r="I1329" s="18" t="s">
        <v>513</v>
      </c>
      <c r="J1329" s="28" t="n">
        <v>8608.8</v>
      </c>
      <c r="K1329" s="12" t="str">
        <f aca="false">TEXT(B1329,"yyyy-mm")</f>
        <v>2026-08</v>
      </c>
      <c r="L1329" s="21" t="str">
        <f aca="false">IFERROR(INDEX(Projects!$E$2:$E$500,MATCH(C1329,Projects!$A$2:$A$500,0)),"")</f>
        <v>Operational Excellence</v>
      </c>
      <c r="M1329" s="31" t="n">
        <f aca="false">IF(I1329="Yes",H1329*INDEX(Resources!$I$2:$I$500,MATCH(E1329,Resources!$A$2:$A$500,0)),0)</f>
        <v>13926</v>
      </c>
    </row>
    <row r="1330" customFormat="false" ht="15" hidden="false" customHeight="false" outlineLevel="0" collapsed="false">
      <c r="A1330" s="18" t="s">
        <v>2363</v>
      </c>
      <c r="B1330" s="19" t="n">
        <v>46265</v>
      </c>
      <c r="C1330" s="18" t="s">
        <v>249</v>
      </c>
      <c r="D1330" s="18" t="s">
        <v>869</v>
      </c>
      <c r="E1330" s="18" t="s">
        <v>448</v>
      </c>
      <c r="F1330" s="18"/>
      <c r="G1330" s="18" t="s">
        <v>1019</v>
      </c>
      <c r="H1330" s="30" t="n">
        <v>65.6</v>
      </c>
      <c r="I1330" s="18" t="s">
        <v>513</v>
      </c>
      <c r="J1330" s="28" t="n">
        <v>4261.38</v>
      </c>
      <c r="K1330" s="12" t="str">
        <f aca="false">TEXT(B1330,"yyyy-mm")</f>
        <v>2026-08</v>
      </c>
      <c r="L1330" s="21" t="str">
        <f aca="false">IFERROR(INDEX(Projects!$E$2:$E$500,MATCH(C1330,Projects!$A$2:$A$500,0)),"")</f>
        <v>Operational Excellence</v>
      </c>
      <c r="M1330" s="31" t="n">
        <f aca="false">IF(I1330="Yes",H1330*INDEX(Resources!$I$2:$I$500,MATCH(E1330,Resources!$A$2:$A$500,0)),0)</f>
        <v>8856</v>
      </c>
    </row>
    <row r="1331" customFormat="false" ht="15" hidden="false" customHeight="false" outlineLevel="0" collapsed="false">
      <c r="A1331" s="18" t="s">
        <v>2364</v>
      </c>
      <c r="B1331" s="19" t="n">
        <v>46265</v>
      </c>
      <c r="C1331" s="18" t="s">
        <v>249</v>
      </c>
      <c r="D1331" s="18" t="s">
        <v>869</v>
      </c>
      <c r="E1331" s="18" t="s">
        <v>496</v>
      </c>
      <c r="F1331" s="18"/>
      <c r="G1331" s="18" t="s">
        <v>1019</v>
      </c>
      <c r="H1331" s="30" t="n">
        <v>26</v>
      </c>
      <c r="I1331" s="18" t="s">
        <v>513</v>
      </c>
      <c r="J1331" s="28" t="n">
        <v>2021.76</v>
      </c>
      <c r="K1331" s="12" t="str">
        <f aca="false">TEXT(B1331,"yyyy-mm")</f>
        <v>2026-08</v>
      </c>
      <c r="L1331" s="21" t="str">
        <f aca="false">IFERROR(INDEX(Projects!$E$2:$E$500,MATCH(C1331,Projects!$A$2:$A$500,0)),"")</f>
        <v>Operational Excellence</v>
      </c>
      <c r="M1331" s="31" t="n">
        <f aca="false">IF(I1331="Yes",H1331*INDEX(Resources!$I$2:$I$500,MATCH(E1331,Resources!$A$2:$A$500,0)),0)</f>
        <v>4160</v>
      </c>
    </row>
    <row r="1332" customFormat="false" ht="15" hidden="false" customHeight="false" outlineLevel="0" collapsed="false">
      <c r="A1332" s="18" t="s">
        <v>2365</v>
      </c>
      <c r="B1332" s="19" t="n">
        <v>46265</v>
      </c>
      <c r="C1332" s="18" t="s">
        <v>249</v>
      </c>
      <c r="D1332" s="18" t="s">
        <v>872</v>
      </c>
      <c r="E1332" s="18"/>
      <c r="F1332" s="18" t="s">
        <v>1924</v>
      </c>
      <c r="G1332" s="18" t="s">
        <v>1026</v>
      </c>
      <c r="H1332" s="30" t="n">
        <v>0</v>
      </c>
      <c r="I1332" s="18" t="s">
        <v>527</v>
      </c>
      <c r="J1332" s="28" t="n">
        <v>1420.25</v>
      </c>
      <c r="K1332" s="12" t="str">
        <f aca="false">TEXT(B1332,"yyyy-mm")</f>
        <v>2026-08</v>
      </c>
      <c r="L1332" s="21" t="str">
        <f aca="false">IFERROR(INDEX(Projects!$E$2:$E$500,MATCH(C1332,Projects!$A$2:$A$500,0)),"")</f>
        <v>Operational Excellence</v>
      </c>
      <c r="M1332" s="31" t="n">
        <f aca="false">IF(I1332="Yes",H1332*INDEX(Resources!$I$2:$I$500,MATCH(E1332,Resources!$A$2:$A$500,0)),0)</f>
        <v>0</v>
      </c>
    </row>
    <row r="1333" customFormat="false" ht="15" hidden="false" customHeight="false" outlineLevel="0" collapsed="false">
      <c r="A1333" s="18" t="s">
        <v>2366</v>
      </c>
      <c r="B1333" s="19" t="n">
        <v>46265</v>
      </c>
      <c r="C1333" s="18" t="s">
        <v>249</v>
      </c>
      <c r="D1333" s="18" t="s">
        <v>495</v>
      </c>
      <c r="E1333" s="18"/>
      <c r="F1333" s="18" t="s">
        <v>1373</v>
      </c>
      <c r="G1333" s="18" t="s">
        <v>1026</v>
      </c>
      <c r="H1333" s="30" t="n">
        <v>0</v>
      </c>
      <c r="I1333" s="18" t="s">
        <v>527</v>
      </c>
      <c r="J1333" s="28" t="n">
        <v>823.64</v>
      </c>
      <c r="K1333" s="12" t="str">
        <f aca="false">TEXT(B1333,"yyyy-mm")</f>
        <v>2026-08</v>
      </c>
      <c r="L1333" s="21" t="str">
        <f aca="false">IFERROR(INDEX(Projects!$E$2:$E$500,MATCH(C1333,Projects!$A$2:$A$500,0)),"")</f>
        <v>Operational Excellence</v>
      </c>
      <c r="M1333" s="31" t="n">
        <f aca="false">IF(I1333="Yes",H1333*INDEX(Resources!$I$2:$I$500,MATCH(E1333,Resources!$A$2:$A$500,0)),0)</f>
        <v>0</v>
      </c>
    </row>
    <row r="1334" customFormat="false" ht="15" hidden="false" customHeight="false" outlineLevel="0" collapsed="false">
      <c r="A1334" s="18" t="s">
        <v>2367</v>
      </c>
      <c r="B1334" s="19" t="n">
        <v>46265</v>
      </c>
      <c r="C1334" s="18" t="s">
        <v>249</v>
      </c>
      <c r="D1334" s="18" t="s">
        <v>876</v>
      </c>
      <c r="E1334" s="18"/>
      <c r="F1334" s="18" t="s">
        <v>1071</v>
      </c>
      <c r="G1334" s="18" t="s">
        <v>1033</v>
      </c>
      <c r="H1334" s="30" t="n">
        <v>0</v>
      </c>
      <c r="I1334" s="18" t="s">
        <v>527</v>
      </c>
      <c r="J1334" s="28" t="n">
        <v>663.06</v>
      </c>
      <c r="K1334" s="12" t="str">
        <f aca="false">TEXT(B1334,"yyyy-mm")</f>
        <v>2026-08</v>
      </c>
      <c r="L1334" s="21" t="str">
        <f aca="false">IFERROR(INDEX(Projects!$E$2:$E$500,MATCH(C1334,Projects!$A$2:$A$500,0)),"")</f>
        <v>Operational Excellence</v>
      </c>
      <c r="M1334" s="31" t="n">
        <f aca="false">IF(I1334="Yes",H1334*INDEX(Resources!$I$2:$I$500,MATCH(E1334,Resources!$A$2:$A$500,0)),0)</f>
        <v>0</v>
      </c>
    </row>
    <row r="1335" customFormat="false" ht="15" hidden="false" customHeight="false" outlineLevel="0" collapsed="false">
      <c r="A1335" s="18" t="s">
        <v>2368</v>
      </c>
      <c r="B1335" s="19" t="n">
        <v>46265</v>
      </c>
      <c r="C1335" s="18" t="s">
        <v>253</v>
      </c>
      <c r="D1335" s="18" t="s">
        <v>869</v>
      </c>
      <c r="E1335" s="18" t="s">
        <v>231</v>
      </c>
      <c r="F1335" s="18"/>
      <c r="G1335" s="18" t="s">
        <v>1019</v>
      </c>
      <c r="H1335" s="30" t="n">
        <v>100</v>
      </c>
      <c r="I1335" s="18" t="s">
        <v>513</v>
      </c>
      <c r="J1335" s="28" t="n">
        <v>10208</v>
      </c>
      <c r="K1335" s="12" t="str">
        <f aca="false">TEXT(B1335,"yyyy-mm")</f>
        <v>2026-08</v>
      </c>
      <c r="L1335" s="21" t="str">
        <f aca="false">IFERROR(INDEX(Projects!$E$2:$E$500,MATCH(C1335,Projects!$A$2:$A$500,0)),"")</f>
        <v>Customer Experience</v>
      </c>
      <c r="M1335" s="31" t="n">
        <f aca="false">IF(I1335="Yes",H1335*INDEX(Resources!$I$2:$I$500,MATCH(E1335,Resources!$A$2:$A$500,0)),0)</f>
        <v>20500</v>
      </c>
    </row>
    <row r="1336" customFormat="false" ht="15" hidden="false" customHeight="false" outlineLevel="0" collapsed="false">
      <c r="A1336" s="18" t="s">
        <v>2369</v>
      </c>
      <c r="B1336" s="19" t="n">
        <v>46265</v>
      </c>
      <c r="C1336" s="18" t="s">
        <v>253</v>
      </c>
      <c r="D1336" s="18" t="s">
        <v>869</v>
      </c>
      <c r="E1336" s="18" t="s">
        <v>407</v>
      </c>
      <c r="F1336" s="18"/>
      <c r="G1336" s="18" t="s">
        <v>1019</v>
      </c>
      <c r="H1336" s="30" t="n">
        <v>205.9</v>
      </c>
      <c r="I1336" s="18" t="s">
        <v>513</v>
      </c>
      <c r="J1336" s="28" t="n">
        <v>17616.8</v>
      </c>
      <c r="K1336" s="12" t="str">
        <f aca="false">TEXT(B1336,"yyyy-mm")</f>
        <v>2026-08</v>
      </c>
      <c r="L1336" s="21" t="str">
        <f aca="false">IFERROR(INDEX(Projects!$E$2:$E$500,MATCH(C1336,Projects!$A$2:$A$500,0)),"")</f>
        <v>Customer Experience</v>
      </c>
      <c r="M1336" s="31" t="n">
        <f aca="false">IF(I1336="Yes",H1336*INDEX(Resources!$I$2:$I$500,MATCH(E1336,Resources!$A$2:$A$500,0)),0)</f>
        <v>35003</v>
      </c>
    </row>
    <row r="1337" customFormat="false" ht="15" hidden="false" customHeight="false" outlineLevel="0" collapsed="false">
      <c r="A1337" s="18" t="s">
        <v>2370</v>
      </c>
      <c r="B1337" s="19" t="n">
        <v>46265</v>
      </c>
      <c r="C1337" s="18" t="s">
        <v>253</v>
      </c>
      <c r="D1337" s="18" t="s">
        <v>869</v>
      </c>
      <c r="E1337" s="18" t="s">
        <v>426</v>
      </c>
      <c r="F1337" s="18"/>
      <c r="G1337" s="18" t="s">
        <v>1019</v>
      </c>
      <c r="H1337" s="30" t="n">
        <v>103.9</v>
      </c>
      <c r="I1337" s="18" t="s">
        <v>513</v>
      </c>
      <c r="J1337" s="28" t="n">
        <v>7713.54</v>
      </c>
      <c r="K1337" s="12" t="str">
        <f aca="false">TEXT(B1337,"yyyy-mm")</f>
        <v>2026-08</v>
      </c>
      <c r="L1337" s="21" t="str">
        <f aca="false">IFERROR(INDEX(Projects!$E$2:$E$500,MATCH(C1337,Projects!$A$2:$A$500,0)),"")</f>
        <v>Customer Experience</v>
      </c>
      <c r="M1337" s="31" t="n">
        <f aca="false">IF(I1337="Yes",H1337*INDEX(Resources!$I$2:$I$500,MATCH(E1337,Resources!$A$2:$A$500,0)),0)</f>
        <v>15585</v>
      </c>
    </row>
    <row r="1338" customFormat="false" ht="15" hidden="false" customHeight="false" outlineLevel="0" collapsed="false">
      <c r="A1338" s="18" t="s">
        <v>2371</v>
      </c>
      <c r="B1338" s="19" t="n">
        <v>46265</v>
      </c>
      <c r="C1338" s="18" t="s">
        <v>253</v>
      </c>
      <c r="D1338" s="18" t="s">
        <v>869</v>
      </c>
      <c r="E1338" s="18" t="s">
        <v>446</v>
      </c>
      <c r="F1338" s="18"/>
      <c r="G1338" s="18" t="s">
        <v>1019</v>
      </c>
      <c r="H1338" s="30" t="n">
        <v>103.7</v>
      </c>
      <c r="I1338" s="18" t="s">
        <v>513</v>
      </c>
      <c r="J1338" s="28" t="n">
        <v>5807.2</v>
      </c>
      <c r="K1338" s="12" t="str">
        <f aca="false">TEXT(B1338,"yyyy-mm")</f>
        <v>2026-08</v>
      </c>
      <c r="L1338" s="21" t="str">
        <f aca="false">IFERROR(INDEX(Projects!$E$2:$E$500,MATCH(C1338,Projects!$A$2:$A$500,0)),"")</f>
        <v>Customer Experience</v>
      </c>
      <c r="M1338" s="31" t="n">
        <f aca="false">IF(I1338="Yes",H1338*INDEX(Resources!$I$2:$I$500,MATCH(E1338,Resources!$A$2:$A$500,0)),0)</f>
        <v>11925.5</v>
      </c>
    </row>
    <row r="1339" customFormat="false" ht="15" hidden="false" customHeight="false" outlineLevel="0" collapsed="false">
      <c r="A1339" s="18" t="s">
        <v>2372</v>
      </c>
      <c r="B1339" s="19" t="n">
        <v>46265</v>
      </c>
      <c r="C1339" s="18" t="s">
        <v>253</v>
      </c>
      <c r="D1339" s="18" t="s">
        <v>872</v>
      </c>
      <c r="E1339" s="18"/>
      <c r="F1339" s="18" t="s">
        <v>1025</v>
      </c>
      <c r="G1339" s="18" t="s">
        <v>1026</v>
      </c>
      <c r="H1339" s="30" t="n">
        <v>0</v>
      </c>
      <c r="I1339" s="18" t="s">
        <v>527</v>
      </c>
      <c r="J1339" s="28" t="n">
        <v>3043.61</v>
      </c>
      <c r="K1339" s="12" t="str">
        <f aca="false">TEXT(B1339,"yyyy-mm")</f>
        <v>2026-08</v>
      </c>
      <c r="L1339" s="21" t="str">
        <f aca="false">IFERROR(INDEX(Projects!$E$2:$E$500,MATCH(C1339,Projects!$A$2:$A$500,0)),"")</f>
        <v>Customer Experience</v>
      </c>
      <c r="M1339" s="31" t="n">
        <f aca="false">IF(I1339="Yes",H1339*INDEX(Resources!$I$2:$I$500,MATCH(E1339,Resources!$A$2:$A$500,0)),0)</f>
        <v>0</v>
      </c>
    </row>
    <row r="1340" customFormat="false" ht="15" hidden="false" customHeight="false" outlineLevel="0" collapsed="false">
      <c r="A1340" s="18" t="s">
        <v>2373</v>
      </c>
      <c r="B1340" s="19" t="n">
        <v>46265</v>
      </c>
      <c r="C1340" s="18" t="s">
        <v>253</v>
      </c>
      <c r="D1340" s="18" t="s">
        <v>874</v>
      </c>
      <c r="E1340" s="18"/>
      <c r="F1340" s="18" t="s">
        <v>1224</v>
      </c>
      <c r="G1340" s="18" t="s">
        <v>1026</v>
      </c>
      <c r="H1340" s="30" t="n">
        <v>0</v>
      </c>
      <c r="I1340" s="18" t="s">
        <v>527</v>
      </c>
      <c r="J1340" s="28" t="n">
        <v>3516.39</v>
      </c>
      <c r="K1340" s="12" t="str">
        <f aca="false">TEXT(B1340,"yyyy-mm")</f>
        <v>2026-08</v>
      </c>
      <c r="L1340" s="21" t="str">
        <f aca="false">IFERROR(INDEX(Projects!$E$2:$E$500,MATCH(C1340,Projects!$A$2:$A$500,0)),"")</f>
        <v>Customer Experience</v>
      </c>
      <c r="M1340" s="31" t="n">
        <f aca="false">IF(I1340="Yes",H1340*INDEX(Resources!$I$2:$I$500,MATCH(E1340,Resources!$A$2:$A$500,0)),0)</f>
        <v>0</v>
      </c>
    </row>
    <row r="1341" customFormat="false" ht="15" hidden="false" customHeight="false" outlineLevel="0" collapsed="false">
      <c r="A1341" s="18" t="s">
        <v>2374</v>
      </c>
      <c r="B1341" s="19" t="n">
        <v>46265</v>
      </c>
      <c r="C1341" s="18" t="s">
        <v>253</v>
      </c>
      <c r="D1341" s="18" t="s">
        <v>876</v>
      </c>
      <c r="E1341" s="18"/>
      <c r="F1341" s="18" t="s">
        <v>1071</v>
      </c>
      <c r="G1341" s="18" t="s">
        <v>1033</v>
      </c>
      <c r="H1341" s="30" t="n">
        <v>0</v>
      </c>
      <c r="I1341" s="18" t="s">
        <v>527</v>
      </c>
      <c r="J1341" s="28" t="n">
        <v>804.25</v>
      </c>
      <c r="K1341" s="12" t="str">
        <f aca="false">TEXT(B1341,"yyyy-mm")</f>
        <v>2026-08</v>
      </c>
      <c r="L1341" s="21" t="str">
        <f aca="false">IFERROR(INDEX(Projects!$E$2:$E$500,MATCH(C1341,Projects!$A$2:$A$500,0)),"")</f>
        <v>Customer Experience</v>
      </c>
      <c r="M1341" s="31" t="n">
        <f aca="false">IF(I1341="Yes",H1341*INDEX(Resources!$I$2:$I$500,MATCH(E1341,Resources!$A$2:$A$500,0)),0)</f>
        <v>0</v>
      </c>
    </row>
    <row r="1342" customFormat="false" ht="15" hidden="false" customHeight="false" outlineLevel="0" collapsed="false">
      <c r="A1342" s="18" t="s">
        <v>2375</v>
      </c>
      <c r="B1342" s="19" t="n">
        <v>46265</v>
      </c>
      <c r="C1342" s="18" t="s">
        <v>257</v>
      </c>
      <c r="D1342" s="18" t="s">
        <v>889</v>
      </c>
      <c r="E1342" s="18"/>
      <c r="F1342" s="18" t="s">
        <v>474</v>
      </c>
      <c r="G1342" s="18" t="s">
        <v>1026</v>
      </c>
      <c r="H1342" s="30" t="n">
        <v>0</v>
      </c>
      <c r="I1342" s="18" t="s">
        <v>527</v>
      </c>
      <c r="J1342" s="28" t="n">
        <v>2687.23</v>
      </c>
      <c r="K1342" s="12" t="str">
        <f aca="false">TEXT(B1342,"yyyy-mm")</f>
        <v>2026-08</v>
      </c>
      <c r="L1342" s="21" t="str">
        <f aca="false">IFERROR(INDEX(Projects!$E$2:$E$500,MATCH(C1342,Projects!$A$2:$A$500,0)),"")</f>
        <v>Data &amp; AI</v>
      </c>
      <c r="M1342" s="31" t="n">
        <f aca="false">IF(I1342="Yes",H1342*INDEX(Resources!$I$2:$I$500,MATCH(E1342,Resources!$A$2:$A$500,0)),0)</f>
        <v>0</v>
      </c>
    </row>
    <row r="1343" customFormat="false" ht="15" hidden="false" customHeight="false" outlineLevel="0" collapsed="false">
      <c r="A1343" s="18" t="s">
        <v>2376</v>
      </c>
      <c r="B1343" s="19" t="n">
        <v>46265</v>
      </c>
      <c r="C1343" s="18" t="s">
        <v>257</v>
      </c>
      <c r="D1343" s="18" t="s">
        <v>869</v>
      </c>
      <c r="E1343" s="18" t="s">
        <v>226</v>
      </c>
      <c r="F1343" s="18"/>
      <c r="G1343" s="18" t="s">
        <v>1019</v>
      </c>
      <c r="H1343" s="30" t="n">
        <v>41</v>
      </c>
      <c r="I1343" s="18" t="s">
        <v>527</v>
      </c>
      <c r="J1343" s="28" t="n">
        <v>3608</v>
      </c>
      <c r="K1343" s="12" t="str">
        <f aca="false">TEXT(B1343,"yyyy-mm")</f>
        <v>2026-08</v>
      </c>
      <c r="L1343" s="21" t="str">
        <f aca="false">IFERROR(INDEX(Projects!$E$2:$E$500,MATCH(C1343,Projects!$A$2:$A$500,0)),"")</f>
        <v>Data &amp; AI</v>
      </c>
      <c r="M1343" s="31" t="n">
        <f aca="false">IF(I1343="Yes",H1343*INDEX(Resources!$I$2:$I$500,MATCH(E1343,Resources!$A$2:$A$500,0)),0)</f>
        <v>0</v>
      </c>
    </row>
    <row r="1344" customFormat="false" ht="15" hidden="false" customHeight="false" outlineLevel="0" collapsed="false">
      <c r="A1344" s="18" t="s">
        <v>2377</v>
      </c>
      <c r="B1344" s="19" t="n">
        <v>46265</v>
      </c>
      <c r="C1344" s="18" t="s">
        <v>257</v>
      </c>
      <c r="D1344" s="18" t="s">
        <v>869</v>
      </c>
      <c r="E1344" s="18" t="s">
        <v>357</v>
      </c>
      <c r="F1344" s="18"/>
      <c r="G1344" s="18" t="s">
        <v>1019</v>
      </c>
      <c r="H1344" s="30" t="n">
        <v>44.1</v>
      </c>
      <c r="I1344" s="18" t="s">
        <v>513</v>
      </c>
      <c r="J1344" s="28" t="n">
        <v>5334.34</v>
      </c>
      <c r="K1344" s="12" t="str">
        <f aca="false">TEXT(B1344,"yyyy-mm")</f>
        <v>2026-08</v>
      </c>
      <c r="L1344" s="21" t="str">
        <f aca="false">IFERROR(INDEX(Projects!$E$2:$E$500,MATCH(C1344,Projects!$A$2:$A$500,0)),"")</f>
        <v>Data &amp; AI</v>
      </c>
      <c r="M1344" s="31" t="n">
        <f aca="false">IF(I1344="Yes",H1344*INDEX(Resources!$I$2:$I$500,MATCH(E1344,Resources!$A$2:$A$500,0)),0)</f>
        <v>10804.5</v>
      </c>
    </row>
    <row r="1345" customFormat="false" ht="15" hidden="false" customHeight="false" outlineLevel="0" collapsed="false">
      <c r="A1345" s="18" t="s">
        <v>2378</v>
      </c>
      <c r="B1345" s="19" t="n">
        <v>46265</v>
      </c>
      <c r="C1345" s="18" t="s">
        <v>257</v>
      </c>
      <c r="D1345" s="18" t="s">
        <v>869</v>
      </c>
      <c r="E1345" s="18" t="s">
        <v>428</v>
      </c>
      <c r="F1345" s="18"/>
      <c r="G1345" s="18" t="s">
        <v>1019</v>
      </c>
      <c r="H1345" s="30" t="n">
        <v>75.1</v>
      </c>
      <c r="I1345" s="18" t="s">
        <v>513</v>
      </c>
      <c r="J1345" s="28" t="n">
        <v>4085.44</v>
      </c>
      <c r="K1345" s="12" t="str">
        <f aca="false">TEXT(B1345,"yyyy-mm")</f>
        <v>2026-08</v>
      </c>
      <c r="L1345" s="21" t="str">
        <f aca="false">IFERROR(INDEX(Projects!$E$2:$E$500,MATCH(C1345,Projects!$A$2:$A$500,0)),"")</f>
        <v>Data &amp; AI</v>
      </c>
      <c r="M1345" s="31" t="n">
        <f aca="false">IF(I1345="Yes",H1345*INDEX(Resources!$I$2:$I$500,MATCH(E1345,Resources!$A$2:$A$500,0)),0)</f>
        <v>8261</v>
      </c>
    </row>
    <row r="1346" customFormat="false" ht="15" hidden="false" customHeight="false" outlineLevel="0" collapsed="false">
      <c r="A1346" s="18" t="s">
        <v>2379</v>
      </c>
      <c r="B1346" s="19" t="n">
        <v>46265</v>
      </c>
      <c r="C1346" s="18" t="s">
        <v>257</v>
      </c>
      <c r="D1346" s="18" t="s">
        <v>869</v>
      </c>
      <c r="E1346" s="18" t="s">
        <v>457</v>
      </c>
      <c r="F1346" s="18"/>
      <c r="G1346" s="18" t="s">
        <v>1019</v>
      </c>
      <c r="H1346" s="30" t="n">
        <v>97.5</v>
      </c>
      <c r="I1346" s="18" t="s">
        <v>513</v>
      </c>
      <c r="J1346" s="28" t="n">
        <v>10179</v>
      </c>
      <c r="K1346" s="12" t="str">
        <f aca="false">TEXT(B1346,"yyyy-mm")</f>
        <v>2026-08</v>
      </c>
      <c r="L1346" s="21" t="str">
        <f aca="false">IFERROR(INDEX(Projects!$E$2:$E$500,MATCH(C1346,Projects!$A$2:$A$500,0)),"")</f>
        <v>Data &amp; AI</v>
      </c>
      <c r="M1346" s="31" t="n">
        <f aca="false">IF(I1346="Yes",H1346*INDEX(Resources!$I$2:$I$500,MATCH(E1346,Resources!$A$2:$A$500,0)),0)</f>
        <v>20475</v>
      </c>
    </row>
    <row r="1347" customFormat="false" ht="15" hidden="false" customHeight="false" outlineLevel="0" collapsed="false">
      <c r="A1347" s="18" t="s">
        <v>2380</v>
      </c>
      <c r="B1347" s="19" t="n">
        <v>46265</v>
      </c>
      <c r="C1347" s="18" t="s">
        <v>257</v>
      </c>
      <c r="D1347" s="18" t="s">
        <v>869</v>
      </c>
      <c r="E1347" s="18" t="s">
        <v>466</v>
      </c>
      <c r="F1347" s="18"/>
      <c r="G1347" s="18" t="s">
        <v>1019</v>
      </c>
      <c r="H1347" s="30" t="n">
        <v>135.2</v>
      </c>
      <c r="I1347" s="18" t="s">
        <v>513</v>
      </c>
      <c r="J1347" s="28" t="n">
        <v>13249.6</v>
      </c>
      <c r="K1347" s="12" t="str">
        <f aca="false">TEXT(B1347,"yyyy-mm")</f>
        <v>2026-08</v>
      </c>
      <c r="L1347" s="21" t="str">
        <f aca="false">IFERROR(INDEX(Projects!$E$2:$E$500,MATCH(C1347,Projects!$A$2:$A$500,0)),"")</f>
        <v>Data &amp; AI</v>
      </c>
      <c r="M1347" s="31" t="n">
        <f aca="false">IF(I1347="Yes",H1347*INDEX(Resources!$I$2:$I$500,MATCH(E1347,Resources!$A$2:$A$500,0)),0)</f>
        <v>27040</v>
      </c>
    </row>
    <row r="1348" customFormat="false" ht="15" hidden="false" customHeight="false" outlineLevel="0" collapsed="false">
      <c r="A1348" s="18" t="s">
        <v>2381</v>
      </c>
      <c r="B1348" s="19" t="n">
        <v>46265</v>
      </c>
      <c r="C1348" s="18" t="s">
        <v>257</v>
      </c>
      <c r="D1348" s="18" t="s">
        <v>872</v>
      </c>
      <c r="E1348" s="18"/>
      <c r="F1348" s="18" t="s">
        <v>1059</v>
      </c>
      <c r="G1348" s="18" t="s">
        <v>1026</v>
      </c>
      <c r="H1348" s="30" t="n">
        <v>0</v>
      </c>
      <c r="I1348" s="18" t="s">
        <v>527</v>
      </c>
      <c r="J1348" s="28" t="n">
        <v>2187.28</v>
      </c>
      <c r="K1348" s="12" t="str">
        <f aca="false">TEXT(B1348,"yyyy-mm")</f>
        <v>2026-08</v>
      </c>
      <c r="L1348" s="21" t="str">
        <f aca="false">IFERROR(INDEX(Projects!$E$2:$E$500,MATCH(C1348,Projects!$A$2:$A$500,0)),"")</f>
        <v>Data &amp; AI</v>
      </c>
      <c r="M1348" s="31" t="n">
        <f aca="false">IF(I1348="Yes",H1348*INDEX(Resources!$I$2:$I$500,MATCH(E1348,Resources!$A$2:$A$500,0)),0)</f>
        <v>0</v>
      </c>
    </row>
    <row r="1349" customFormat="false" ht="15" hidden="false" customHeight="false" outlineLevel="0" collapsed="false">
      <c r="A1349" s="18" t="s">
        <v>2382</v>
      </c>
      <c r="B1349" s="19" t="n">
        <v>46265</v>
      </c>
      <c r="C1349" s="18" t="s">
        <v>257</v>
      </c>
      <c r="D1349" s="18" t="s">
        <v>876</v>
      </c>
      <c r="E1349" s="18"/>
      <c r="F1349" s="18" t="s">
        <v>1071</v>
      </c>
      <c r="G1349" s="18" t="s">
        <v>1033</v>
      </c>
      <c r="H1349" s="30" t="n">
        <v>0</v>
      </c>
      <c r="I1349" s="18" t="s">
        <v>527</v>
      </c>
      <c r="J1349" s="28" t="n">
        <v>418.84</v>
      </c>
      <c r="K1349" s="12" t="str">
        <f aca="false">TEXT(B1349,"yyyy-mm")</f>
        <v>2026-08</v>
      </c>
      <c r="L1349" s="21" t="str">
        <f aca="false">IFERROR(INDEX(Projects!$E$2:$E$500,MATCH(C1349,Projects!$A$2:$A$500,0)),"")</f>
        <v>Data &amp; AI</v>
      </c>
      <c r="M1349" s="31" t="n">
        <f aca="false">IF(I1349="Yes",H1349*INDEX(Resources!$I$2:$I$500,MATCH(E1349,Resources!$A$2:$A$500,0)),0)</f>
        <v>0</v>
      </c>
    </row>
    <row r="1350" customFormat="false" ht="15" hidden="false" customHeight="false" outlineLevel="0" collapsed="false">
      <c r="A1350" s="18" t="s">
        <v>2383</v>
      </c>
      <c r="B1350" s="19" t="n">
        <v>46265</v>
      </c>
      <c r="C1350" s="18" t="s">
        <v>261</v>
      </c>
      <c r="D1350" s="18" t="s">
        <v>889</v>
      </c>
      <c r="E1350" s="18"/>
      <c r="F1350" s="18" t="s">
        <v>1035</v>
      </c>
      <c r="G1350" s="18" t="s">
        <v>1026</v>
      </c>
      <c r="H1350" s="30" t="n">
        <v>0</v>
      </c>
      <c r="I1350" s="18" t="s">
        <v>527</v>
      </c>
      <c r="J1350" s="28" t="n">
        <v>3840.58</v>
      </c>
      <c r="K1350" s="12" t="str">
        <f aca="false">TEXT(B1350,"yyyy-mm")</f>
        <v>2026-08</v>
      </c>
      <c r="L1350" s="21" t="str">
        <f aca="false">IFERROR(INDEX(Projects!$E$2:$E$500,MATCH(C1350,Projects!$A$2:$A$500,0)),"")</f>
        <v>Data &amp; AI</v>
      </c>
      <c r="M1350" s="31" t="n">
        <f aca="false">IF(I1350="Yes",H1350*INDEX(Resources!$I$2:$I$500,MATCH(E1350,Resources!$A$2:$A$500,0)),0)</f>
        <v>0</v>
      </c>
    </row>
    <row r="1351" customFormat="false" ht="15" hidden="false" customHeight="false" outlineLevel="0" collapsed="false">
      <c r="A1351" s="18" t="s">
        <v>2384</v>
      </c>
      <c r="B1351" s="19" t="n">
        <v>46265</v>
      </c>
      <c r="C1351" s="18" t="s">
        <v>261</v>
      </c>
      <c r="D1351" s="18" t="s">
        <v>869</v>
      </c>
      <c r="E1351" s="18" t="s">
        <v>247</v>
      </c>
      <c r="F1351" s="18"/>
      <c r="G1351" s="18" t="s">
        <v>1019</v>
      </c>
      <c r="H1351" s="30" t="n">
        <v>82</v>
      </c>
      <c r="I1351" s="18" t="s">
        <v>513</v>
      </c>
      <c r="J1351" s="28" t="n">
        <v>7216</v>
      </c>
      <c r="K1351" s="12" t="str">
        <f aca="false">TEXT(B1351,"yyyy-mm")</f>
        <v>2026-08</v>
      </c>
      <c r="L1351" s="21" t="str">
        <f aca="false">IFERROR(INDEX(Projects!$E$2:$E$500,MATCH(C1351,Projects!$A$2:$A$500,0)),"")</f>
        <v>Data &amp; AI</v>
      </c>
      <c r="M1351" s="31" t="n">
        <f aca="false">IF(I1351="Yes",H1351*INDEX(Resources!$I$2:$I$500,MATCH(E1351,Resources!$A$2:$A$500,0)),0)</f>
        <v>14350</v>
      </c>
    </row>
    <row r="1352" customFormat="false" ht="15" hidden="false" customHeight="false" outlineLevel="0" collapsed="false">
      <c r="A1352" s="18" t="s">
        <v>2385</v>
      </c>
      <c r="B1352" s="19" t="n">
        <v>46265</v>
      </c>
      <c r="C1352" s="18" t="s">
        <v>261</v>
      </c>
      <c r="D1352" s="18" t="s">
        <v>869</v>
      </c>
      <c r="E1352" s="18" t="s">
        <v>348</v>
      </c>
      <c r="F1352" s="18"/>
      <c r="G1352" s="18" t="s">
        <v>1019</v>
      </c>
      <c r="H1352" s="30" t="n">
        <v>39.4</v>
      </c>
      <c r="I1352" s="18" t="s">
        <v>513</v>
      </c>
      <c r="J1352" s="28" t="n">
        <v>5118.85</v>
      </c>
      <c r="K1352" s="12" t="str">
        <f aca="false">TEXT(B1352,"yyyy-mm")</f>
        <v>2026-08</v>
      </c>
      <c r="L1352" s="21" t="str">
        <f aca="false">IFERROR(INDEX(Projects!$E$2:$E$500,MATCH(C1352,Projects!$A$2:$A$500,0)),"")</f>
        <v>Data &amp; AI</v>
      </c>
      <c r="M1352" s="31" t="n">
        <f aca="false">IF(I1352="Yes",H1352*INDEX(Resources!$I$2:$I$500,MATCH(E1352,Resources!$A$2:$A$500,0)),0)</f>
        <v>10244</v>
      </c>
    </row>
    <row r="1353" customFormat="false" ht="15" hidden="false" customHeight="false" outlineLevel="0" collapsed="false">
      <c r="A1353" s="18" t="s">
        <v>2386</v>
      </c>
      <c r="B1353" s="19" t="n">
        <v>46265</v>
      </c>
      <c r="C1353" s="18" t="s">
        <v>261</v>
      </c>
      <c r="D1353" s="18" t="s">
        <v>869</v>
      </c>
      <c r="E1353" s="18" t="s">
        <v>430</v>
      </c>
      <c r="F1353" s="18"/>
      <c r="G1353" s="18" t="s">
        <v>1019</v>
      </c>
      <c r="H1353" s="30" t="n">
        <v>92</v>
      </c>
      <c r="I1353" s="18" t="s">
        <v>513</v>
      </c>
      <c r="J1353" s="28" t="n">
        <v>5888</v>
      </c>
      <c r="K1353" s="12" t="str">
        <f aca="false">TEXT(B1353,"yyyy-mm")</f>
        <v>2026-08</v>
      </c>
      <c r="L1353" s="21" t="str">
        <f aca="false">IFERROR(INDEX(Projects!$E$2:$E$500,MATCH(C1353,Projects!$A$2:$A$500,0)),"")</f>
        <v>Data &amp; AI</v>
      </c>
      <c r="M1353" s="31" t="n">
        <f aca="false">IF(I1353="Yes",H1353*INDEX(Resources!$I$2:$I$500,MATCH(E1353,Resources!$A$2:$A$500,0)),0)</f>
        <v>11960</v>
      </c>
    </row>
    <row r="1354" customFormat="false" ht="15" hidden="false" customHeight="false" outlineLevel="0" collapsed="false">
      <c r="A1354" s="18" t="s">
        <v>2387</v>
      </c>
      <c r="B1354" s="19" t="n">
        <v>46265</v>
      </c>
      <c r="C1354" s="18" t="s">
        <v>261</v>
      </c>
      <c r="D1354" s="18" t="s">
        <v>869</v>
      </c>
      <c r="E1354" s="18" t="s">
        <v>434</v>
      </c>
      <c r="F1354" s="18"/>
      <c r="G1354" s="18" t="s">
        <v>1019</v>
      </c>
      <c r="H1354" s="30" t="n">
        <v>3.7</v>
      </c>
      <c r="I1354" s="18" t="s">
        <v>513</v>
      </c>
      <c r="J1354" s="28" t="n">
        <v>240.35</v>
      </c>
      <c r="K1354" s="12" t="str">
        <f aca="false">TEXT(B1354,"yyyy-mm")</f>
        <v>2026-08</v>
      </c>
      <c r="L1354" s="21" t="str">
        <f aca="false">IFERROR(INDEX(Projects!$E$2:$E$500,MATCH(C1354,Projects!$A$2:$A$500,0)),"")</f>
        <v>Data &amp; AI</v>
      </c>
      <c r="M1354" s="31" t="n">
        <f aca="false">IF(I1354="Yes",H1354*INDEX(Resources!$I$2:$I$500,MATCH(E1354,Resources!$A$2:$A$500,0)),0)</f>
        <v>499.5</v>
      </c>
    </row>
    <row r="1355" customFormat="false" ht="15" hidden="false" customHeight="false" outlineLevel="0" collapsed="false">
      <c r="A1355" s="18" t="s">
        <v>2388</v>
      </c>
      <c r="B1355" s="19" t="n">
        <v>46265</v>
      </c>
      <c r="C1355" s="18" t="s">
        <v>261</v>
      </c>
      <c r="D1355" s="18" t="s">
        <v>869</v>
      </c>
      <c r="E1355" s="18" t="s">
        <v>459</v>
      </c>
      <c r="F1355" s="18"/>
      <c r="G1355" s="18" t="s">
        <v>1019</v>
      </c>
      <c r="H1355" s="30" t="n">
        <v>138.5</v>
      </c>
      <c r="I1355" s="18" t="s">
        <v>513</v>
      </c>
      <c r="J1355" s="28" t="n">
        <v>13462.2</v>
      </c>
      <c r="K1355" s="12" t="str">
        <f aca="false">TEXT(B1355,"yyyy-mm")</f>
        <v>2026-08</v>
      </c>
      <c r="L1355" s="21" t="str">
        <f aca="false">IFERROR(INDEX(Projects!$E$2:$E$500,MATCH(C1355,Projects!$A$2:$A$500,0)),"")</f>
        <v>Data &amp; AI</v>
      </c>
      <c r="M1355" s="31" t="n">
        <f aca="false">IF(I1355="Yes",H1355*INDEX(Resources!$I$2:$I$500,MATCH(E1355,Resources!$A$2:$A$500,0)),0)</f>
        <v>27007.5</v>
      </c>
    </row>
    <row r="1356" customFormat="false" ht="15" hidden="false" customHeight="false" outlineLevel="0" collapsed="false">
      <c r="A1356" s="18" t="s">
        <v>2389</v>
      </c>
      <c r="B1356" s="19" t="n">
        <v>46265</v>
      </c>
      <c r="C1356" s="18" t="s">
        <v>261</v>
      </c>
      <c r="D1356" s="18" t="s">
        <v>869</v>
      </c>
      <c r="E1356" s="18" t="s">
        <v>468</v>
      </c>
      <c r="F1356" s="18"/>
      <c r="G1356" s="18" t="s">
        <v>1019</v>
      </c>
      <c r="H1356" s="30" t="n">
        <v>117.2</v>
      </c>
      <c r="I1356" s="18" t="s">
        <v>513</v>
      </c>
      <c r="J1356" s="28" t="n">
        <v>13323.3</v>
      </c>
      <c r="K1356" s="12" t="str">
        <f aca="false">TEXT(B1356,"yyyy-mm")</f>
        <v>2026-08</v>
      </c>
      <c r="L1356" s="21" t="str">
        <f aca="false">IFERROR(INDEX(Projects!$E$2:$E$500,MATCH(C1356,Projects!$A$2:$A$500,0)),"")</f>
        <v>Data &amp; AI</v>
      </c>
      <c r="M1356" s="31" t="n">
        <f aca="false">IF(I1356="Yes",H1356*INDEX(Resources!$I$2:$I$500,MATCH(E1356,Resources!$A$2:$A$500,0)),0)</f>
        <v>26956</v>
      </c>
    </row>
    <row r="1357" customFormat="false" ht="15" hidden="false" customHeight="false" outlineLevel="0" collapsed="false">
      <c r="A1357" s="18" t="s">
        <v>2390</v>
      </c>
      <c r="B1357" s="19" t="n">
        <v>46265</v>
      </c>
      <c r="C1357" s="18" t="s">
        <v>261</v>
      </c>
      <c r="D1357" s="18" t="s">
        <v>872</v>
      </c>
      <c r="E1357" s="18"/>
      <c r="F1357" s="18" t="s">
        <v>1025</v>
      </c>
      <c r="G1357" s="18" t="s">
        <v>1026</v>
      </c>
      <c r="H1357" s="30" t="n">
        <v>0</v>
      </c>
      <c r="I1357" s="18" t="s">
        <v>527</v>
      </c>
      <c r="J1357" s="28" t="n">
        <v>2328.88</v>
      </c>
      <c r="K1357" s="12" t="str">
        <f aca="false">TEXT(B1357,"yyyy-mm")</f>
        <v>2026-08</v>
      </c>
      <c r="L1357" s="21" t="str">
        <f aca="false">IFERROR(INDEX(Projects!$E$2:$E$500,MATCH(C1357,Projects!$A$2:$A$500,0)),"")</f>
        <v>Data &amp; AI</v>
      </c>
      <c r="M1357" s="31" t="n">
        <f aca="false">IF(I1357="Yes",H1357*INDEX(Resources!$I$2:$I$500,MATCH(E1357,Resources!$A$2:$A$500,0)),0)</f>
        <v>0</v>
      </c>
    </row>
    <row r="1358" customFormat="false" ht="15" hidden="false" customHeight="false" outlineLevel="0" collapsed="false">
      <c r="A1358" s="18" t="s">
        <v>2391</v>
      </c>
      <c r="B1358" s="19" t="n">
        <v>46265</v>
      </c>
      <c r="C1358" s="18" t="s">
        <v>261</v>
      </c>
      <c r="D1358" s="18" t="s">
        <v>876</v>
      </c>
      <c r="E1358" s="18"/>
      <c r="F1358" s="18" t="s">
        <v>1032</v>
      </c>
      <c r="G1358" s="18" t="s">
        <v>1033</v>
      </c>
      <c r="H1358" s="30" t="n">
        <v>0</v>
      </c>
      <c r="I1358" s="18" t="s">
        <v>527</v>
      </c>
      <c r="J1358" s="28" t="n">
        <v>537.66</v>
      </c>
      <c r="K1358" s="12" t="str">
        <f aca="false">TEXT(B1358,"yyyy-mm")</f>
        <v>2026-08</v>
      </c>
      <c r="L1358" s="21" t="str">
        <f aca="false">IFERROR(INDEX(Projects!$E$2:$E$500,MATCH(C1358,Projects!$A$2:$A$500,0)),"")</f>
        <v>Data &amp; AI</v>
      </c>
      <c r="M1358" s="31" t="n">
        <f aca="false">IF(I1358="Yes",H1358*INDEX(Resources!$I$2:$I$500,MATCH(E1358,Resources!$A$2:$A$500,0)),0)</f>
        <v>0</v>
      </c>
    </row>
    <row r="1359" customFormat="false" ht="15" hidden="false" customHeight="false" outlineLevel="0" collapsed="false">
      <c r="A1359" s="18" t="s">
        <v>2392</v>
      </c>
      <c r="B1359" s="19" t="n">
        <v>46265</v>
      </c>
      <c r="C1359" s="18" t="s">
        <v>265</v>
      </c>
      <c r="D1359" s="18" t="s">
        <v>869</v>
      </c>
      <c r="E1359" s="18" t="s">
        <v>211</v>
      </c>
      <c r="F1359" s="18"/>
      <c r="G1359" s="18" t="s">
        <v>1019</v>
      </c>
      <c r="H1359" s="30" t="n">
        <v>96.7</v>
      </c>
      <c r="I1359" s="18" t="s">
        <v>513</v>
      </c>
      <c r="J1359" s="28" t="n">
        <v>9871.14</v>
      </c>
      <c r="K1359" s="12" t="str">
        <f aca="false">TEXT(B1359,"yyyy-mm")</f>
        <v>2026-08</v>
      </c>
      <c r="L1359" s="21" t="str">
        <f aca="false">IFERROR(INDEX(Projects!$E$2:$E$500,MATCH(C1359,Projects!$A$2:$A$500,0)),"")</f>
        <v>Digital Transformation</v>
      </c>
      <c r="M1359" s="31" t="n">
        <f aca="false">IF(I1359="Yes",H1359*INDEX(Resources!$I$2:$I$500,MATCH(E1359,Resources!$A$2:$A$500,0)),0)</f>
        <v>19823.5</v>
      </c>
    </row>
    <row r="1360" customFormat="false" ht="15" hidden="false" customHeight="false" outlineLevel="0" collapsed="false">
      <c r="A1360" s="18" t="s">
        <v>2393</v>
      </c>
      <c r="B1360" s="19" t="n">
        <v>46265</v>
      </c>
      <c r="C1360" s="18" t="s">
        <v>265</v>
      </c>
      <c r="D1360" s="18" t="s">
        <v>869</v>
      </c>
      <c r="E1360" s="18" t="s">
        <v>375</v>
      </c>
      <c r="F1360" s="18"/>
      <c r="G1360" s="18" t="s">
        <v>1019</v>
      </c>
      <c r="H1360" s="30" t="n">
        <v>162.8</v>
      </c>
      <c r="I1360" s="18" t="s">
        <v>513</v>
      </c>
      <c r="J1360" s="28" t="n">
        <v>11762.3</v>
      </c>
      <c r="K1360" s="12" t="str">
        <f aca="false">TEXT(B1360,"yyyy-mm")</f>
        <v>2026-08</v>
      </c>
      <c r="L1360" s="21" t="str">
        <f aca="false">IFERROR(INDEX(Projects!$E$2:$E$500,MATCH(C1360,Projects!$A$2:$A$500,0)),"")</f>
        <v>Digital Transformation</v>
      </c>
      <c r="M1360" s="31" t="n">
        <f aca="false">IF(I1360="Yes",H1360*INDEX(Resources!$I$2:$I$500,MATCH(E1360,Resources!$A$2:$A$500,0)),0)</f>
        <v>19536</v>
      </c>
    </row>
    <row r="1361" customFormat="false" ht="15" hidden="false" customHeight="false" outlineLevel="0" collapsed="false">
      <c r="A1361" s="18" t="s">
        <v>2394</v>
      </c>
      <c r="B1361" s="19" t="n">
        <v>46265</v>
      </c>
      <c r="C1361" s="18" t="s">
        <v>265</v>
      </c>
      <c r="D1361" s="18" t="s">
        <v>869</v>
      </c>
      <c r="E1361" s="18" t="s">
        <v>403</v>
      </c>
      <c r="F1361" s="18"/>
      <c r="G1361" s="18" t="s">
        <v>1019</v>
      </c>
      <c r="H1361" s="30" t="n">
        <v>154.9</v>
      </c>
      <c r="I1361" s="18" t="s">
        <v>513</v>
      </c>
      <c r="J1361" s="28" t="n">
        <v>13253.24</v>
      </c>
      <c r="K1361" s="12" t="str">
        <f aca="false">TEXT(B1361,"yyyy-mm")</f>
        <v>2026-08</v>
      </c>
      <c r="L1361" s="21" t="str">
        <f aca="false">IFERROR(INDEX(Projects!$E$2:$E$500,MATCH(C1361,Projects!$A$2:$A$500,0)),"")</f>
        <v>Digital Transformation</v>
      </c>
      <c r="M1361" s="31" t="n">
        <f aca="false">IF(I1361="Yes",H1361*INDEX(Resources!$I$2:$I$500,MATCH(E1361,Resources!$A$2:$A$500,0)),0)</f>
        <v>26333</v>
      </c>
    </row>
    <row r="1362" customFormat="false" ht="15" hidden="false" customHeight="false" outlineLevel="0" collapsed="false">
      <c r="A1362" s="18" t="s">
        <v>2395</v>
      </c>
      <c r="B1362" s="19" t="n">
        <v>46265</v>
      </c>
      <c r="C1362" s="18" t="s">
        <v>265</v>
      </c>
      <c r="D1362" s="18" t="s">
        <v>869</v>
      </c>
      <c r="E1362" s="18" t="s">
        <v>432</v>
      </c>
      <c r="F1362" s="18"/>
      <c r="G1362" s="18" t="s">
        <v>1019</v>
      </c>
      <c r="H1362" s="30" t="n">
        <v>117.9</v>
      </c>
      <c r="I1362" s="18" t="s">
        <v>513</v>
      </c>
      <c r="J1362" s="28" t="n">
        <v>7545.6</v>
      </c>
      <c r="K1362" s="12" t="str">
        <f aca="false">TEXT(B1362,"yyyy-mm")</f>
        <v>2026-08</v>
      </c>
      <c r="L1362" s="21" t="str">
        <f aca="false">IFERROR(INDEX(Projects!$E$2:$E$500,MATCH(C1362,Projects!$A$2:$A$500,0)),"")</f>
        <v>Digital Transformation</v>
      </c>
      <c r="M1362" s="31" t="n">
        <f aca="false">IF(I1362="Yes",H1362*INDEX(Resources!$I$2:$I$500,MATCH(E1362,Resources!$A$2:$A$500,0)),0)</f>
        <v>15327</v>
      </c>
    </row>
    <row r="1363" customFormat="false" ht="15" hidden="false" customHeight="false" outlineLevel="0" collapsed="false">
      <c r="A1363" s="18" t="s">
        <v>2396</v>
      </c>
      <c r="B1363" s="19" t="n">
        <v>46265</v>
      </c>
      <c r="C1363" s="18" t="s">
        <v>265</v>
      </c>
      <c r="D1363" s="18" t="s">
        <v>869</v>
      </c>
      <c r="E1363" s="18" t="s">
        <v>448</v>
      </c>
      <c r="F1363" s="18"/>
      <c r="G1363" s="18" t="s">
        <v>1019</v>
      </c>
      <c r="H1363" s="30" t="n">
        <v>111.2</v>
      </c>
      <c r="I1363" s="18" t="s">
        <v>513</v>
      </c>
      <c r="J1363" s="28" t="n">
        <v>7223.55</v>
      </c>
      <c r="K1363" s="12" t="str">
        <f aca="false">TEXT(B1363,"yyyy-mm")</f>
        <v>2026-08</v>
      </c>
      <c r="L1363" s="21" t="str">
        <f aca="false">IFERROR(INDEX(Projects!$E$2:$E$500,MATCH(C1363,Projects!$A$2:$A$500,0)),"")</f>
        <v>Digital Transformation</v>
      </c>
      <c r="M1363" s="31" t="n">
        <f aca="false">IF(I1363="Yes",H1363*INDEX(Resources!$I$2:$I$500,MATCH(E1363,Resources!$A$2:$A$500,0)),0)</f>
        <v>15012</v>
      </c>
    </row>
    <row r="1364" customFormat="false" ht="15" hidden="false" customHeight="false" outlineLevel="0" collapsed="false">
      <c r="A1364" s="18" t="s">
        <v>2397</v>
      </c>
      <c r="B1364" s="19" t="n">
        <v>46265</v>
      </c>
      <c r="C1364" s="18" t="s">
        <v>265</v>
      </c>
      <c r="D1364" s="18" t="s">
        <v>869</v>
      </c>
      <c r="E1364" s="18" t="s">
        <v>496</v>
      </c>
      <c r="F1364" s="18"/>
      <c r="G1364" s="18" t="s">
        <v>1019</v>
      </c>
      <c r="H1364" s="30" t="n">
        <v>40.3</v>
      </c>
      <c r="I1364" s="18" t="s">
        <v>513</v>
      </c>
      <c r="J1364" s="28" t="n">
        <v>3133.73</v>
      </c>
      <c r="K1364" s="12" t="str">
        <f aca="false">TEXT(B1364,"yyyy-mm")</f>
        <v>2026-08</v>
      </c>
      <c r="L1364" s="21" t="str">
        <f aca="false">IFERROR(INDEX(Projects!$E$2:$E$500,MATCH(C1364,Projects!$A$2:$A$500,0)),"")</f>
        <v>Digital Transformation</v>
      </c>
      <c r="M1364" s="31" t="n">
        <f aca="false">IF(I1364="Yes",H1364*INDEX(Resources!$I$2:$I$500,MATCH(E1364,Resources!$A$2:$A$500,0)),0)</f>
        <v>6448</v>
      </c>
    </row>
    <row r="1365" customFormat="false" ht="15" hidden="false" customHeight="false" outlineLevel="0" collapsed="false">
      <c r="A1365" s="18" t="s">
        <v>2398</v>
      </c>
      <c r="B1365" s="19" t="n">
        <v>46265</v>
      </c>
      <c r="C1365" s="18" t="s">
        <v>265</v>
      </c>
      <c r="D1365" s="18" t="s">
        <v>872</v>
      </c>
      <c r="E1365" s="18"/>
      <c r="F1365" s="18" t="s">
        <v>353</v>
      </c>
      <c r="G1365" s="18" t="s">
        <v>1026</v>
      </c>
      <c r="H1365" s="30" t="n">
        <v>0</v>
      </c>
      <c r="I1365" s="18" t="s">
        <v>527</v>
      </c>
      <c r="J1365" s="28" t="n">
        <v>3917.64</v>
      </c>
      <c r="K1365" s="12" t="str">
        <f aca="false">TEXT(B1365,"yyyy-mm")</f>
        <v>2026-08</v>
      </c>
      <c r="L1365" s="21" t="str">
        <f aca="false">IFERROR(INDEX(Projects!$E$2:$E$500,MATCH(C1365,Projects!$A$2:$A$500,0)),"")</f>
        <v>Digital Transformation</v>
      </c>
      <c r="M1365" s="31" t="n">
        <f aca="false">IF(I1365="Yes",H1365*INDEX(Resources!$I$2:$I$500,MATCH(E1365,Resources!$A$2:$A$500,0)),0)</f>
        <v>0</v>
      </c>
    </row>
    <row r="1366" customFormat="false" ht="15" hidden="false" customHeight="false" outlineLevel="0" collapsed="false">
      <c r="A1366" s="18" t="s">
        <v>2399</v>
      </c>
      <c r="B1366" s="19" t="n">
        <v>46265</v>
      </c>
      <c r="C1366" s="18" t="s">
        <v>265</v>
      </c>
      <c r="D1366" s="18" t="s">
        <v>874</v>
      </c>
      <c r="E1366" s="18"/>
      <c r="F1366" s="18" t="s">
        <v>1028</v>
      </c>
      <c r="G1366" s="18" t="s">
        <v>1026</v>
      </c>
      <c r="H1366" s="30" t="n">
        <v>0</v>
      </c>
      <c r="I1366" s="18" t="s">
        <v>527</v>
      </c>
      <c r="J1366" s="28" t="n">
        <v>5742.97</v>
      </c>
      <c r="K1366" s="12" t="str">
        <f aca="false">TEXT(B1366,"yyyy-mm")</f>
        <v>2026-08</v>
      </c>
      <c r="L1366" s="21" t="str">
        <f aca="false">IFERROR(INDEX(Projects!$E$2:$E$500,MATCH(C1366,Projects!$A$2:$A$500,0)),"")</f>
        <v>Digital Transformation</v>
      </c>
      <c r="M1366" s="31" t="n">
        <f aca="false">IF(I1366="Yes",H1366*INDEX(Resources!$I$2:$I$500,MATCH(E1366,Resources!$A$2:$A$500,0)),0)</f>
        <v>0</v>
      </c>
    </row>
    <row r="1367" customFormat="false" ht="15" hidden="false" customHeight="false" outlineLevel="0" collapsed="false">
      <c r="A1367" s="18" t="s">
        <v>2400</v>
      </c>
      <c r="B1367" s="19" t="n">
        <v>46265</v>
      </c>
      <c r="C1367" s="18" t="s">
        <v>265</v>
      </c>
      <c r="D1367" s="18" t="s">
        <v>495</v>
      </c>
      <c r="E1367" s="18"/>
      <c r="F1367" s="18" t="s">
        <v>1030</v>
      </c>
      <c r="G1367" s="18" t="s">
        <v>1026</v>
      </c>
      <c r="H1367" s="30" t="n">
        <v>0</v>
      </c>
      <c r="I1367" s="18" t="s">
        <v>527</v>
      </c>
      <c r="J1367" s="28" t="n">
        <v>1641.89</v>
      </c>
      <c r="K1367" s="12" t="str">
        <f aca="false">TEXT(B1367,"yyyy-mm")</f>
        <v>2026-08</v>
      </c>
      <c r="L1367" s="21" t="str">
        <f aca="false">IFERROR(INDEX(Projects!$E$2:$E$500,MATCH(C1367,Projects!$A$2:$A$500,0)),"")</f>
        <v>Digital Transformation</v>
      </c>
      <c r="M1367" s="31" t="n">
        <f aca="false">IF(I1367="Yes",H1367*INDEX(Resources!$I$2:$I$500,MATCH(E1367,Resources!$A$2:$A$500,0)),0)</f>
        <v>0</v>
      </c>
    </row>
    <row r="1368" customFormat="false" ht="15" hidden="false" customHeight="false" outlineLevel="0" collapsed="false">
      <c r="A1368" s="18" t="s">
        <v>2401</v>
      </c>
      <c r="B1368" s="19" t="n">
        <v>46265</v>
      </c>
      <c r="C1368" s="18" t="s">
        <v>265</v>
      </c>
      <c r="D1368" s="18" t="s">
        <v>876</v>
      </c>
      <c r="E1368" s="18"/>
      <c r="F1368" s="18" t="s">
        <v>1071</v>
      </c>
      <c r="G1368" s="18" t="s">
        <v>1033</v>
      </c>
      <c r="H1368" s="30" t="n">
        <v>0</v>
      </c>
      <c r="I1368" s="18" t="s">
        <v>527</v>
      </c>
      <c r="J1368" s="28" t="n">
        <v>1150.19</v>
      </c>
      <c r="K1368" s="12" t="str">
        <f aca="false">TEXT(B1368,"yyyy-mm")</f>
        <v>2026-08</v>
      </c>
      <c r="L1368" s="21" t="str">
        <f aca="false">IFERROR(INDEX(Projects!$E$2:$E$500,MATCH(C1368,Projects!$A$2:$A$500,0)),"")</f>
        <v>Digital Transformation</v>
      </c>
      <c r="M1368" s="31" t="n">
        <f aca="false">IF(I1368="Yes",H1368*INDEX(Resources!$I$2:$I$500,MATCH(E1368,Resources!$A$2:$A$500,0)),0)</f>
        <v>0</v>
      </c>
    </row>
    <row r="1369" customFormat="false" ht="15" hidden="false" customHeight="false" outlineLevel="0" collapsed="false">
      <c r="A1369" s="18" t="s">
        <v>2402</v>
      </c>
      <c r="B1369" s="19" t="n">
        <v>46265</v>
      </c>
      <c r="C1369" s="18" t="s">
        <v>267</v>
      </c>
      <c r="D1369" s="18" t="s">
        <v>889</v>
      </c>
      <c r="E1369" s="18"/>
      <c r="F1369" s="18" t="s">
        <v>1035</v>
      </c>
      <c r="G1369" s="18" t="s">
        <v>1026</v>
      </c>
      <c r="H1369" s="30" t="n">
        <v>0</v>
      </c>
      <c r="I1369" s="18" t="s">
        <v>527</v>
      </c>
      <c r="J1369" s="28" t="n">
        <v>4841.58</v>
      </c>
      <c r="K1369" s="12" t="str">
        <f aca="false">TEXT(B1369,"yyyy-mm")</f>
        <v>2026-08</v>
      </c>
      <c r="L1369" s="21" t="str">
        <f aca="false">IFERROR(INDEX(Projects!$E$2:$E$500,MATCH(C1369,Projects!$A$2:$A$500,0)),"")</f>
        <v>Cloud &amp; Infrastructure</v>
      </c>
      <c r="M1369" s="31" t="n">
        <f aca="false">IF(I1369="Yes",H1369*INDEX(Resources!$I$2:$I$500,MATCH(E1369,Resources!$A$2:$A$500,0)),0)</f>
        <v>0</v>
      </c>
    </row>
    <row r="1370" customFormat="false" ht="15" hidden="false" customHeight="false" outlineLevel="0" collapsed="false">
      <c r="A1370" s="18" t="s">
        <v>2403</v>
      </c>
      <c r="B1370" s="19" t="n">
        <v>46265</v>
      </c>
      <c r="C1370" s="18" t="s">
        <v>267</v>
      </c>
      <c r="D1370" s="18" t="s">
        <v>869</v>
      </c>
      <c r="E1370" s="18" t="s">
        <v>242</v>
      </c>
      <c r="F1370" s="18"/>
      <c r="G1370" s="18" t="s">
        <v>1019</v>
      </c>
      <c r="H1370" s="30" t="n">
        <v>45.1</v>
      </c>
      <c r="I1370" s="18" t="s">
        <v>513</v>
      </c>
      <c r="J1370" s="28" t="n">
        <v>4286.3</v>
      </c>
      <c r="K1370" s="12" t="str">
        <f aca="false">TEXT(B1370,"yyyy-mm")</f>
        <v>2026-08</v>
      </c>
      <c r="L1370" s="21" t="str">
        <f aca="false">IFERROR(INDEX(Projects!$E$2:$E$500,MATCH(C1370,Projects!$A$2:$A$500,0)),"")</f>
        <v>Cloud &amp; Infrastructure</v>
      </c>
      <c r="M1370" s="31" t="n">
        <f aca="false">IF(I1370="Yes",H1370*INDEX(Resources!$I$2:$I$500,MATCH(E1370,Resources!$A$2:$A$500,0)),0)</f>
        <v>8569</v>
      </c>
    </row>
    <row r="1371" customFormat="false" ht="15" hidden="false" customHeight="false" outlineLevel="0" collapsed="false">
      <c r="A1371" s="18" t="s">
        <v>2404</v>
      </c>
      <c r="B1371" s="19" t="n">
        <v>46265</v>
      </c>
      <c r="C1371" s="18" t="s">
        <v>267</v>
      </c>
      <c r="D1371" s="18" t="s">
        <v>869</v>
      </c>
      <c r="E1371" s="18" t="s">
        <v>405</v>
      </c>
      <c r="F1371" s="18"/>
      <c r="G1371" s="18" t="s">
        <v>1019</v>
      </c>
      <c r="H1371" s="30" t="n">
        <v>91.3</v>
      </c>
      <c r="I1371" s="18" t="s">
        <v>513</v>
      </c>
      <c r="J1371" s="28" t="n">
        <v>9071.57</v>
      </c>
      <c r="K1371" s="12" t="str">
        <f aca="false">TEXT(B1371,"yyyy-mm")</f>
        <v>2026-08</v>
      </c>
      <c r="L1371" s="21" t="str">
        <f aca="false">IFERROR(INDEX(Projects!$E$2:$E$500,MATCH(C1371,Projects!$A$2:$A$500,0)),"")</f>
        <v>Cloud &amp; Infrastructure</v>
      </c>
      <c r="M1371" s="31" t="n">
        <f aca="false">IF(I1371="Yes",H1371*INDEX(Resources!$I$2:$I$500,MATCH(E1371,Resources!$A$2:$A$500,0)),0)</f>
        <v>18260</v>
      </c>
    </row>
    <row r="1372" customFormat="false" ht="15" hidden="false" customHeight="false" outlineLevel="0" collapsed="false">
      <c r="A1372" s="18" t="s">
        <v>2405</v>
      </c>
      <c r="B1372" s="19" t="n">
        <v>46265</v>
      </c>
      <c r="C1372" s="18" t="s">
        <v>267</v>
      </c>
      <c r="D1372" s="18" t="s">
        <v>869</v>
      </c>
      <c r="E1372" s="18" t="s">
        <v>477</v>
      </c>
      <c r="F1372" s="18"/>
      <c r="G1372" s="18" t="s">
        <v>1019</v>
      </c>
      <c r="H1372" s="30" t="n">
        <v>124.3</v>
      </c>
      <c r="I1372" s="18" t="s">
        <v>513</v>
      </c>
      <c r="J1372" s="28" t="n">
        <v>13553.67</v>
      </c>
      <c r="K1372" s="12" t="str">
        <f aca="false">TEXT(B1372,"yyyy-mm")</f>
        <v>2026-08</v>
      </c>
      <c r="L1372" s="21" t="str">
        <f aca="false">IFERROR(INDEX(Projects!$E$2:$E$500,MATCH(C1372,Projects!$A$2:$A$500,0)),"")</f>
        <v>Cloud &amp; Infrastructure</v>
      </c>
      <c r="M1372" s="31" t="n">
        <f aca="false">IF(I1372="Yes",H1372*INDEX(Resources!$I$2:$I$500,MATCH(E1372,Resources!$A$2:$A$500,0)),0)</f>
        <v>27346</v>
      </c>
    </row>
    <row r="1373" customFormat="false" ht="15" hidden="false" customHeight="false" outlineLevel="0" collapsed="false">
      <c r="A1373" s="18" t="s">
        <v>2406</v>
      </c>
      <c r="B1373" s="19" t="n">
        <v>46265</v>
      </c>
      <c r="C1373" s="18" t="s">
        <v>267</v>
      </c>
      <c r="D1373" s="18" t="s">
        <v>869</v>
      </c>
      <c r="E1373" s="18" t="s">
        <v>489</v>
      </c>
      <c r="F1373" s="18"/>
      <c r="G1373" s="18" t="s">
        <v>1019</v>
      </c>
      <c r="H1373" s="30" t="n">
        <v>90.3</v>
      </c>
      <c r="I1373" s="18" t="s">
        <v>513</v>
      </c>
      <c r="J1373" s="28" t="n">
        <v>7765.8</v>
      </c>
      <c r="K1373" s="12" t="str">
        <f aca="false">TEXT(B1373,"yyyy-mm")</f>
        <v>2026-08</v>
      </c>
      <c r="L1373" s="21" t="str">
        <f aca="false">IFERROR(INDEX(Projects!$E$2:$E$500,MATCH(C1373,Projects!$A$2:$A$500,0)),"")</f>
        <v>Cloud &amp; Infrastructure</v>
      </c>
      <c r="M1373" s="31" t="n">
        <f aca="false">IF(I1373="Yes",H1373*INDEX(Resources!$I$2:$I$500,MATCH(E1373,Resources!$A$2:$A$500,0)),0)</f>
        <v>15802.5</v>
      </c>
    </row>
    <row r="1374" customFormat="false" ht="15" hidden="false" customHeight="false" outlineLevel="0" collapsed="false">
      <c r="A1374" s="18" t="s">
        <v>2407</v>
      </c>
      <c r="B1374" s="19" t="n">
        <v>46265</v>
      </c>
      <c r="C1374" s="18" t="s">
        <v>267</v>
      </c>
      <c r="D1374" s="18" t="s">
        <v>872</v>
      </c>
      <c r="E1374" s="18"/>
      <c r="F1374" s="18" t="s">
        <v>1059</v>
      </c>
      <c r="G1374" s="18" t="s">
        <v>1026</v>
      </c>
      <c r="H1374" s="30" t="n">
        <v>0</v>
      </c>
      <c r="I1374" s="18" t="s">
        <v>527</v>
      </c>
      <c r="J1374" s="28" t="n">
        <v>1700.94</v>
      </c>
      <c r="K1374" s="12" t="str">
        <f aca="false">TEXT(B1374,"yyyy-mm")</f>
        <v>2026-08</v>
      </c>
      <c r="L1374" s="21" t="str">
        <f aca="false">IFERROR(INDEX(Projects!$E$2:$E$500,MATCH(C1374,Projects!$A$2:$A$500,0)),"")</f>
        <v>Cloud &amp; Infrastructure</v>
      </c>
      <c r="M1374" s="31" t="n">
        <f aca="false">IF(I1374="Yes",H1374*INDEX(Resources!$I$2:$I$500,MATCH(E1374,Resources!$A$2:$A$500,0)),0)</f>
        <v>0</v>
      </c>
    </row>
    <row r="1375" customFormat="false" ht="15" hidden="false" customHeight="false" outlineLevel="0" collapsed="false">
      <c r="A1375" s="18" t="s">
        <v>2408</v>
      </c>
      <c r="B1375" s="19" t="n">
        <v>46265</v>
      </c>
      <c r="C1375" s="18" t="s">
        <v>267</v>
      </c>
      <c r="D1375" s="18" t="s">
        <v>876</v>
      </c>
      <c r="E1375" s="18"/>
      <c r="F1375" s="18" t="s">
        <v>1071</v>
      </c>
      <c r="G1375" s="18" t="s">
        <v>1033</v>
      </c>
      <c r="H1375" s="30" t="n">
        <v>0</v>
      </c>
      <c r="I1375" s="18" t="s">
        <v>527</v>
      </c>
      <c r="J1375" s="28" t="n">
        <v>755.91</v>
      </c>
      <c r="K1375" s="12" t="str">
        <f aca="false">TEXT(B1375,"yyyy-mm")</f>
        <v>2026-08</v>
      </c>
      <c r="L1375" s="21" t="str">
        <f aca="false">IFERROR(INDEX(Projects!$E$2:$E$500,MATCH(C1375,Projects!$A$2:$A$500,0)),"")</f>
        <v>Cloud &amp; Infrastructure</v>
      </c>
      <c r="M1375" s="31" t="n">
        <f aca="false">IF(I1375="Yes",H1375*INDEX(Resources!$I$2:$I$500,MATCH(E1375,Resources!$A$2:$A$500,0)),0)</f>
        <v>0</v>
      </c>
    </row>
    <row r="1376" customFormat="false" ht="15" hidden="false" customHeight="false" outlineLevel="0" collapsed="false">
      <c r="A1376" s="18" t="s">
        <v>2409</v>
      </c>
      <c r="B1376" s="19" t="n">
        <v>46265</v>
      </c>
      <c r="C1376" s="18" t="s">
        <v>270</v>
      </c>
      <c r="D1376" s="18" t="s">
        <v>869</v>
      </c>
      <c r="E1376" s="18" t="s">
        <v>237</v>
      </c>
      <c r="F1376" s="18"/>
      <c r="G1376" s="18" t="s">
        <v>1019</v>
      </c>
      <c r="H1376" s="30" t="n">
        <v>96.9</v>
      </c>
      <c r="I1376" s="18" t="s">
        <v>513</v>
      </c>
      <c r="J1376" s="28" t="n">
        <v>7248.12</v>
      </c>
      <c r="K1376" s="12" t="str">
        <f aca="false">TEXT(B1376,"yyyy-mm")</f>
        <v>2026-08</v>
      </c>
      <c r="L1376" s="21" t="str">
        <f aca="false">IFERROR(INDEX(Projects!$E$2:$E$500,MATCH(C1376,Projects!$A$2:$A$500,0)),"")</f>
        <v>Digital Transformation</v>
      </c>
      <c r="M1376" s="31" t="n">
        <f aca="false">IF(I1376="Yes",H1376*INDEX(Resources!$I$2:$I$500,MATCH(E1376,Resources!$A$2:$A$500,0)),0)</f>
        <v>14535</v>
      </c>
    </row>
    <row r="1377" customFormat="false" ht="15" hidden="false" customHeight="false" outlineLevel="0" collapsed="false">
      <c r="A1377" s="18" t="s">
        <v>2410</v>
      </c>
      <c r="B1377" s="19" t="n">
        <v>46265</v>
      </c>
      <c r="C1377" s="18" t="s">
        <v>270</v>
      </c>
      <c r="D1377" s="18" t="s">
        <v>869</v>
      </c>
      <c r="E1377" s="18" t="s">
        <v>357</v>
      </c>
      <c r="F1377" s="18"/>
      <c r="G1377" s="18" t="s">
        <v>1019</v>
      </c>
      <c r="H1377" s="30" t="n">
        <v>52.5</v>
      </c>
      <c r="I1377" s="18" t="s">
        <v>513</v>
      </c>
      <c r="J1377" s="28" t="n">
        <v>6350.4</v>
      </c>
      <c r="K1377" s="12" t="str">
        <f aca="false">TEXT(B1377,"yyyy-mm")</f>
        <v>2026-08</v>
      </c>
      <c r="L1377" s="21" t="str">
        <f aca="false">IFERROR(INDEX(Projects!$E$2:$E$500,MATCH(C1377,Projects!$A$2:$A$500,0)),"")</f>
        <v>Digital Transformation</v>
      </c>
      <c r="M1377" s="31" t="n">
        <f aca="false">IF(I1377="Yes",H1377*INDEX(Resources!$I$2:$I$500,MATCH(E1377,Resources!$A$2:$A$500,0)),0)</f>
        <v>12862.5</v>
      </c>
    </row>
    <row r="1378" customFormat="false" ht="15" hidden="false" customHeight="false" outlineLevel="0" collapsed="false">
      <c r="A1378" s="18" t="s">
        <v>2411</v>
      </c>
      <c r="B1378" s="19" t="n">
        <v>46265</v>
      </c>
      <c r="C1378" s="18" t="s">
        <v>270</v>
      </c>
      <c r="D1378" s="18" t="s">
        <v>869</v>
      </c>
      <c r="E1378" s="18" t="s">
        <v>363</v>
      </c>
      <c r="F1378" s="18"/>
      <c r="G1378" s="18" t="s">
        <v>1019</v>
      </c>
      <c r="H1378" s="30" t="n">
        <v>106.2</v>
      </c>
      <c r="I1378" s="18" t="s">
        <v>513</v>
      </c>
      <c r="J1378" s="28" t="n">
        <v>8377.06</v>
      </c>
      <c r="K1378" s="12" t="str">
        <f aca="false">TEXT(B1378,"yyyy-mm")</f>
        <v>2026-08</v>
      </c>
      <c r="L1378" s="21" t="str">
        <f aca="false">IFERROR(INDEX(Projects!$E$2:$E$500,MATCH(C1378,Projects!$A$2:$A$500,0)),"")</f>
        <v>Digital Transformation</v>
      </c>
      <c r="M1378" s="31" t="n">
        <f aca="false">IF(I1378="Yes",H1378*INDEX(Resources!$I$2:$I$500,MATCH(E1378,Resources!$A$2:$A$500,0)),0)</f>
        <v>16992</v>
      </c>
    </row>
    <row r="1379" customFormat="false" ht="15" hidden="false" customHeight="false" outlineLevel="0" collapsed="false">
      <c r="A1379" s="18" t="s">
        <v>2412</v>
      </c>
      <c r="B1379" s="19" t="n">
        <v>46265</v>
      </c>
      <c r="C1379" s="18" t="s">
        <v>270</v>
      </c>
      <c r="D1379" s="18" t="s">
        <v>869</v>
      </c>
      <c r="E1379" s="18" t="s">
        <v>393</v>
      </c>
      <c r="F1379" s="18"/>
      <c r="G1379" s="18" t="s">
        <v>1019</v>
      </c>
      <c r="H1379" s="30" t="n">
        <v>169.4</v>
      </c>
      <c r="I1379" s="18" t="s">
        <v>513</v>
      </c>
      <c r="J1379" s="28" t="n">
        <v>16831.58</v>
      </c>
      <c r="K1379" s="12" t="str">
        <f aca="false">TEXT(B1379,"yyyy-mm")</f>
        <v>2026-08</v>
      </c>
      <c r="L1379" s="21" t="str">
        <f aca="false">IFERROR(INDEX(Projects!$E$2:$E$500,MATCH(C1379,Projects!$A$2:$A$500,0)),"")</f>
        <v>Digital Transformation</v>
      </c>
      <c r="M1379" s="31" t="n">
        <f aca="false">IF(I1379="Yes",H1379*INDEX(Resources!$I$2:$I$500,MATCH(E1379,Resources!$A$2:$A$500,0)),0)</f>
        <v>33880</v>
      </c>
    </row>
    <row r="1380" customFormat="false" ht="15" hidden="false" customHeight="false" outlineLevel="0" collapsed="false">
      <c r="A1380" s="18" t="s">
        <v>2413</v>
      </c>
      <c r="B1380" s="19" t="n">
        <v>46265</v>
      </c>
      <c r="C1380" s="18" t="s">
        <v>270</v>
      </c>
      <c r="D1380" s="18" t="s">
        <v>869</v>
      </c>
      <c r="E1380" s="18" t="s">
        <v>430</v>
      </c>
      <c r="F1380" s="18"/>
      <c r="G1380" s="18" t="s">
        <v>1019</v>
      </c>
      <c r="H1380" s="30" t="n">
        <v>164.4</v>
      </c>
      <c r="I1380" s="18" t="s">
        <v>513</v>
      </c>
      <c r="J1380" s="28" t="n">
        <v>10521.6</v>
      </c>
      <c r="K1380" s="12" t="str">
        <f aca="false">TEXT(B1380,"yyyy-mm")</f>
        <v>2026-08</v>
      </c>
      <c r="L1380" s="21" t="str">
        <f aca="false">IFERROR(INDEX(Projects!$E$2:$E$500,MATCH(C1380,Projects!$A$2:$A$500,0)),"")</f>
        <v>Digital Transformation</v>
      </c>
      <c r="M1380" s="31" t="n">
        <f aca="false">IF(I1380="Yes",H1380*INDEX(Resources!$I$2:$I$500,MATCH(E1380,Resources!$A$2:$A$500,0)),0)</f>
        <v>21372</v>
      </c>
    </row>
    <row r="1381" customFormat="false" ht="15" hidden="false" customHeight="false" outlineLevel="0" collapsed="false">
      <c r="A1381" s="18" t="s">
        <v>2414</v>
      </c>
      <c r="B1381" s="19" t="n">
        <v>46265</v>
      </c>
      <c r="C1381" s="18" t="s">
        <v>270</v>
      </c>
      <c r="D1381" s="18" t="s">
        <v>872</v>
      </c>
      <c r="E1381" s="18"/>
      <c r="F1381" s="18" t="s">
        <v>1025</v>
      </c>
      <c r="G1381" s="18" t="s">
        <v>1026</v>
      </c>
      <c r="H1381" s="30" t="n">
        <v>0</v>
      </c>
      <c r="I1381" s="18" t="s">
        <v>527</v>
      </c>
      <c r="J1381" s="28" t="n">
        <v>4485.94</v>
      </c>
      <c r="K1381" s="12" t="str">
        <f aca="false">TEXT(B1381,"yyyy-mm")</f>
        <v>2026-08</v>
      </c>
      <c r="L1381" s="21" t="str">
        <f aca="false">IFERROR(INDEX(Projects!$E$2:$E$500,MATCH(C1381,Projects!$A$2:$A$500,0)),"")</f>
        <v>Digital Transformation</v>
      </c>
      <c r="M1381" s="31" t="n">
        <f aca="false">IF(I1381="Yes",H1381*INDEX(Resources!$I$2:$I$500,MATCH(E1381,Resources!$A$2:$A$500,0)),0)</f>
        <v>0</v>
      </c>
    </row>
    <row r="1382" customFormat="false" ht="15" hidden="false" customHeight="false" outlineLevel="0" collapsed="false">
      <c r="A1382" s="18" t="s">
        <v>2415</v>
      </c>
      <c r="B1382" s="19" t="n">
        <v>46265</v>
      </c>
      <c r="C1382" s="18" t="s">
        <v>270</v>
      </c>
      <c r="D1382" s="18" t="s">
        <v>874</v>
      </c>
      <c r="E1382" s="18"/>
      <c r="F1382" s="18" t="s">
        <v>1028</v>
      </c>
      <c r="G1382" s="18" t="s">
        <v>1026</v>
      </c>
      <c r="H1382" s="30" t="n">
        <v>0</v>
      </c>
      <c r="I1382" s="18" t="s">
        <v>527</v>
      </c>
      <c r="J1382" s="28" t="n">
        <v>4352.14</v>
      </c>
      <c r="K1382" s="12" t="str">
        <f aca="false">TEXT(B1382,"yyyy-mm")</f>
        <v>2026-08</v>
      </c>
      <c r="L1382" s="21" t="str">
        <f aca="false">IFERROR(INDEX(Projects!$E$2:$E$500,MATCH(C1382,Projects!$A$2:$A$500,0)),"")</f>
        <v>Digital Transformation</v>
      </c>
      <c r="M1382" s="31" t="n">
        <f aca="false">IF(I1382="Yes",H1382*INDEX(Resources!$I$2:$I$500,MATCH(E1382,Resources!$A$2:$A$500,0)),0)</f>
        <v>0</v>
      </c>
    </row>
    <row r="1383" customFormat="false" ht="15" hidden="false" customHeight="false" outlineLevel="0" collapsed="false">
      <c r="A1383" s="18" t="s">
        <v>2416</v>
      </c>
      <c r="B1383" s="19" t="n">
        <v>46265</v>
      </c>
      <c r="C1383" s="18" t="s">
        <v>270</v>
      </c>
      <c r="D1383" s="18" t="s">
        <v>495</v>
      </c>
      <c r="E1383" s="18"/>
      <c r="F1383" s="18" t="s">
        <v>1373</v>
      </c>
      <c r="G1383" s="18" t="s">
        <v>1026</v>
      </c>
      <c r="H1383" s="30" t="n">
        <v>0</v>
      </c>
      <c r="I1383" s="18" t="s">
        <v>527</v>
      </c>
      <c r="J1383" s="28" t="n">
        <v>1266.74</v>
      </c>
      <c r="K1383" s="12" t="str">
        <f aca="false">TEXT(B1383,"yyyy-mm")</f>
        <v>2026-08</v>
      </c>
      <c r="L1383" s="21" t="str">
        <f aca="false">IFERROR(INDEX(Projects!$E$2:$E$500,MATCH(C1383,Projects!$A$2:$A$500,0)),"")</f>
        <v>Digital Transformation</v>
      </c>
      <c r="M1383" s="31" t="n">
        <f aca="false">IF(I1383="Yes",H1383*INDEX(Resources!$I$2:$I$500,MATCH(E1383,Resources!$A$2:$A$500,0)),0)</f>
        <v>0</v>
      </c>
    </row>
    <row r="1384" customFormat="false" ht="15" hidden="false" customHeight="false" outlineLevel="0" collapsed="false">
      <c r="A1384" s="18" t="s">
        <v>2417</v>
      </c>
      <c r="B1384" s="19" t="n">
        <v>46265</v>
      </c>
      <c r="C1384" s="18" t="s">
        <v>270</v>
      </c>
      <c r="D1384" s="18" t="s">
        <v>876</v>
      </c>
      <c r="E1384" s="18"/>
      <c r="F1384" s="18" t="s">
        <v>1032</v>
      </c>
      <c r="G1384" s="18" t="s">
        <v>1033</v>
      </c>
      <c r="H1384" s="30" t="n">
        <v>0</v>
      </c>
      <c r="I1384" s="18" t="s">
        <v>527</v>
      </c>
      <c r="J1384" s="28" t="n">
        <v>895.21</v>
      </c>
      <c r="K1384" s="12" t="str">
        <f aca="false">TEXT(B1384,"yyyy-mm")</f>
        <v>2026-08</v>
      </c>
      <c r="L1384" s="21" t="str">
        <f aca="false">IFERROR(INDEX(Projects!$E$2:$E$500,MATCH(C1384,Projects!$A$2:$A$500,0)),"")</f>
        <v>Digital Transformation</v>
      </c>
      <c r="M1384" s="31" t="n">
        <f aca="false">IF(I1384="Yes",H1384*INDEX(Resources!$I$2:$I$500,MATCH(E1384,Resources!$A$2:$A$500,0)),0)</f>
        <v>0</v>
      </c>
    </row>
    <row r="1385" customFormat="false" ht="15" hidden="false" customHeight="false" outlineLevel="0" collapsed="false">
      <c r="A1385" s="18" t="s">
        <v>2418</v>
      </c>
      <c r="B1385" s="19" t="n">
        <v>46265</v>
      </c>
      <c r="C1385" s="18" t="s">
        <v>272</v>
      </c>
      <c r="D1385" s="18" t="s">
        <v>882</v>
      </c>
      <c r="E1385" s="18"/>
      <c r="F1385" s="18" t="s">
        <v>1063</v>
      </c>
      <c r="G1385" s="18" t="s">
        <v>1026</v>
      </c>
      <c r="H1385" s="30" t="n">
        <v>0</v>
      </c>
      <c r="I1385" s="18" t="s">
        <v>527</v>
      </c>
      <c r="J1385" s="28" t="n">
        <v>8216.52</v>
      </c>
      <c r="K1385" s="12" t="str">
        <f aca="false">TEXT(B1385,"yyyy-mm")</f>
        <v>2026-08</v>
      </c>
      <c r="L1385" s="21" t="str">
        <f aca="false">IFERROR(INDEX(Projects!$E$2:$E$500,MATCH(C1385,Projects!$A$2:$A$500,0)),"")</f>
        <v>Operational Excellence</v>
      </c>
      <c r="M1385" s="31" t="n">
        <f aca="false">IF(I1385="Yes",H1385*INDEX(Resources!$I$2:$I$500,MATCH(E1385,Resources!$A$2:$A$500,0)),0)</f>
        <v>0</v>
      </c>
    </row>
    <row r="1386" customFormat="false" ht="15" hidden="false" customHeight="false" outlineLevel="0" collapsed="false">
      <c r="A1386" s="18" t="s">
        <v>2419</v>
      </c>
      <c r="B1386" s="19" t="n">
        <v>46265</v>
      </c>
      <c r="C1386" s="18" t="s">
        <v>272</v>
      </c>
      <c r="D1386" s="18" t="s">
        <v>869</v>
      </c>
      <c r="E1386" s="18" t="s">
        <v>201</v>
      </c>
      <c r="F1386" s="18"/>
      <c r="G1386" s="18" t="s">
        <v>1019</v>
      </c>
      <c r="H1386" s="30" t="n">
        <v>44.9</v>
      </c>
      <c r="I1386" s="18" t="s">
        <v>527</v>
      </c>
      <c r="J1386" s="28" t="n">
        <v>4583.39</v>
      </c>
      <c r="K1386" s="12" t="str">
        <f aca="false">TEXT(B1386,"yyyy-mm")</f>
        <v>2026-08</v>
      </c>
      <c r="L1386" s="21" t="str">
        <f aca="false">IFERROR(INDEX(Projects!$E$2:$E$500,MATCH(C1386,Projects!$A$2:$A$500,0)),"")</f>
        <v>Operational Excellence</v>
      </c>
      <c r="M1386" s="31" t="n">
        <f aca="false">IF(I1386="Yes",H1386*INDEX(Resources!$I$2:$I$500,MATCH(E1386,Resources!$A$2:$A$500,0)),0)</f>
        <v>0</v>
      </c>
    </row>
    <row r="1387" customFormat="false" ht="15" hidden="false" customHeight="false" outlineLevel="0" collapsed="false">
      <c r="A1387" s="18" t="s">
        <v>2420</v>
      </c>
      <c r="B1387" s="19" t="n">
        <v>46265</v>
      </c>
      <c r="C1387" s="18" t="s">
        <v>272</v>
      </c>
      <c r="D1387" s="18" t="s">
        <v>869</v>
      </c>
      <c r="E1387" s="18" t="s">
        <v>373</v>
      </c>
      <c r="F1387" s="18"/>
      <c r="G1387" s="18" t="s">
        <v>1019</v>
      </c>
      <c r="H1387" s="30" t="n">
        <v>87.7</v>
      </c>
      <c r="I1387" s="18" t="s">
        <v>513</v>
      </c>
      <c r="J1387" s="28" t="n">
        <v>6440.69</v>
      </c>
      <c r="K1387" s="12" t="str">
        <f aca="false">TEXT(B1387,"yyyy-mm")</f>
        <v>2026-08</v>
      </c>
      <c r="L1387" s="21" t="str">
        <f aca="false">IFERROR(INDEX(Projects!$E$2:$E$500,MATCH(C1387,Projects!$A$2:$A$500,0)),"")</f>
        <v>Operational Excellence</v>
      </c>
      <c r="M1387" s="31" t="n">
        <f aca="false">IF(I1387="Yes",H1387*INDEX(Resources!$I$2:$I$500,MATCH(E1387,Resources!$A$2:$A$500,0)),0)</f>
        <v>13155</v>
      </c>
    </row>
    <row r="1388" customFormat="false" ht="15" hidden="false" customHeight="false" outlineLevel="0" collapsed="false">
      <c r="A1388" s="18" t="s">
        <v>2421</v>
      </c>
      <c r="B1388" s="19" t="n">
        <v>46265</v>
      </c>
      <c r="C1388" s="18" t="s">
        <v>272</v>
      </c>
      <c r="D1388" s="18" t="s">
        <v>869</v>
      </c>
      <c r="E1388" s="18" t="s">
        <v>395</v>
      </c>
      <c r="F1388" s="18"/>
      <c r="G1388" s="18" t="s">
        <v>1019</v>
      </c>
      <c r="H1388" s="30" t="n">
        <v>92.6</v>
      </c>
      <c r="I1388" s="18" t="s">
        <v>513</v>
      </c>
      <c r="J1388" s="28" t="n">
        <v>9903.57</v>
      </c>
      <c r="K1388" s="12" t="str">
        <f aca="false">TEXT(B1388,"yyyy-mm")</f>
        <v>2026-08</v>
      </c>
      <c r="L1388" s="21" t="str">
        <f aca="false">IFERROR(INDEX(Projects!$E$2:$E$500,MATCH(C1388,Projects!$A$2:$A$500,0)),"")</f>
        <v>Operational Excellence</v>
      </c>
      <c r="M1388" s="31" t="n">
        <f aca="false">IF(I1388="Yes",H1388*INDEX(Resources!$I$2:$I$500,MATCH(E1388,Resources!$A$2:$A$500,0)),0)</f>
        <v>15742</v>
      </c>
    </row>
    <row r="1389" customFormat="false" ht="15" hidden="false" customHeight="false" outlineLevel="0" collapsed="false">
      <c r="A1389" s="18" t="s">
        <v>2422</v>
      </c>
      <c r="B1389" s="19" t="n">
        <v>46265</v>
      </c>
      <c r="C1389" s="18" t="s">
        <v>272</v>
      </c>
      <c r="D1389" s="18" t="s">
        <v>869</v>
      </c>
      <c r="E1389" s="18" t="s">
        <v>426</v>
      </c>
      <c r="F1389" s="18"/>
      <c r="G1389" s="18" t="s">
        <v>1019</v>
      </c>
      <c r="H1389" s="30" t="n">
        <v>88.4</v>
      </c>
      <c r="I1389" s="18" t="s">
        <v>513</v>
      </c>
      <c r="J1389" s="28" t="n">
        <v>6562.82</v>
      </c>
      <c r="K1389" s="12" t="str">
        <f aca="false">TEXT(B1389,"yyyy-mm")</f>
        <v>2026-08</v>
      </c>
      <c r="L1389" s="21" t="str">
        <f aca="false">IFERROR(INDEX(Projects!$E$2:$E$500,MATCH(C1389,Projects!$A$2:$A$500,0)),"")</f>
        <v>Operational Excellence</v>
      </c>
      <c r="M1389" s="31" t="n">
        <f aca="false">IF(I1389="Yes",H1389*INDEX(Resources!$I$2:$I$500,MATCH(E1389,Resources!$A$2:$A$500,0)),0)</f>
        <v>13260</v>
      </c>
    </row>
    <row r="1390" customFormat="false" ht="15" hidden="false" customHeight="false" outlineLevel="0" collapsed="false">
      <c r="A1390" s="18" t="s">
        <v>2423</v>
      </c>
      <c r="B1390" s="19" t="n">
        <v>46265</v>
      </c>
      <c r="C1390" s="18" t="s">
        <v>272</v>
      </c>
      <c r="D1390" s="18" t="s">
        <v>869</v>
      </c>
      <c r="E1390" s="18" t="s">
        <v>439</v>
      </c>
      <c r="F1390" s="18"/>
      <c r="G1390" s="18" t="s">
        <v>1019</v>
      </c>
      <c r="H1390" s="30" t="n">
        <v>44.2</v>
      </c>
      <c r="I1390" s="18" t="s">
        <v>513</v>
      </c>
      <c r="J1390" s="28" t="n">
        <v>3589.04</v>
      </c>
      <c r="K1390" s="12" t="str">
        <f aca="false">TEXT(B1390,"yyyy-mm")</f>
        <v>2026-08</v>
      </c>
      <c r="L1390" s="21" t="str">
        <f aca="false">IFERROR(INDEX(Projects!$E$2:$E$500,MATCH(C1390,Projects!$A$2:$A$500,0)),"")</f>
        <v>Operational Excellence</v>
      </c>
      <c r="M1390" s="31" t="n">
        <f aca="false">IF(I1390="Yes",H1390*INDEX(Resources!$I$2:$I$500,MATCH(E1390,Resources!$A$2:$A$500,0)),0)</f>
        <v>5967</v>
      </c>
    </row>
    <row r="1391" customFormat="false" ht="15" hidden="false" customHeight="false" outlineLevel="0" collapsed="false">
      <c r="A1391" s="18" t="s">
        <v>2424</v>
      </c>
      <c r="B1391" s="19" t="n">
        <v>46265</v>
      </c>
      <c r="C1391" s="18" t="s">
        <v>272</v>
      </c>
      <c r="D1391" s="18" t="s">
        <v>869</v>
      </c>
      <c r="E1391" s="18" t="s">
        <v>492</v>
      </c>
      <c r="F1391" s="18"/>
      <c r="G1391" s="18" t="s">
        <v>1019</v>
      </c>
      <c r="H1391" s="30" t="n">
        <v>42.5</v>
      </c>
      <c r="I1391" s="18" t="s">
        <v>513</v>
      </c>
      <c r="J1391" s="28" t="n">
        <v>3549.6</v>
      </c>
      <c r="K1391" s="12" t="str">
        <f aca="false">TEXT(B1391,"yyyy-mm")</f>
        <v>2026-08</v>
      </c>
      <c r="L1391" s="21" t="str">
        <f aca="false">IFERROR(INDEX(Projects!$E$2:$E$500,MATCH(C1391,Projects!$A$2:$A$500,0)),"")</f>
        <v>Operational Excellence</v>
      </c>
      <c r="M1391" s="31" t="n">
        <f aca="false">IF(I1391="Yes",H1391*INDEX(Resources!$I$2:$I$500,MATCH(E1391,Resources!$A$2:$A$500,0)),0)</f>
        <v>7437.5</v>
      </c>
    </row>
    <row r="1392" customFormat="false" ht="15" hidden="false" customHeight="false" outlineLevel="0" collapsed="false">
      <c r="A1392" s="18" t="s">
        <v>2425</v>
      </c>
      <c r="B1392" s="19" t="n">
        <v>46265</v>
      </c>
      <c r="C1392" s="18" t="s">
        <v>272</v>
      </c>
      <c r="D1392" s="18" t="s">
        <v>872</v>
      </c>
      <c r="E1392" s="18"/>
      <c r="F1392" s="18" t="s">
        <v>353</v>
      </c>
      <c r="G1392" s="18" t="s">
        <v>1026</v>
      </c>
      <c r="H1392" s="30" t="n">
        <v>0</v>
      </c>
      <c r="I1392" s="18" t="s">
        <v>527</v>
      </c>
      <c r="J1392" s="28" t="n">
        <v>1259.08</v>
      </c>
      <c r="K1392" s="12" t="str">
        <f aca="false">TEXT(B1392,"yyyy-mm")</f>
        <v>2026-08</v>
      </c>
      <c r="L1392" s="21" t="str">
        <f aca="false">IFERROR(INDEX(Projects!$E$2:$E$500,MATCH(C1392,Projects!$A$2:$A$500,0)),"")</f>
        <v>Operational Excellence</v>
      </c>
      <c r="M1392" s="31" t="n">
        <f aca="false">IF(I1392="Yes",H1392*INDEX(Resources!$I$2:$I$500,MATCH(E1392,Resources!$A$2:$A$500,0)),0)</f>
        <v>0</v>
      </c>
    </row>
    <row r="1393" customFormat="false" ht="15" hidden="false" customHeight="false" outlineLevel="0" collapsed="false">
      <c r="A1393" s="18" t="s">
        <v>2426</v>
      </c>
      <c r="B1393" s="19" t="n">
        <v>46265</v>
      </c>
      <c r="C1393" s="18" t="s">
        <v>272</v>
      </c>
      <c r="D1393" s="18" t="s">
        <v>495</v>
      </c>
      <c r="E1393" s="18"/>
      <c r="F1393" s="18" t="s">
        <v>1030</v>
      </c>
      <c r="G1393" s="18" t="s">
        <v>1026</v>
      </c>
      <c r="H1393" s="30" t="n">
        <v>0</v>
      </c>
      <c r="I1393" s="18" t="s">
        <v>527</v>
      </c>
      <c r="J1393" s="28" t="n">
        <v>835.08</v>
      </c>
      <c r="K1393" s="12" t="str">
        <f aca="false">TEXT(B1393,"yyyy-mm")</f>
        <v>2026-08</v>
      </c>
      <c r="L1393" s="21" t="str">
        <f aca="false">IFERROR(INDEX(Projects!$E$2:$E$500,MATCH(C1393,Projects!$A$2:$A$500,0)),"")</f>
        <v>Operational Excellence</v>
      </c>
      <c r="M1393" s="31" t="n">
        <f aca="false">IF(I1393="Yes",H1393*INDEX(Resources!$I$2:$I$500,MATCH(E1393,Resources!$A$2:$A$500,0)),0)</f>
        <v>0</v>
      </c>
    </row>
    <row r="1394" customFormat="false" ht="15" hidden="false" customHeight="false" outlineLevel="0" collapsed="false">
      <c r="A1394" s="18" t="s">
        <v>2427</v>
      </c>
      <c r="B1394" s="19" t="n">
        <v>46265</v>
      </c>
      <c r="C1394" s="18" t="s">
        <v>272</v>
      </c>
      <c r="D1394" s="18" t="s">
        <v>876</v>
      </c>
      <c r="E1394" s="18"/>
      <c r="F1394" s="18" t="s">
        <v>1032</v>
      </c>
      <c r="G1394" s="18" t="s">
        <v>1033</v>
      </c>
      <c r="H1394" s="30" t="n">
        <v>0</v>
      </c>
      <c r="I1394" s="18" t="s">
        <v>527</v>
      </c>
      <c r="J1394" s="28" t="n">
        <v>608.86</v>
      </c>
      <c r="K1394" s="12" t="str">
        <f aca="false">TEXT(B1394,"yyyy-mm")</f>
        <v>2026-08</v>
      </c>
      <c r="L1394" s="21" t="str">
        <f aca="false">IFERROR(INDEX(Projects!$E$2:$E$500,MATCH(C1394,Projects!$A$2:$A$500,0)),"")</f>
        <v>Operational Excellence</v>
      </c>
      <c r="M1394" s="31" t="n">
        <f aca="false">IF(I1394="Yes",H1394*INDEX(Resources!$I$2:$I$500,MATCH(E1394,Resources!$A$2:$A$500,0)),0)</f>
        <v>0</v>
      </c>
    </row>
    <row r="1395" customFormat="false" ht="15" hidden="false" customHeight="false" outlineLevel="0" collapsed="false">
      <c r="A1395" s="18" t="s">
        <v>2428</v>
      </c>
      <c r="B1395" s="19" t="n">
        <v>46265</v>
      </c>
      <c r="C1395" s="18" t="s">
        <v>275</v>
      </c>
      <c r="D1395" s="18" t="s">
        <v>869</v>
      </c>
      <c r="E1395" s="18" t="s">
        <v>218</v>
      </c>
      <c r="F1395" s="18"/>
      <c r="G1395" s="18" t="s">
        <v>1019</v>
      </c>
      <c r="H1395" s="30" t="n">
        <v>120.2</v>
      </c>
      <c r="I1395" s="18" t="s">
        <v>513</v>
      </c>
      <c r="J1395" s="28" t="n">
        <v>8990.96</v>
      </c>
      <c r="K1395" s="12" t="str">
        <f aca="false">TEXT(B1395,"yyyy-mm")</f>
        <v>2026-08</v>
      </c>
      <c r="L1395" s="21" t="str">
        <f aca="false">IFERROR(INDEX(Projects!$E$2:$E$500,MATCH(C1395,Projects!$A$2:$A$500,0)),"")</f>
        <v>Customer Experience</v>
      </c>
      <c r="M1395" s="31" t="n">
        <f aca="false">IF(I1395="Yes",H1395*INDEX(Resources!$I$2:$I$500,MATCH(E1395,Resources!$A$2:$A$500,0)),0)</f>
        <v>18030</v>
      </c>
    </row>
    <row r="1396" customFormat="false" ht="15" hidden="false" customHeight="false" outlineLevel="0" collapsed="false">
      <c r="A1396" s="18" t="s">
        <v>2429</v>
      </c>
      <c r="B1396" s="19" t="n">
        <v>46265</v>
      </c>
      <c r="C1396" s="18" t="s">
        <v>275</v>
      </c>
      <c r="D1396" s="18" t="s">
        <v>869</v>
      </c>
      <c r="E1396" s="18" t="s">
        <v>400</v>
      </c>
      <c r="F1396" s="18"/>
      <c r="G1396" s="18" t="s">
        <v>1019</v>
      </c>
      <c r="H1396" s="30" t="n">
        <v>108.9</v>
      </c>
      <c r="I1396" s="18" t="s">
        <v>513</v>
      </c>
      <c r="J1396" s="28" t="n">
        <v>10820.3</v>
      </c>
      <c r="K1396" s="12" t="str">
        <f aca="false">TEXT(B1396,"yyyy-mm")</f>
        <v>2026-08</v>
      </c>
      <c r="L1396" s="21" t="str">
        <f aca="false">IFERROR(INDEX(Projects!$E$2:$E$500,MATCH(C1396,Projects!$A$2:$A$500,0)),"")</f>
        <v>Customer Experience</v>
      </c>
      <c r="M1396" s="31" t="n">
        <f aca="false">IF(I1396="Yes",H1396*INDEX(Resources!$I$2:$I$500,MATCH(E1396,Resources!$A$2:$A$500,0)),0)</f>
        <v>21780</v>
      </c>
    </row>
    <row r="1397" customFormat="false" ht="15" hidden="false" customHeight="false" outlineLevel="0" collapsed="false">
      <c r="A1397" s="18" t="s">
        <v>2430</v>
      </c>
      <c r="B1397" s="19" t="n">
        <v>46265</v>
      </c>
      <c r="C1397" s="18" t="s">
        <v>275</v>
      </c>
      <c r="D1397" s="18" t="s">
        <v>869</v>
      </c>
      <c r="E1397" s="18" t="s">
        <v>422</v>
      </c>
      <c r="F1397" s="18"/>
      <c r="G1397" s="18" t="s">
        <v>1019</v>
      </c>
      <c r="H1397" s="30" t="n">
        <v>124.8</v>
      </c>
      <c r="I1397" s="18" t="s">
        <v>513</v>
      </c>
      <c r="J1397" s="28" t="n">
        <v>7428.1</v>
      </c>
      <c r="K1397" s="12" t="str">
        <f aca="false">TEXT(B1397,"yyyy-mm")</f>
        <v>2026-08</v>
      </c>
      <c r="L1397" s="21" t="str">
        <f aca="false">IFERROR(INDEX(Projects!$E$2:$E$500,MATCH(C1397,Projects!$A$2:$A$500,0)),"")</f>
        <v>Customer Experience</v>
      </c>
      <c r="M1397" s="31" t="n">
        <f aca="false">IF(I1397="Yes",H1397*INDEX(Resources!$I$2:$I$500,MATCH(E1397,Resources!$A$2:$A$500,0)),0)</f>
        <v>14976</v>
      </c>
    </row>
    <row r="1398" customFormat="false" ht="15" hidden="false" customHeight="false" outlineLevel="0" collapsed="false">
      <c r="A1398" s="18" t="s">
        <v>2431</v>
      </c>
      <c r="B1398" s="19" t="n">
        <v>46265</v>
      </c>
      <c r="C1398" s="18" t="s">
        <v>275</v>
      </c>
      <c r="D1398" s="18" t="s">
        <v>869</v>
      </c>
      <c r="E1398" s="18" t="s">
        <v>439</v>
      </c>
      <c r="F1398" s="18"/>
      <c r="G1398" s="18" t="s">
        <v>1019</v>
      </c>
      <c r="H1398" s="30" t="n">
        <v>125</v>
      </c>
      <c r="I1398" s="18" t="s">
        <v>513</v>
      </c>
      <c r="J1398" s="28" t="n">
        <v>10150</v>
      </c>
      <c r="K1398" s="12" t="str">
        <f aca="false">TEXT(B1398,"yyyy-mm")</f>
        <v>2026-08</v>
      </c>
      <c r="L1398" s="21" t="str">
        <f aca="false">IFERROR(INDEX(Projects!$E$2:$E$500,MATCH(C1398,Projects!$A$2:$A$500,0)),"")</f>
        <v>Customer Experience</v>
      </c>
      <c r="M1398" s="31" t="n">
        <f aca="false">IF(I1398="Yes",H1398*INDEX(Resources!$I$2:$I$500,MATCH(E1398,Resources!$A$2:$A$500,0)),0)</f>
        <v>16875</v>
      </c>
    </row>
    <row r="1399" customFormat="false" ht="15" hidden="false" customHeight="false" outlineLevel="0" collapsed="false">
      <c r="A1399" s="18" t="s">
        <v>2432</v>
      </c>
      <c r="B1399" s="19" t="n">
        <v>46265</v>
      </c>
      <c r="C1399" s="18" t="s">
        <v>275</v>
      </c>
      <c r="D1399" s="18" t="s">
        <v>872</v>
      </c>
      <c r="E1399" s="18"/>
      <c r="F1399" s="18" t="s">
        <v>353</v>
      </c>
      <c r="G1399" s="18" t="s">
        <v>1026</v>
      </c>
      <c r="H1399" s="30" t="n">
        <v>0</v>
      </c>
      <c r="I1399" s="18" t="s">
        <v>527</v>
      </c>
      <c r="J1399" s="28" t="n">
        <v>2526.53</v>
      </c>
      <c r="K1399" s="12" t="str">
        <f aca="false">TEXT(B1399,"yyyy-mm")</f>
        <v>2026-08</v>
      </c>
      <c r="L1399" s="21" t="str">
        <f aca="false">IFERROR(INDEX(Projects!$E$2:$E$500,MATCH(C1399,Projects!$A$2:$A$500,0)),"")</f>
        <v>Customer Experience</v>
      </c>
      <c r="M1399" s="31" t="n">
        <f aca="false">IF(I1399="Yes",H1399*INDEX(Resources!$I$2:$I$500,MATCH(E1399,Resources!$A$2:$A$500,0)),0)</f>
        <v>0</v>
      </c>
    </row>
    <row r="1400" customFormat="false" ht="15" hidden="false" customHeight="false" outlineLevel="0" collapsed="false">
      <c r="A1400" s="18" t="s">
        <v>2433</v>
      </c>
      <c r="B1400" s="19" t="n">
        <v>46265</v>
      </c>
      <c r="C1400" s="18" t="s">
        <v>275</v>
      </c>
      <c r="D1400" s="18" t="s">
        <v>874</v>
      </c>
      <c r="E1400" s="18"/>
      <c r="F1400" s="18" t="s">
        <v>1028</v>
      </c>
      <c r="G1400" s="18" t="s">
        <v>1026</v>
      </c>
      <c r="H1400" s="30" t="n">
        <v>0</v>
      </c>
      <c r="I1400" s="18" t="s">
        <v>527</v>
      </c>
      <c r="J1400" s="28" t="n">
        <v>2978.68</v>
      </c>
      <c r="K1400" s="12" t="str">
        <f aca="false">TEXT(B1400,"yyyy-mm")</f>
        <v>2026-08</v>
      </c>
      <c r="L1400" s="21" t="str">
        <f aca="false">IFERROR(INDEX(Projects!$E$2:$E$500,MATCH(C1400,Projects!$A$2:$A$500,0)),"")</f>
        <v>Customer Experience</v>
      </c>
      <c r="M1400" s="31" t="n">
        <f aca="false">IF(I1400="Yes",H1400*INDEX(Resources!$I$2:$I$500,MATCH(E1400,Resources!$A$2:$A$500,0)),0)</f>
        <v>0</v>
      </c>
    </row>
    <row r="1401" customFormat="false" ht="15" hidden="false" customHeight="false" outlineLevel="0" collapsed="false">
      <c r="A1401" s="18" t="s">
        <v>2434</v>
      </c>
      <c r="B1401" s="19" t="n">
        <v>46265</v>
      </c>
      <c r="C1401" s="18" t="s">
        <v>275</v>
      </c>
      <c r="D1401" s="18" t="s">
        <v>876</v>
      </c>
      <c r="E1401" s="18"/>
      <c r="F1401" s="18" t="s">
        <v>1071</v>
      </c>
      <c r="G1401" s="18" t="s">
        <v>1033</v>
      </c>
      <c r="H1401" s="30" t="n">
        <v>0</v>
      </c>
      <c r="I1401" s="18" t="s">
        <v>527</v>
      </c>
      <c r="J1401" s="28" t="n">
        <v>586.4</v>
      </c>
      <c r="K1401" s="12" t="str">
        <f aca="false">TEXT(B1401,"yyyy-mm")</f>
        <v>2026-08</v>
      </c>
      <c r="L1401" s="21" t="str">
        <f aca="false">IFERROR(INDEX(Projects!$E$2:$E$500,MATCH(C1401,Projects!$A$2:$A$500,0)),"")</f>
        <v>Customer Experience</v>
      </c>
      <c r="M1401" s="31" t="n">
        <f aca="false">IF(I1401="Yes",H1401*INDEX(Resources!$I$2:$I$500,MATCH(E1401,Resources!$A$2:$A$500,0)),0)</f>
        <v>0</v>
      </c>
    </row>
  </sheetData>
  <dataValidations count="2">
    <dataValidation allowBlank="true" error="Pick a value from the list." errorStyle="stop" errorTitle="Invalid value" operator="between" showDropDown="false" showErrorMessage="true" showInputMessage="false" sqref="I2:I2401" type="list">
      <formula1>"Yes,No"</formula1>
      <formula2>0</formula2>
    </dataValidation>
    <dataValidation allowBlank="true" error="Pick a value from the list." errorStyle="stop" errorTitle="Invalid value" operator="between" showDropDown="false" showErrorMessage="true" showInputMessage="false" sqref="D2:D2401" type="list">
      <formula1>"Labour,Cloud Hosting,Hardware,Software &amp; Licences,Subcontractors,Training,Travel &amp; Expenses"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9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20" t="s">
        <v>47</v>
      </c>
      <c r="B1" s="20" t="s">
        <v>41</v>
      </c>
      <c r="C1" s="20" t="s">
        <v>2435</v>
      </c>
      <c r="D1" s="20" t="s">
        <v>154</v>
      </c>
      <c r="E1" s="20" t="s">
        <v>2436</v>
      </c>
      <c r="F1" s="20" t="s">
        <v>2437</v>
      </c>
      <c r="G1" s="20" t="s">
        <v>2438</v>
      </c>
      <c r="H1" s="20" t="s">
        <v>2439</v>
      </c>
      <c r="I1" s="20" t="s">
        <v>2440</v>
      </c>
      <c r="J1" s="20" t="s">
        <v>2441</v>
      </c>
      <c r="K1" s="20" t="s">
        <v>2442</v>
      </c>
      <c r="L1" s="20" t="s">
        <v>153</v>
      </c>
      <c r="M1" s="20" t="s">
        <v>145</v>
      </c>
    </row>
    <row r="2" customFormat="false" ht="15" hidden="false" customHeight="false" outlineLevel="0" collapsed="false">
      <c r="A2" s="18" t="s">
        <v>2443</v>
      </c>
      <c r="B2" s="18" t="s">
        <v>197</v>
      </c>
      <c r="C2" s="18" t="s">
        <v>2444</v>
      </c>
      <c r="D2" s="18" t="s">
        <v>678</v>
      </c>
      <c r="E2" s="19" t="n">
        <v>46000</v>
      </c>
      <c r="F2" s="19" t="n">
        <v>46000</v>
      </c>
      <c r="G2" s="19" t="n">
        <v>46000</v>
      </c>
      <c r="H2" s="18" t="s">
        <v>513</v>
      </c>
      <c r="I2" s="24" t="n">
        <v>0.1</v>
      </c>
      <c r="J2" s="14" t="n">
        <f aca="false">IF(H2="Yes",I2*INDEX(Projects!$R$2:$R$500,MATCH(B2,Projects!$A$2:$A$500,0)),0)</f>
        <v>110000</v>
      </c>
      <c r="K2" s="26" t="n">
        <f aca="false">IF(ISNUMBER(G2),G2-E2,F2-E2)</f>
        <v>0</v>
      </c>
      <c r="L2" s="12" t="str">
        <f aca="false">IF(ISNUMBER(G2),"Completed",IF(F2&lt;AsOfDate,"Overdue",IF(F2-E2&gt;MilestoneAtRiskDays,"At Risk","On Track")))</f>
        <v>Completed</v>
      </c>
      <c r="M2" s="12" t="str">
        <f aca="false">IF(COUNTIF(Invoices!$C$2:$C$2000,A2)&gt;0,"Yes","No")</f>
        <v>Yes</v>
      </c>
    </row>
    <row r="3" customFormat="false" ht="15" hidden="false" customHeight="false" outlineLevel="0" collapsed="false">
      <c r="A3" s="18" t="s">
        <v>2445</v>
      </c>
      <c r="B3" s="18" t="s">
        <v>197</v>
      </c>
      <c r="C3" s="18" t="s">
        <v>2446</v>
      </c>
      <c r="D3" s="18" t="s">
        <v>382</v>
      </c>
      <c r="E3" s="19" t="n">
        <v>46057</v>
      </c>
      <c r="F3" s="19" t="n">
        <v>46057</v>
      </c>
      <c r="G3" s="19" t="n">
        <v>46057</v>
      </c>
      <c r="H3" s="18" t="s">
        <v>513</v>
      </c>
      <c r="I3" s="24" t="n">
        <v>0.2</v>
      </c>
      <c r="J3" s="14" t="n">
        <f aca="false">IF(H3="Yes",I3*INDEX(Projects!$R$2:$R$500,MATCH(B3,Projects!$A$2:$A$500,0)),0)</f>
        <v>220000</v>
      </c>
      <c r="K3" s="26" t="n">
        <f aca="false">IF(ISNUMBER(G3),G3-E3,F3-E3)</f>
        <v>0</v>
      </c>
      <c r="L3" s="12" t="str">
        <f aca="false">IF(ISNUMBER(G3),"Completed",IF(F3&lt;AsOfDate,"Overdue",IF(F3-E3&gt;MilestoneAtRiskDays,"At Risk","On Track")))</f>
        <v>Completed</v>
      </c>
      <c r="M3" s="12" t="str">
        <f aca="false">IF(COUNTIF(Invoices!$C$2:$C$2000,A3)&gt;0,"Yes","No")</f>
        <v>Yes</v>
      </c>
    </row>
    <row r="4" customFormat="false" ht="15" hidden="false" customHeight="false" outlineLevel="0" collapsed="false">
      <c r="A4" s="18" t="s">
        <v>2447</v>
      </c>
      <c r="B4" s="18" t="s">
        <v>197</v>
      </c>
      <c r="C4" s="18" t="s">
        <v>2448</v>
      </c>
      <c r="D4" s="18" t="s">
        <v>686</v>
      </c>
      <c r="E4" s="19" t="n">
        <v>46216</v>
      </c>
      <c r="F4" s="19" t="n">
        <v>46218</v>
      </c>
      <c r="G4" s="19" t="n">
        <v>46218</v>
      </c>
      <c r="H4" s="18" t="s">
        <v>513</v>
      </c>
      <c r="I4" s="24" t="n">
        <v>0.3</v>
      </c>
      <c r="J4" s="14" t="n">
        <f aca="false">IF(H4="Yes",I4*INDEX(Projects!$R$2:$R$500,MATCH(B4,Projects!$A$2:$A$500,0)),0)</f>
        <v>330000</v>
      </c>
      <c r="K4" s="26" t="n">
        <f aca="false">IF(ISNUMBER(G4),G4-E4,F4-E4)</f>
        <v>2</v>
      </c>
      <c r="L4" s="12" t="str">
        <f aca="false">IF(ISNUMBER(G4),"Completed",IF(F4&lt;AsOfDate,"Overdue",IF(F4-E4&gt;MilestoneAtRiskDays,"At Risk","On Track")))</f>
        <v>Completed</v>
      </c>
      <c r="M4" s="12" t="str">
        <f aca="false">IF(COUNTIF(Invoices!$C$2:$C$2000,A4)&gt;0,"Yes","No")</f>
        <v>Yes</v>
      </c>
    </row>
    <row r="5" customFormat="false" ht="15" hidden="false" customHeight="false" outlineLevel="0" collapsed="false">
      <c r="A5" s="18" t="s">
        <v>2449</v>
      </c>
      <c r="B5" s="18" t="s">
        <v>197</v>
      </c>
      <c r="C5" s="18" t="s">
        <v>2450</v>
      </c>
      <c r="D5" s="18" t="s">
        <v>690</v>
      </c>
      <c r="E5" s="19" t="n">
        <v>46288</v>
      </c>
      <c r="F5" s="19" t="n">
        <v>46293</v>
      </c>
      <c r="G5" s="19"/>
      <c r="H5" s="18" t="s">
        <v>513</v>
      </c>
      <c r="I5" s="24" t="n">
        <v>0.2</v>
      </c>
      <c r="J5" s="14" t="n">
        <f aca="false">IF(H5="Yes",I5*INDEX(Projects!$R$2:$R$500,MATCH(B5,Projects!$A$2:$A$500,0)),0)</f>
        <v>220000</v>
      </c>
      <c r="K5" s="26" t="n">
        <f aca="false">IF(ISNUMBER(G5),G5-E5,F5-E5)</f>
        <v>5</v>
      </c>
      <c r="L5" s="12" t="str">
        <f aca="false">IF(ISNUMBER(G5),"Completed",IF(F5&lt;AsOfDate,"Overdue",IF(F5-E5&gt;MilestoneAtRiskDays,"At Risk","On Track")))</f>
        <v>On Track</v>
      </c>
      <c r="M5" s="12" t="str">
        <f aca="false">IF(COUNTIF(Invoices!$C$2:$C$2000,A5)&gt;0,"Yes","No")</f>
        <v>No</v>
      </c>
    </row>
    <row r="6" customFormat="false" ht="15" hidden="false" customHeight="false" outlineLevel="0" collapsed="false">
      <c r="A6" s="18" t="s">
        <v>2451</v>
      </c>
      <c r="B6" s="18" t="s">
        <v>197</v>
      </c>
      <c r="C6" s="18" t="s">
        <v>2452</v>
      </c>
      <c r="D6" s="18" t="s">
        <v>694</v>
      </c>
      <c r="E6" s="19" t="n">
        <v>46325</v>
      </c>
      <c r="F6" s="19" t="n">
        <v>46329</v>
      </c>
      <c r="G6" s="19"/>
      <c r="H6" s="18" t="s">
        <v>513</v>
      </c>
      <c r="I6" s="24" t="n">
        <v>0.2</v>
      </c>
      <c r="J6" s="14" t="n">
        <f aca="false">IF(H6="Yes",I6*INDEX(Projects!$R$2:$R$500,MATCH(B6,Projects!$A$2:$A$500,0)),0)</f>
        <v>220000</v>
      </c>
      <c r="K6" s="26" t="n">
        <f aca="false">IF(ISNUMBER(G6),G6-E6,F6-E6)</f>
        <v>4</v>
      </c>
      <c r="L6" s="12" t="str">
        <f aca="false">IF(ISNUMBER(G6),"Completed",IF(F6&lt;AsOfDate,"Overdue",IF(F6-E6&gt;MilestoneAtRiskDays,"At Risk","On Track")))</f>
        <v>On Track</v>
      </c>
      <c r="M6" s="12" t="str">
        <f aca="false">IF(COUNTIF(Invoices!$C$2:$C$2000,A6)&gt;0,"Yes","No")</f>
        <v>No</v>
      </c>
    </row>
    <row r="7" customFormat="false" ht="15" hidden="false" customHeight="false" outlineLevel="0" collapsed="false">
      <c r="A7" s="18" t="s">
        <v>2453</v>
      </c>
      <c r="B7" s="18" t="s">
        <v>207</v>
      </c>
      <c r="C7" s="18" t="s">
        <v>2444</v>
      </c>
      <c r="D7" s="18" t="s">
        <v>678</v>
      </c>
      <c r="E7" s="19" t="n">
        <v>46066</v>
      </c>
      <c r="F7" s="19" t="n">
        <v>46066</v>
      </c>
      <c r="G7" s="19" t="n">
        <v>46066</v>
      </c>
      <c r="H7" s="18" t="s">
        <v>513</v>
      </c>
      <c r="I7" s="24" t="n">
        <v>0.1</v>
      </c>
      <c r="J7" s="14" t="n">
        <f aca="false">IF(H7="Yes",I7*INDEX(Projects!$R$2:$R$500,MATCH(B7,Projects!$A$2:$A$500,0)),0)</f>
        <v>68500</v>
      </c>
      <c r="K7" s="26" t="n">
        <f aca="false">IF(ISNUMBER(G7),G7-E7,F7-E7)</f>
        <v>0</v>
      </c>
      <c r="L7" s="12" t="str">
        <f aca="false">IF(ISNUMBER(G7),"Completed",IF(F7&lt;AsOfDate,"Overdue",IF(F7-E7&gt;MilestoneAtRiskDays,"At Risk","On Track")))</f>
        <v>Completed</v>
      </c>
      <c r="M7" s="12" t="str">
        <f aca="false">IF(COUNTIF(Invoices!$C$2:$C$2000,A7)&gt;0,"Yes","No")</f>
        <v>Yes</v>
      </c>
    </row>
    <row r="8" customFormat="false" ht="15" hidden="false" customHeight="false" outlineLevel="0" collapsed="false">
      <c r="A8" s="18" t="s">
        <v>2454</v>
      </c>
      <c r="B8" s="18" t="s">
        <v>207</v>
      </c>
      <c r="C8" s="18" t="s">
        <v>2446</v>
      </c>
      <c r="D8" s="18" t="s">
        <v>382</v>
      </c>
      <c r="E8" s="19" t="n">
        <v>46122</v>
      </c>
      <c r="F8" s="19" t="n">
        <v>46125</v>
      </c>
      <c r="G8" s="19" t="n">
        <v>46125</v>
      </c>
      <c r="H8" s="18" t="s">
        <v>513</v>
      </c>
      <c r="I8" s="24" t="n">
        <v>0.2</v>
      </c>
      <c r="J8" s="14" t="n">
        <f aca="false">IF(H8="Yes",I8*INDEX(Projects!$R$2:$R$500,MATCH(B8,Projects!$A$2:$A$500,0)),0)</f>
        <v>137000</v>
      </c>
      <c r="K8" s="26" t="n">
        <f aca="false">IF(ISNUMBER(G8),G8-E8,F8-E8)</f>
        <v>3</v>
      </c>
      <c r="L8" s="12" t="str">
        <f aca="false">IF(ISNUMBER(G8),"Completed",IF(F8&lt;AsOfDate,"Overdue",IF(F8-E8&gt;MilestoneAtRiskDays,"At Risk","On Track")))</f>
        <v>Completed</v>
      </c>
      <c r="M8" s="12" t="str">
        <f aca="false">IF(COUNTIF(Invoices!$C$2:$C$2000,A8)&gt;0,"Yes","No")</f>
        <v>Yes</v>
      </c>
    </row>
    <row r="9" customFormat="false" ht="15" hidden="false" customHeight="false" outlineLevel="0" collapsed="false">
      <c r="A9" s="18" t="s">
        <v>2455</v>
      </c>
      <c r="B9" s="18" t="s">
        <v>207</v>
      </c>
      <c r="C9" s="18" t="s">
        <v>2448</v>
      </c>
      <c r="D9" s="18" t="s">
        <v>686</v>
      </c>
      <c r="E9" s="19" t="n">
        <v>46269</v>
      </c>
      <c r="F9" s="19" t="n">
        <v>46269</v>
      </c>
      <c r="G9" s="19"/>
      <c r="H9" s="18" t="s">
        <v>513</v>
      </c>
      <c r="I9" s="24" t="n">
        <v>0.3</v>
      </c>
      <c r="J9" s="14" t="n">
        <f aca="false">IF(H9="Yes",I9*INDEX(Projects!$R$2:$R$500,MATCH(B9,Projects!$A$2:$A$500,0)),0)</f>
        <v>205500</v>
      </c>
      <c r="K9" s="26" t="n">
        <f aca="false">IF(ISNUMBER(G9),G9-E9,F9-E9)</f>
        <v>0</v>
      </c>
      <c r="L9" s="12" t="str">
        <f aca="false">IF(ISNUMBER(G9),"Completed",IF(F9&lt;AsOfDate,"Overdue",IF(F9-E9&gt;MilestoneAtRiskDays,"At Risk","On Track")))</f>
        <v>Overdue</v>
      </c>
      <c r="M9" s="12" t="str">
        <f aca="false">IF(COUNTIF(Invoices!$C$2:$C$2000,A9)&gt;0,"Yes","No")</f>
        <v>No</v>
      </c>
    </row>
    <row r="10" customFormat="false" ht="15" hidden="false" customHeight="false" outlineLevel="0" collapsed="false">
      <c r="A10" s="18" t="s">
        <v>2456</v>
      </c>
      <c r="B10" s="18" t="s">
        <v>207</v>
      </c>
      <c r="C10" s="18" t="s">
        <v>2450</v>
      </c>
      <c r="D10" s="18" t="s">
        <v>690</v>
      </c>
      <c r="E10" s="19" t="n">
        <v>46339</v>
      </c>
      <c r="F10" s="19" t="n">
        <v>46353</v>
      </c>
      <c r="G10" s="19"/>
      <c r="H10" s="18" t="s">
        <v>513</v>
      </c>
      <c r="I10" s="24" t="n">
        <v>0.2</v>
      </c>
      <c r="J10" s="14" t="n">
        <f aca="false">IF(H10="Yes",I10*INDEX(Projects!$R$2:$R$500,MATCH(B10,Projects!$A$2:$A$500,0)),0)</f>
        <v>137000</v>
      </c>
      <c r="K10" s="26" t="n">
        <f aca="false">IF(ISNUMBER(G10),G10-E10,F10-E10)</f>
        <v>14</v>
      </c>
      <c r="L10" s="12" t="str">
        <f aca="false">IF(ISNUMBER(G10),"Completed",IF(F10&lt;AsOfDate,"Overdue",IF(F10-E10&gt;MilestoneAtRiskDays,"At Risk","On Track")))</f>
        <v>On Track</v>
      </c>
      <c r="M10" s="12" t="str">
        <f aca="false">IF(COUNTIF(Invoices!$C$2:$C$2000,A10)&gt;0,"Yes","No")</f>
        <v>No</v>
      </c>
    </row>
    <row r="11" customFormat="false" ht="15" hidden="false" customHeight="false" outlineLevel="0" collapsed="false">
      <c r="A11" s="18" t="s">
        <v>2457</v>
      </c>
      <c r="B11" s="18" t="s">
        <v>207</v>
      </c>
      <c r="C11" s="18" t="s">
        <v>2452</v>
      </c>
      <c r="D11" s="18" t="s">
        <v>694</v>
      </c>
      <c r="E11" s="19" t="n">
        <v>46374</v>
      </c>
      <c r="F11" s="19" t="n">
        <v>46391</v>
      </c>
      <c r="G11" s="19"/>
      <c r="H11" s="18" t="s">
        <v>513</v>
      </c>
      <c r="I11" s="24" t="n">
        <v>0.2</v>
      </c>
      <c r="J11" s="14" t="n">
        <f aca="false">IF(H11="Yes",I11*INDEX(Projects!$R$2:$R$500,MATCH(B11,Projects!$A$2:$A$500,0)),0)</f>
        <v>137000</v>
      </c>
      <c r="K11" s="26" t="n">
        <f aca="false">IF(ISNUMBER(G11),G11-E11,F11-E11)</f>
        <v>17</v>
      </c>
      <c r="L11" s="12" t="str">
        <f aca="false">IF(ISNUMBER(G11),"Completed",IF(F11&lt;AsOfDate,"Overdue",IF(F11-E11&gt;MilestoneAtRiskDays,"At Risk","On Track")))</f>
        <v>At Risk</v>
      </c>
      <c r="M11" s="12" t="str">
        <f aca="false">IF(COUNTIF(Invoices!$C$2:$C$2000,A11)&gt;0,"Yes","No")</f>
        <v>No</v>
      </c>
    </row>
    <row r="12" customFormat="false" ht="15" hidden="false" customHeight="false" outlineLevel="0" collapsed="false">
      <c r="A12" s="18" t="s">
        <v>2458</v>
      </c>
      <c r="B12" s="18" t="s">
        <v>215</v>
      </c>
      <c r="C12" s="18" t="s">
        <v>2444</v>
      </c>
      <c r="D12" s="18" t="s">
        <v>678</v>
      </c>
      <c r="E12" s="19" t="n">
        <v>45952</v>
      </c>
      <c r="F12" s="19" t="n">
        <v>45954</v>
      </c>
      <c r="G12" s="19" t="n">
        <v>45954</v>
      </c>
      <c r="H12" s="18" t="s">
        <v>527</v>
      </c>
      <c r="I12" s="24" t="n">
        <v>0</v>
      </c>
      <c r="J12" s="14" t="n">
        <f aca="false">IF(H12="Yes",I12*INDEX(Projects!$R$2:$R$500,MATCH(B12,Projects!$A$2:$A$500,0)),0)</f>
        <v>0</v>
      </c>
      <c r="K12" s="26" t="n">
        <f aca="false">IF(ISNUMBER(G12),G12-E12,F12-E12)</f>
        <v>2</v>
      </c>
      <c r="L12" s="12" t="str">
        <f aca="false">IF(ISNUMBER(G12),"Completed",IF(F12&lt;AsOfDate,"Overdue",IF(F12-E12&gt;MilestoneAtRiskDays,"At Risk","On Track")))</f>
        <v>Completed</v>
      </c>
      <c r="M12" s="12" t="str">
        <f aca="false">IF(COUNTIF(Invoices!$C$2:$C$2000,A12)&gt;0,"Yes","No")</f>
        <v>No</v>
      </c>
    </row>
    <row r="13" customFormat="false" ht="15" hidden="false" customHeight="false" outlineLevel="0" collapsed="false">
      <c r="A13" s="18" t="s">
        <v>2459</v>
      </c>
      <c r="B13" s="18" t="s">
        <v>215</v>
      </c>
      <c r="C13" s="18" t="s">
        <v>2446</v>
      </c>
      <c r="D13" s="18" t="s">
        <v>382</v>
      </c>
      <c r="E13" s="19" t="n">
        <v>46023</v>
      </c>
      <c r="F13" s="19" t="n">
        <v>46030</v>
      </c>
      <c r="G13" s="19" t="n">
        <v>46030</v>
      </c>
      <c r="H13" s="18" t="s">
        <v>527</v>
      </c>
      <c r="I13" s="24" t="n">
        <v>0</v>
      </c>
      <c r="J13" s="14" t="n">
        <f aca="false">IF(H13="Yes",I13*INDEX(Projects!$R$2:$R$500,MATCH(B13,Projects!$A$2:$A$500,0)),0)</f>
        <v>0</v>
      </c>
      <c r="K13" s="26" t="n">
        <f aca="false">IF(ISNUMBER(G13),G13-E13,F13-E13)</f>
        <v>7</v>
      </c>
      <c r="L13" s="12" t="str">
        <f aca="false">IF(ISNUMBER(G13),"Completed",IF(F13&lt;AsOfDate,"Overdue",IF(F13-E13&gt;MilestoneAtRiskDays,"At Risk","On Track")))</f>
        <v>Completed</v>
      </c>
      <c r="M13" s="12" t="str">
        <f aca="false">IF(COUNTIF(Invoices!$C$2:$C$2000,A13)&gt;0,"Yes","No")</f>
        <v>No</v>
      </c>
    </row>
    <row r="14" customFormat="false" ht="15" hidden="false" customHeight="false" outlineLevel="0" collapsed="false">
      <c r="A14" s="18" t="s">
        <v>2460</v>
      </c>
      <c r="B14" s="18" t="s">
        <v>215</v>
      </c>
      <c r="C14" s="18" t="s">
        <v>2448</v>
      </c>
      <c r="D14" s="18" t="s">
        <v>686</v>
      </c>
      <c r="E14" s="19" t="n">
        <v>46219</v>
      </c>
      <c r="F14" s="19" t="n">
        <v>46263</v>
      </c>
      <c r="G14" s="19"/>
      <c r="H14" s="18" t="s">
        <v>527</v>
      </c>
      <c r="I14" s="24" t="n">
        <v>0</v>
      </c>
      <c r="J14" s="14" t="n">
        <f aca="false">IF(H14="Yes",I14*INDEX(Projects!$R$2:$R$500,MATCH(B14,Projects!$A$2:$A$500,0)),0)</f>
        <v>0</v>
      </c>
      <c r="K14" s="26" t="n">
        <f aca="false">IF(ISNUMBER(G14),G14-E14,F14-E14)</f>
        <v>44</v>
      </c>
      <c r="L14" s="12" t="str">
        <f aca="false">IF(ISNUMBER(G14),"Completed",IF(F14&lt;AsOfDate,"Overdue",IF(F14-E14&gt;MilestoneAtRiskDays,"At Risk","On Track")))</f>
        <v>Overdue</v>
      </c>
      <c r="M14" s="12" t="str">
        <f aca="false">IF(COUNTIF(Invoices!$C$2:$C$2000,A14)&gt;0,"Yes","No")</f>
        <v>No</v>
      </c>
    </row>
    <row r="15" customFormat="false" ht="15" hidden="false" customHeight="false" outlineLevel="0" collapsed="false">
      <c r="A15" s="18" t="s">
        <v>2461</v>
      </c>
      <c r="B15" s="18" t="s">
        <v>215</v>
      </c>
      <c r="C15" s="18" t="s">
        <v>2450</v>
      </c>
      <c r="D15" s="18" t="s">
        <v>690</v>
      </c>
      <c r="E15" s="19" t="n">
        <v>46308</v>
      </c>
      <c r="F15" s="19" t="n">
        <v>46343</v>
      </c>
      <c r="G15" s="19"/>
      <c r="H15" s="18" t="s">
        <v>527</v>
      </c>
      <c r="I15" s="24" t="n">
        <v>0</v>
      </c>
      <c r="J15" s="14" t="n">
        <f aca="false">IF(H15="Yes",I15*INDEX(Projects!$R$2:$R$500,MATCH(B15,Projects!$A$2:$A$500,0)),0)</f>
        <v>0</v>
      </c>
      <c r="K15" s="26" t="n">
        <f aca="false">IF(ISNUMBER(G15),G15-E15,F15-E15)</f>
        <v>35</v>
      </c>
      <c r="L15" s="12" t="str">
        <f aca="false">IF(ISNUMBER(G15),"Completed",IF(F15&lt;AsOfDate,"Overdue",IF(F15-E15&gt;MilestoneAtRiskDays,"At Risk","On Track")))</f>
        <v>At Risk</v>
      </c>
      <c r="M15" s="12" t="str">
        <f aca="false">IF(COUNTIF(Invoices!$C$2:$C$2000,A15)&gt;0,"Yes","No")</f>
        <v>No</v>
      </c>
    </row>
    <row r="16" customFormat="false" ht="15" hidden="false" customHeight="false" outlineLevel="0" collapsed="false">
      <c r="A16" s="18" t="s">
        <v>2462</v>
      </c>
      <c r="B16" s="18" t="s">
        <v>215</v>
      </c>
      <c r="C16" s="18" t="s">
        <v>2452</v>
      </c>
      <c r="D16" s="18" t="s">
        <v>694</v>
      </c>
      <c r="E16" s="19" t="n">
        <v>46353</v>
      </c>
      <c r="F16" s="19" t="n">
        <v>46394</v>
      </c>
      <c r="G16" s="19"/>
      <c r="H16" s="18" t="s">
        <v>527</v>
      </c>
      <c r="I16" s="24" t="n">
        <v>0</v>
      </c>
      <c r="J16" s="14" t="n">
        <f aca="false">IF(H16="Yes",I16*INDEX(Projects!$R$2:$R$500,MATCH(B16,Projects!$A$2:$A$500,0)),0)</f>
        <v>0</v>
      </c>
      <c r="K16" s="26" t="n">
        <f aca="false">IF(ISNUMBER(G16),G16-E16,F16-E16)</f>
        <v>41</v>
      </c>
      <c r="L16" s="12" t="str">
        <f aca="false">IF(ISNUMBER(G16),"Completed",IF(F16&lt;AsOfDate,"Overdue",IF(F16-E16&gt;MilestoneAtRiskDays,"At Risk","On Track")))</f>
        <v>At Risk</v>
      </c>
      <c r="M16" s="12" t="str">
        <f aca="false">IF(COUNTIF(Invoices!$C$2:$C$2000,A16)&gt;0,"Yes","No")</f>
        <v>No</v>
      </c>
    </row>
    <row r="17" customFormat="false" ht="15" hidden="false" customHeight="false" outlineLevel="0" collapsed="false">
      <c r="A17" s="18" t="s">
        <v>2463</v>
      </c>
      <c r="B17" s="18" t="s">
        <v>222</v>
      </c>
      <c r="C17" s="18" t="s">
        <v>2444</v>
      </c>
      <c r="D17" s="18" t="s">
        <v>678</v>
      </c>
      <c r="E17" s="19" t="n">
        <v>46091</v>
      </c>
      <c r="F17" s="19" t="n">
        <v>46091</v>
      </c>
      <c r="G17" s="19" t="n">
        <v>46091</v>
      </c>
      <c r="H17" s="18" t="s">
        <v>513</v>
      </c>
      <c r="I17" s="24" t="n">
        <v>0.1</v>
      </c>
      <c r="J17" s="14" t="n">
        <f aca="false">IF(H17="Yes",I17*INDEX(Projects!$R$2:$R$500,MATCH(B17,Projects!$A$2:$A$500,0)),0)</f>
        <v>115500</v>
      </c>
      <c r="K17" s="26" t="n">
        <f aca="false">IF(ISNUMBER(G17),G17-E17,F17-E17)</f>
        <v>0</v>
      </c>
      <c r="L17" s="12" t="str">
        <f aca="false">IF(ISNUMBER(G17),"Completed",IF(F17&lt;AsOfDate,"Overdue",IF(F17-E17&gt;MilestoneAtRiskDays,"At Risk","On Track")))</f>
        <v>Completed</v>
      </c>
      <c r="M17" s="12" t="str">
        <f aca="false">IF(COUNTIF(Invoices!$C$2:$C$2000,A17)&gt;0,"Yes","No")</f>
        <v>Yes</v>
      </c>
    </row>
    <row r="18" customFormat="false" ht="15" hidden="false" customHeight="false" outlineLevel="0" collapsed="false">
      <c r="A18" s="18" t="s">
        <v>2464</v>
      </c>
      <c r="B18" s="18" t="s">
        <v>222</v>
      </c>
      <c r="C18" s="18" t="s">
        <v>2446</v>
      </c>
      <c r="D18" s="18" t="s">
        <v>382</v>
      </c>
      <c r="E18" s="19" t="n">
        <v>46148</v>
      </c>
      <c r="F18" s="19" t="n">
        <v>46149</v>
      </c>
      <c r="G18" s="19" t="n">
        <v>46149</v>
      </c>
      <c r="H18" s="18" t="s">
        <v>513</v>
      </c>
      <c r="I18" s="24" t="n">
        <v>0.2</v>
      </c>
      <c r="J18" s="14" t="n">
        <f aca="false">IF(H18="Yes",I18*INDEX(Projects!$R$2:$R$500,MATCH(B18,Projects!$A$2:$A$500,0)),0)</f>
        <v>231000</v>
      </c>
      <c r="K18" s="26" t="n">
        <f aca="false">IF(ISNUMBER(G18),G18-E18,F18-E18)</f>
        <v>1</v>
      </c>
      <c r="L18" s="12" t="str">
        <f aca="false">IF(ISNUMBER(G18),"Completed",IF(F18&lt;AsOfDate,"Overdue",IF(F18-E18&gt;MilestoneAtRiskDays,"At Risk","On Track")))</f>
        <v>Completed</v>
      </c>
      <c r="M18" s="12" t="str">
        <f aca="false">IF(COUNTIF(Invoices!$C$2:$C$2000,A18)&gt;0,"Yes","No")</f>
        <v>Yes</v>
      </c>
    </row>
    <row r="19" customFormat="false" ht="15" hidden="false" customHeight="false" outlineLevel="0" collapsed="false">
      <c r="A19" s="18" t="s">
        <v>2465</v>
      </c>
      <c r="B19" s="18" t="s">
        <v>222</v>
      </c>
      <c r="C19" s="18" t="s">
        <v>2448</v>
      </c>
      <c r="D19" s="18" t="s">
        <v>686</v>
      </c>
      <c r="E19" s="19" t="n">
        <v>46307</v>
      </c>
      <c r="F19" s="19" t="n">
        <v>46310</v>
      </c>
      <c r="G19" s="19"/>
      <c r="H19" s="18" t="s">
        <v>513</v>
      </c>
      <c r="I19" s="24" t="n">
        <v>0.3</v>
      </c>
      <c r="J19" s="14" t="n">
        <f aca="false">IF(H19="Yes",I19*INDEX(Projects!$R$2:$R$500,MATCH(B19,Projects!$A$2:$A$500,0)),0)</f>
        <v>346500</v>
      </c>
      <c r="K19" s="26" t="n">
        <f aca="false">IF(ISNUMBER(G19),G19-E19,F19-E19)</f>
        <v>3</v>
      </c>
      <c r="L19" s="12" t="str">
        <f aca="false">IF(ISNUMBER(G19),"Completed",IF(F19&lt;AsOfDate,"Overdue",IF(F19-E19&gt;MilestoneAtRiskDays,"At Risk","On Track")))</f>
        <v>On Track</v>
      </c>
      <c r="M19" s="12" t="str">
        <f aca="false">IF(COUNTIF(Invoices!$C$2:$C$2000,A19)&gt;0,"Yes","No")</f>
        <v>No</v>
      </c>
    </row>
    <row r="20" customFormat="false" ht="15" hidden="false" customHeight="false" outlineLevel="0" collapsed="false">
      <c r="A20" s="18" t="s">
        <v>2466</v>
      </c>
      <c r="B20" s="18" t="s">
        <v>222</v>
      </c>
      <c r="C20" s="18" t="s">
        <v>2450</v>
      </c>
      <c r="D20" s="18" t="s">
        <v>690</v>
      </c>
      <c r="E20" s="19" t="n">
        <v>46379</v>
      </c>
      <c r="F20" s="19" t="n">
        <v>46384</v>
      </c>
      <c r="G20" s="19"/>
      <c r="H20" s="18" t="s">
        <v>513</v>
      </c>
      <c r="I20" s="24" t="n">
        <v>0.2</v>
      </c>
      <c r="J20" s="14" t="n">
        <f aca="false">IF(H20="Yes",I20*INDEX(Projects!$R$2:$R$500,MATCH(B20,Projects!$A$2:$A$500,0)),0)</f>
        <v>231000</v>
      </c>
      <c r="K20" s="26" t="n">
        <f aca="false">IF(ISNUMBER(G20),G20-E20,F20-E20)</f>
        <v>5</v>
      </c>
      <c r="L20" s="12" t="str">
        <f aca="false">IF(ISNUMBER(G20),"Completed",IF(F20&lt;AsOfDate,"Overdue",IF(F20-E20&gt;MilestoneAtRiskDays,"At Risk","On Track")))</f>
        <v>On Track</v>
      </c>
      <c r="M20" s="12" t="str">
        <f aca="false">IF(COUNTIF(Invoices!$C$2:$C$2000,A20)&gt;0,"Yes","No")</f>
        <v>No</v>
      </c>
    </row>
    <row r="21" customFormat="false" ht="15" hidden="false" customHeight="false" outlineLevel="0" collapsed="false">
      <c r="A21" s="18" t="s">
        <v>2467</v>
      </c>
      <c r="B21" s="18" t="s">
        <v>222</v>
      </c>
      <c r="C21" s="18" t="s">
        <v>2452</v>
      </c>
      <c r="D21" s="18" t="s">
        <v>694</v>
      </c>
      <c r="E21" s="19" t="n">
        <v>46416</v>
      </c>
      <c r="F21" s="19" t="n">
        <v>46422</v>
      </c>
      <c r="G21" s="19"/>
      <c r="H21" s="18" t="s">
        <v>513</v>
      </c>
      <c r="I21" s="24" t="n">
        <v>0.2</v>
      </c>
      <c r="J21" s="14" t="n">
        <f aca="false">IF(H21="Yes",I21*INDEX(Projects!$R$2:$R$500,MATCH(B21,Projects!$A$2:$A$500,0)),0)</f>
        <v>231000</v>
      </c>
      <c r="K21" s="26" t="n">
        <f aca="false">IF(ISNUMBER(G21),G21-E21,F21-E21)</f>
        <v>6</v>
      </c>
      <c r="L21" s="12" t="str">
        <f aca="false">IF(ISNUMBER(G21),"Completed",IF(F21&lt;AsOfDate,"Overdue",IF(F21-E21&gt;MilestoneAtRiskDays,"At Risk","On Track")))</f>
        <v>On Track</v>
      </c>
      <c r="M21" s="12" t="str">
        <f aca="false">IF(COUNTIF(Invoices!$C$2:$C$2000,A21)&gt;0,"Yes","No")</f>
        <v>No</v>
      </c>
    </row>
    <row r="22" customFormat="false" ht="15" hidden="false" customHeight="false" outlineLevel="0" collapsed="false">
      <c r="A22" s="18" t="s">
        <v>2468</v>
      </c>
      <c r="B22" s="18" t="s">
        <v>228</v>
      </c>
      <c r="C22" s="18" t="s">
        <v>2444</v>
      </c>
      <c r="D22" s="18" t="s">
        <v>678</v>
      </c>
      <c r="E22" s="19" t="n">
        <v>46119</v>
      </c>
      <c r="F22" s="19" t="n">
        <v>46122</v>
      </c>
      <c r="G22" s="19" t="n">
        <v>46122</v>
      </c>
      <c r="H22" s="18" t="s">
        <v>513</v>
      </c>
      <c r="I22" s="24" t="n">
        <v>0.1</v>
      </c>
      <c r="J22" s="14" t="n">
        <f aca="false">IF(H22="Yes",I22*INDEX(Projects!$R$2:$R$500,MATCH(B22,Projects!$A$2:$A$500,0)),0)</f>
        <v>74000</v>
      </c>
      <c r="K22" s="26" t="n">
        <f aca="false">IF(ISNUMBER(G22),G22-E22,F22-E22)</f>
        <v>3</v>
      </c>
      <c r="L22" s="12" t="str">
        <f aca="false">IF(ISNUMBER(G22),"Completed",IF(F22&lt;AsOfDate,"Overdue",IF(F22-E22&gt;MilestoneAtRiskDays,"At Risk","On Track")))</f>
        <v>Completed</v>
      </c>
      <c r="M22" s="12" t="str">
        <f aca="false">IF(COUNTIF(Invoices!$C$2:$C$2000,A22)&gt;0,"Yes","No")</f>
        <v>Yes</v>
      </c>
    </row>
    <row r="23" customFormat="false" ht="15" hidden="false" customHeight="false" outlineLevel="0" collapsed="false">
      <c r="A23" s="18" t="s">
        <v>2469</v>
      </c>
      <c r="B23" s="18" t="s">
        <v>228</v>
      </c>
      <c r="C23" s="18" t="s">
        <v>2446</v>
      </c>
      <c r="D23" s="18" t="s">
        <v>382</v>
      </c>
      <c r="E23" s="19" t="n">
        <v>46176</v>
      </c>
      <c r="F23" s="19" t="n">
        <v>46188</v>
      </c>
      <c r="G23" s="19" t="n">
        <v>46188</v>
      </c>
      <c r="H23" s="18" t="s">
        <v>513</v>
      </c>
      <c r="I23" s="24" t="n">
        <v>0.2</v>
      </c>
      <c r="J23" s="14" t="n">
        <f aca="false">IF(H23="Yes",I23*INDEX(Projects!$R$2:$R$500,MATCH(B23,Projects!$A$2:$A$500,0)),0)</f>
        <v>148000</v>
      </c>
      <c r="K23" s="26" t="n">
        <f aca="false">IF(ISNUMBER(G23),G23-E23,F23-E23)</f>
        <v>12</v>
      </c>
      <c r="L23" s="12" t="str">
        <f aca="false">IF(ISNUMBER(G23),"Completed",IF(F23&lt;AsOfDate,"Overdue",IF(F23-E23&gt;MilestoneAtRiskDays,"At Risk","On Track")))</f>
        <v>Completed</v>
      </c>
      <c r="M23" s="12" t="str">
        <f aca="false">IF(COUNTIF(Invoices!$C$2:$C$2000,A23)&gt;0,"Yes","No")</f>
        <v>Yes</v>
      </c>
    </row>
    <row r="24" customFormat="false" ht="15" hidden="false" customHeight="false" outlineLevel="0" collapsed="false">
      <c r="A24" s="18" t="s">
        <v>2470</v>
      </c>
      <c r="B24" s="18" t="s">
        <v>228</v>
      </c>
      <c r="C24" s="18" t="s">
        <v>2448</v>
      </c>
      <c r="D24" s="18" t="s">
        <v>686</v>
      </c>
      <c r="E24" s="19" t="n">
        <v>46335</v>
      </c>
      <c r="F24" s="19" t="n">
        <v>46377</v>
      </c>
      <c r="G24" s="19"/>
      <c r="H24" s="18" t="s">
        <v>513</v>
      </c>
      <c r="I24" s="24" t="n">
        <v>0.3</v>
      </c>
      <c r="J24" s="14" t="n">
        <f aca="false">IF(H24="Yes",I24*INDEX(Projects!$R$2:$R$500,MATCH(B24,Projects!$A$2:$A$500,0)),0)</f>
        <v>222000</v>
      </c>
      <c r="K24" s="26" t="n">
        <f aca="false">IF(ISNUMBER(G24),G24-E24,F24-E24)</f>
        <v>42</v>
      </c>
      <c r="L24" s="12" t="str">
        <f aca="false">IF(ISNUMBER(G24),"Completed",IF(F24&lt;AsOfDate,"Overdue",IF(F24-E24&gt;MilestoneAtRiskDays,"At Risk","On Track")))</f>
        <v>At Risk</v>
      </c>
      <c r="M24" s="12" t="str">
        <f aca="false">IF(COUNTIF(Invoices!$C$2:$C$2000,A24)&gt;0,"Yes","No")</f>
        <v>No</v>
      </c>
    </row>
    <row r="25" customFormat="false" ht="15" hidden="false" customHeight="false" outlineLevel="0" collapsed="false">
      <c r="A25" s="18" t="s">
        <v>2471</v>
      </c>
      <c r="B25" s="18" t="s">
        <v>228</v>
      </c>
      <c r="C25" s="18" t="s">
        <v>2450</v>
      </c>
      <c r="D25" s="18" t="s">
        <v>690</v>
      </c>
      <c r="E25" s="19" t="n">
        <v>46407</v>
      </c>
      <c r="F25" s="19" t="n">
        <v>46464</v>
      </c>
      <c r="G25" s="19"/>
      <c r="H25" s="18" t="s">
        <v>513</v>
      </c>
      <c r="I25" s="24" t="n">
        <v>0.2</v>
      </c>
      <c r="J25" s="14" t="n">
        <f aca="false">IF(H25="Yes",I25*INDEX(Projects!$R$2:$R$500,MATCH(B25,Projects!$A$2:$A$500,0)),0)</f>
        <v>148000</v>
      </c>
      <c r="K25" s="26" t="n">
        <f aca="false">IF(ISNUMBER(G25),G25-E25,F25-E25)</f>
        <v>57</v>
      </c>
      <c r="L25" s="12" t="str">
        <f aca="false">IF(ISNUMBER(G25),"Completed",IF(F25&lt;AsOfDate,"Overdue",IF(F25-E25&gt;MilestoneAtRiskDays,"At Risk","On Track")))</f>
        <v>At Risk</v>
      </c>
      <c r="M25" s="12" t="str">
        <f aca="false">IF(COUNTIF(Invoices!$C$2:$C$2000,A25)&gt;0,"Yes","No")</f>
        <v>No</v>
      </c>
    </row>
    <row r="26" customFormat="false" ht="15" hidden="false" customHeight="false" outlineLevel="0" collapsed="false">
      <c r="A26" s="18" t="s">
        <v>2472</v>
      </c>
      <c r="B26" s="18" t="s">
        <v>228</v>
      </c>
      <c r="C26" s="18" t="s">
        <v>2452</v>
      </c>
      <c r="D26" s="18" t="s">
        <v>694</v>
      </c>
      <c r="E26" s="19" t="n">
        <v>46444</v>
      </c>
      <c r="F26" s="19" t="n">
        <v>46510</v>
      </c>
      <c r="G26" s="19"/>
      <c r="H26" s="18" t="s">
        <v>513</v>
      </c>
      <c r="I26" s="24" t="n">
        <v>0.2</v>
      </c>
      <c r="J26" s="14" t="n">
        <f aca="false">IF(H26="Yes",I26*INDEX(Projects!$R$2:$R$500,MATCH(B26,Projects!$A$2:$A$500,0)),0)</f>
        <v>148000</v>
      </c>
      <c r="K26" s="26" t="n">
        <f aca="false">IF(ISNUMBER(G26),G26-E26,F26-E26)</f>
        <v>66</v>
      </c>
      <c r="L26" s="12" t="str">
        <f aca="false">IF(ISNUMBER(G26),"Completed",IF(F26&lt;AsOfDate,"Overdue",IF(F26-E26&gt;MilestoneAtRiskDays,"At Risk","On Track")))</f>
        <v>At Risk</v>
      </c>
      <c r="M26" s="12" t="str">
        <f aca="false">IF(COUNTIF(Invoices!$C$2:$C$2000,A26)&gt;0,"Yes","No")</f>
        <v>No</v>
      </c>
    </row>
    <row r="27" customFormat="false" ht="15" hidden="false" customHeight="false" outlineLevel="0" collapsed="false">
      <c r="A27" s="18" t="s">
        <v>2473</v>
      </c>
      <c r="B27" s="18" t="s">
        <v>233</v>
      </c>
      <c r="C27" s="18" t="s">
        <v>2444</v>
      </c>
      <c r="D27" s="18" t="s">
        <v>678</v>
      </c>
      <c r="E27" s="19" t="n">
        <v>45971</v>
      </c>
      <c r="F27" s="19" t="n">
        <v>45971</v>
      </c>
      <c r="G27" s="19" t="n">
        <v>45971</v>
      </c>
      <c r="H27" s="18" t="s">
        <v>513</v>
      </c>
      <c r="I27" s="24" t="n">
        <v>0.1</v>
      </c>
      <c r="J27" s="14" t="n">
        <f aca="false">IF(H27="Yes",I27*INDEX(Projects!$R$2:$R$500,MATCH(B27,Projects!$A$2:$A$500,0)),0)</f>
        <v>94000</v>
      </c>
      <c r="K27" s="26" t="n">
        <f aca="false">IF(ISNUMBER(G27),G27-E27,F27-E27)</f>
        <v>0</v>
      </c>
      <c r="L27" s="12" t="str">
        <f aca="false">IF(ISNUMBER(G27),"Completed",IF(F27&lt;AsOfDate,"Overdue",IF(F27-E27&gt;MilestoneAtRiskDays,"At Risk","On Track")))</f>
        <v>Completed</v>
      </c>
      <c r="M27" s="12" t="str">
        <f aca="false">IF(COUNTIF(Invoices!$C$2:$C$2000,A27)&gt;0,"Yes","No")</f>
        <v>Yes</v>
      </c>
    </row>
    <row r="28" customFormat="false" ht="15" hidden="false" customHeight="false" outlineLevel="0" collapsed="false">
      <c r="A28" s="18" t="s">
        <v>2474</v>
      </c>
      <c r="B28" s="18" t="s">
        <v>233</v>
      </c>
      <c r="C28" s="18" t="s">
        <v>2446</v>
      </c>
      <c r="D28" s="18" t="s">
        <v>382</v>
      </c>
      <c r="E28" s="19" t="n">
        <v>46028</v>
      </c>
      <c r="F28" s="19" t="n">
        <v>46029</v>
      </c>
      <c r="G28" s="19" t="n">
        <v>46029</v>
      </c>
      <c r="H28" s="18" t="s">
        <v>513</v>
      </c>
      <c r="I28" s="24" t="n">
        <v>0.2</v>
      </c>
      <c r="J28" s="14" t="n">
        <f aca="false">IF(H28="Yes",I28*INDEX(Projects!$R$2:$R$500,MATCH(B28,Projects!$A$2:$A$500,0)),0)</f>
        <v>188000</v>
      </c>
      <c r="K28" s="26" t="n">
        <f aca="false">IF(ISNUMBER(G28),G28-E28,F28-E28)</f>
        <v>1</v>
      </c>
      <c r="L28" s="12" t="str">
        <f aca="false">IF(ISNUMBER(G28),"Completed",IF(F28&lt;AsOfDate,"Overdue",IF(F28-E28&gt;MilestoneAtRiskDays,"At Risk","On Track")))</f>
        <v>Completed</v>
      </c>
      <c r="M28" s="12" t="str">
        <f aca="false">IF(COUNTIF(Invoices!$C$2:$C$2000,A28)&gt;0,"Yes","No")</f>
        <v>Yes</v>
      </c>
    </row>
    <row r="29" customFormat="false" ht="15" hidden="false" customHeight="false" outlineLevel="0" collapsed="false">
      <c r="A29" s="18" t="s">
        <v>2475</v>
      </c>
      <c r="B29" s="18" t="s">
        <v>233</v>
      </c>
      <c r="C29" s="18" t="s">
        <v>2448</v>
      </c>
      <c r="D29" s="18" t="s">
        <v>686</v>
      </c>
      <c r="E29" s="19" t="n">
        <v>46183</v>
      </c>
      <c r="F29" s="19" t="n">
        <v>46189</v>
      </c>
      <c r="G29" s="19" t="n">
        <v>46189</v>
      </c>
      <c r="H29" s="18" t="s">
        <v>513</v>
      </c>
      <c r="I29" s="24" t="n">
        <v>0.3</v>
      </c>
      <c r="J29" s="14" t="n">
        <f aca="false">IF(H29="Yes",I29*INDEX(Projects!$R$2:$R$500,MATCH(B29,Projects!$A$2:$A$500,0)),0)</f>
        <v>282000</v>
      </c>
      <c r="K29" s="26" t="n">
        <f aca="false">IF(ISNUMBER(G29),G29-E29,F29-E29)</f>
        <v>6</v>
      </c>
      <c r="L29" s="12" t="str">
        <f aca="false">IF(ISNUMBER(G29),"Completed",IF(F29&lt;AsOfDate,"Overdue",IF(F29-E29&gt;MilestoneAtRiskDays,"At Risk","On Track")))</f>
        <v>Completed</v>
      </c>
      <c r="M29" s="12" t="str">
        <f aca="false">IF(COUNTIF(Invoices!$C$2:$C$2000,A29)&gt;0,"Yes","No")</f>
        <v>Yes</v>
      </c>
    </row>
    <row r="30" customFormat="false" ht="15" hidden="false" customHeight="false" outlineLevel="0" collapsed="false">
      <c r="A30" s="18" t="s">
        <v>2476</v>
      </c>
      <c r="B30" s="18" t="s">
        <v>233</v>
      </c>
      <c r="C30" s="18" t="s">
        <v>2450</v>
      </c>
      <c r="D30" s="18" t="s">
        <v>690</v>
      </c>
      <c r="E30" s="19" t="n">
        <v>46254</v>
      </c>
      <c r="F30" s="19" t="n">
        <v>46262</v>
      </c>
      <c r="G30" s="19" t="n">
        <v>46262</v>
      </c>
      <c r="H30" s="18" t="s">
        <v>513</v>
      </c>
      <c r="I30" s="24" t="n">
        <v>0.2</v>
      </c>
      <c r="J30" s="14" t="n">
        <f aca="false">IF(H30="Yes",I30*INDEX(Projects!$R$2:$R$500,MATCH(B30,Projects!$A$2:$A$500,0)),0)</f>
        <v>188000</v>
      </c>
      <c r="K30" s="26" t="n">
        <f aca="false">IF(ISNUMBER(G30),G30-E30,F30-E30)</f>
        <v>8</v>
      </c>
      <c r="L30" s="12" t="str">
        <f aca="false">IF(ISNUMBER(G30),"Completed",IF(F30&lt;AsOfDate,"Overdue",IF(F30-E30&gt;MilestoneAtRiskDays,"At Risk","On Track")))</f>
        <v>Completed</v>
      </c>
      <c r="M30" s="12" t="str">
        <f aca="false">IF(COUNTIF(Invoices!$C$2:$C$2000,A30)&gt;0,"Yes","No")</f>
        <v>Yes</v>
      </c>
    </row>
    <row r="31" customFormat="false" ht="15" hidden="false" customHeight="false" outlineLevel="0" collapsed="false">
      <c r="A31" s="18" t="s">
        <v>2477</v>
      </c>
      <c r="B31" s="18" t="s">
        <v>233</v>
      </c>
      <c r="C31" s="18" t="s">
        <v>2452</v>
      </c>
      <c r="D31" s="18" t="s">
        <v>694</v>
      </c>
      <c r="E31" s="19" t="n">
        <v>46290</v>
      </c>
      <c r="F31" s="19" t="n">
        <v>46300</v>
      </c>
      <c r="G31" s="19"/>
      <c r="H31" s="18" t="s">
        <v>513</v>
      </c>
      <c r="I31" s="24" t="n">
        <v>0.2</v>
      </c>
      <c r="J31" s="14" t="n">
        <f aca="false">IF(H31="Yes",I31*INDEX(Projects!$R$2:$R$500,MATCH(B31,Projects!$A$2:$A$500,0)),0)</f>
        <v>188000</v>
      </c>
      <c r="K31" s="26" t="n">
        <f aca="false">IF(ISNUMBER(G31),G31-E31,F31-E31)</f>
        <v>10</v>
      </c>
      <c r="L31" s="12" t="str">
        <f aca="false">IF(ISNUMBER(G31),"Completed",IF(F31&lt;AsOfDate,"Overdue",IF(F31-E31&gt;MilestoneAtRiskDays,"At Risk","On Track")))</f>
        <v>On Track</v>
      </c>
      <c r="M31" s="12" t="str">
        <f aca="false">IF(COUNTIF(Invoices!$C$2:$C$2000,A31)&gt;0,"Yes","No")</f>
        <v>No</v>
      </c>
    </row>
    <row r="32" customFormat="false" ht="15" hidden="false" customHeight="false" outlineLevel="0" collapsed="false">
      <c r="A32" s="18" t="s">
        <v>2478</v>
      </c>
      <c r="B32" s="18" t="s">
        <v>239</v>
      </c>
      <c r="C32" s="18" t="s">
        <v>2444</v>
      </c>
      <c r="D32" s="18" t="s">
        <v>678</v>
      </c>
      <c r="E32" s="19" t="n">
        <v>46153</v>
      </c>
      <c r="F32" s="19" t="n">
        <v>46153</v>
      </c>
      <c r="G32" s="19" t="n">
        <v>46153</v>
      </c>
      <c r="H32" s="18" t="s">
        <v>513</v>
      </c>
      <c r="I32" s="24" t="n">
        <v>0.1</v>
      </c>
      <c r="J32" s="14" t="n">
        <f aca="false">IF(H32="Yes",I32*INDEX(Projects!$R$2:$R$500,MATCH(B32,Projects!$A$2:$A$500,0)),0)</f>
        <v>97000</v>
      </c>
      <c r="K32" s="26" t="n">
        <f aca="false">IF(ISNUMBER(G32),G32-E32,F32-E32)</f>
        <v>0</v>
      </c>
      <c r="L32" s="12" t="str">
        <f aca="false">IF(ISNUMBER(G32),"Completed",IF(F32&lt;AsOfDate,"Overdue",IF(F32-E32&gt;MilestoneAtRiskDays,"At Risk","On Track")))</f>
        <v>Completed</v>
      </c>
      <c r="M32" s="12" t="str">
        <f aca="false">IF(COUNTIF(Invoices!$C$2:$C$2000,A32)&gt;0,"Yes","No")</f>
        <v>Yes</v>
      </c>
    </row>
    <row r="33" customFormat="false" ht="15" hidden="false" customHeight="false" outlineLevel="0" collapsed="false">
      <c r="A33" s="18" t="s">
        <v>2479</v>
      </c>
      <c r="B33" s="18" t="s">
        <v>239</v>
      </c>
      <c r="C33" s="18" t="s">
        <v>2446</v>
      </c>
      <c r="D33" s="18" t="s">
        <v>382</v>
      </c>
      <c r="E33" s="19" t="n">
        <v>46210</v>
      </c>
      <c r="F33" s="19" t="n">
        <v>46210</v>
      </c>
      <c r="G33" s="19" t="n">
        <v>46210</v>
      </c>
      <c r="H33" s="18" t="s">
        <v>513</v>
      </c>
      <c r="I33" s="24" t="n">
        <v>0.2</v>
      </c>
      <c r="J33" s="14" t="n">
        <f aca="false">IF(H33="Yes",I33*INDEX(Projects!$R$2:$R$500,MATCH(B33,Projects!$A$2:$A$500,0)),0)</f>
        <v>194000</v>
      </c>
      <c r="K33" s="26" t="n">
        <f aca="false">IF(ISNUMBER(G33),G33-E33,F33-E33)</f>
        <v>0</v>
      </c>
      <c r="L33" s="12" t="str">
        <f aca="false">IF(ISNUMBER(G33),"Completed",IF(F33&lt;AsOfDate,"Overdue",IF(F33-E33&gt;MilestoneAtRiskDays,"At Risk","On Track")))</f>
        <v>Completed</v>
      </c>
      <c r="M33" s="12" t="str">
        <f aca="false">IF(COUNTIF(Invoices!$C$2:$C$2000,A33)&gt;0,"Yes","No")</f>
        <v>Yes</v>
      </c>
    </row>
    <row r="34" customFormat="false" ht="15" hidden="false" customHeight="false" outlineLevel="0" collapsed="false">
      <c r="A34" s="18" t="s">
        <v>2480</v>
      </c>
      <c r="B34" s="18" t="s">
        <v>239</v>
      </c>
      <c r="C34" s="18" t="s">
        <v>2448</v>
      </c>
      <c r="D34" s="18" t="s">
        <v>686</v>
      </c>
      <c r="E34" s="19" t="n">
        <v>46365</v>
      </c>
      <c r="F34" s="19" t="n">
        <v>46366</v>
      </c>
      <c r="G34" s="19"/>
      <c r="H34" s="18" t="s">
        <v>513</v>
      </c>
      <c r="I34" s="24" t="n">
        <v>0.3</v>
      </c>
      <c r="J34" s="14" t="n">
        <f aca="false">IF(H34="Yes",I34*INDEX(Projects!$R$2:$R$500,MATCH(B34,Projects!$A$2:$A$500,0)),0)</f>
        <v>291000</v>
      </c>
      <c r="K34" s="26" t="n">
        <f aca="false">IF(ISNUMBER(G34),G34-E34,F34-E34)</f>
        <v>1</v>
      </c>
      <c r="L34" s="12" t="str">
        <f aca="false">IF(ISNUMBER(G34),"Completed",IF(F34&lt;AsOfDate,"Overdue",IF(F34-E34&gt;MilestoneAtRiskDays,"At Risk","On Track")))</f>
        <v>On Track</v>
      </c>
      <c r="M34" s="12" t="str">
        <f aca="false">IF(COUNTIF(Invoices!$C$2:$C$2000,A34)&gt;0,"Yes","No")</f>
        <v>No</v>
      </c>
    </row>
    <row r="35" customFormat="false" ht="15" hidden="false" customHeight="false" outlineLevel="0" collapsed="false">
      <c r="A35" s="18" t="s">
        <v>2481</v>
      </c>
      <c r="B35" s="18" t="s">
        <v>239</v>
      </c>
      <c r="C35" s="18" t="s">
        <v>2450</v>
      </c>
      <c r="D35" s="18" t="s">
        <v>690</v>
      </c>
      <c r="E35" s="19" t="n">
        <v>46436</v>
      </c>
      <c r="F35" s="19" t="n">
        <v>46440</v>
      </c>
      <c r="G35" s="19"/>
      <c r="H35" s="18" t="s">
        <v>513</v>
      </c>
      <c r="I35" s="24" t="n">
        <v>0.2</v>
      </c>
      <c r="J35" s="14" t="n">
        <f aca="false">IF(H35="Yes",I35*INDEX(Projects!$R$2:$R$500,MATCH(B35,Projects!$A$2:$A$500,0)),0)</f>
        <v>194000</v>
      </c>
      <c r="K35" s="26" t="n">
        <f aca="false">IF(ISNUMBER(G35),G35-E35,F35-E35)</f>
        <v>4</v>
      </c>
      <c r="L35" s="12" t="str">
        <f aca="false">IF(ISNUMBER(G35),"Completed",IF(F35&lt;AsOfDate,"Overdue",IF(F35-E35&gt;MilestoneAtRiskDays,"At Risk","On Track")))</f>
        <v>On Track</v>
      </c>
      <c r="M35" s="12" t="str">
        <f aca="false">IF(COUNTIF(Invoices!$C$2:$C$2000,A35)&gt;0,"Yes","No")</f>
        <v>No</v>
      </c>
    </row>
    <row r="36" customFormat="false" ht="15" hidden="false" customHeight="false" outlineLevel="0" collapsed="false">
      <c r="A36" s="18" t="s">
        <v>2482</v>
      </c>
      <c r="B36" s="18" t="s">
        <v>239</v>
      </c>
      <c r="C36" s="18" t="s">
        <v>2452</v>
      </c>
      <c r="D36" s="18" t="s">
        <v>694</v>
      </c>
      <c r="E36" s="19" t="n">
        <v>46472</v>
      </c>
      <c r="F36" s="19" t="n">
        <v>46475</v>
      </c>
      <c r="G36" s="19"/>
      <c r="H36" s="18" t="s">
        <v>513</v>
      </c>
      <c r="I36" s="24" t="n">
        <v>0.2</v>
      </c>
      <c r="J36" s="14" t="n">
        <f aca="false">IF(H36="Yes",I36*INDEX(Projects!$R$2:$R$500,MATCH(B36,Projects!$A$2:$A$500,0)),0)</f>
        <v>194000</v>
      </c>
      <c r="K36" s="26" t="n">
        <f aca="false">IF(ISNUMBER(G36),G36-E36,F36-E36)</f>
        <v>3</v>
      </c>
      <c r="L36" s="12" t="str">
        <f aca="false">IF(ISNUMBER(G36),"Completed",IF(F36&lt;AsOfDate,"Overdue",IF(F36-E36&gt;MilestoneAtRiskDays,"At Risk","On Track")))</f>
        <v>On Track</v>
      </c>
      <c r="M36" s="12" t="str">
        <f aca="false">IF(COUNTIF(Invoices!$C$2:$C$2000,A36)&gt;0,"Yes","No")</f>
        <v>No</v>
      </c>
    </row>
    <row r="37" customFormat="false" ht="15" hidden="false" customHeight="false" outlineLevel="0" collapsed="false">
      <c r="A37" s="18" t="s">
        <v>2483</v>
      </c>
      <c r="B37" s="18" t="s">
        <v>244</v>
      </c>
      <c r="C37" s="18" t="s">
        <v>2444</v>
      </c>
      <c r="D37" s="18" t="s">
        <v>678</v>
      </c>
      <c r="E37" s="19" t="n">
        <v>46055</v>
      </c>
      <c r="F37" s="19" t="n">
        <v>46055</v>
      </c>
      <c r="G37" s="19" t="n">
        <v>46055</v>
      </c>
      <c r="H37" s="18" t="s">
        <v>527</v>
      </c>
      <c r="I37" s="24" t="n">
        <v>0</v>
      </c>
      <c r="J37" s="14" t="n">
        <f aca="false">IF(H37="Yes",I37*INDEX(Projects!$R$2:$R$500,MATCH(B37,Projects!$A$2:$A$500,0)),0)</f>
        <v>0</v>
      </c>
      <c r="K37" s="26" t="n">
        <f aca="false">IF(ISNUMBER(G37),G37-E37,F37-E37)</f>
        <v>0</v>
      </c>
      <c r="L37" s="12" t="str">
        <f aca="false">IF(ISNUMBER(G37),"Completed",IF(F37&lt;AsOfDate,"Overdue",IF(F37-E37&gt;MilestoneAtRiskDays,"At Risk","On Track")))</f>
        <v>Completed</v>
      </c>
      <c r="M37" s="12" t="str">
        <f aca="false">IF(COUNTIF(Invoices!$C$2:$C$2000,A37)&gt;0,"Yes","No")</f>
        <v>No</v>
      </c>
    </row>
    <row r="38" customFormat="false" ht="15" hidden="false" customHeight="false" outlineLevel="0" collapsed="false">
      <c r="A38" s="18" t="s">
        <v>2484</v>
      </c>
      <c r="B38" s="18" t="s">
        <v>244</v>
      </c>
      <c r="C38" s="18" t="s">
        <v>2446</v>
      </c>
      <c r="D38" s="18" t="s">
        <v>382</v>
      </c>
      <c r="E38" s="19" t="n">
        <v>46100</v>
      </c>
      <c r="F38" s="19" t="n">
        <v>46104</v>
      </c>
      <c r="G38" s="19" t="n">
        <v>46104</v>
      </c>
      <c r="H38" s="18" t="s">
        <v>527</v>
      </c>
      <c r="I38" s="24" t="n">
        <v>0</v>
      </c>
      <c r="J38" s="14" t="n">
        <f aca="false">IF(H38="Yes",I38*INDEX(Projects!$R$2:$R$500,MATCH(B38,Projects!$A$2:$A$500,0)),0)</f>
        <v>0</v>
      </c>
      <c r="K38" s="26" t="n">
        <f aca="false">IF(ISNUMBER(G38),G38-E38,F38-E38)</f>
        <v>4</v>
      </c>
      <c r="L38" s="12" t="str">
        <f aca="false">IF(ISNUMBER(G38),"Completed",IF(F38&lt;AsOfDate,"Overdue",IF(F38-E38&gt;MilestoneAtRiskDays,"At Risk","On Track")))</f>
        <v>Completed</v>
      </c>
      <c r="M38" s="12" t="str">
        <f aca="false">IF(COUNTIF(Invoices!$C$2:$C$2000,A38)&gt;0,"Yes","No")</f>
        <v>No</v>
      </c>
    </row>
    <row r="39" customFormat="false" ht="15" hidden="false" customHeight="false" outlineLevel="0" collapsed="false">
      <c r="A39" s="18" t="s">
        <v>2485</v>
      </c>
      <c r="B39" s="18" t="s">
        <v>244</v>
      </c>
      <c r="C39" s="18" t="s">
        <v>2448</v>
      </c>
      <c r="D39" s="18" t="s">
        <v>686</v>
      </c>
      <c r="E39" s="19" t="n">
        <v>46225</v>
      </c>
      <c r="F39" s="19" t="n">
        <v>46237</v>
      </c>
      <c r="G39" s="19" t="n">
        <v>46237</v>
      </c>
      <c r="H39" s="18" t="s">
        <v>527</v>
      </c>
      <c r="I39" s="24" t="n">
        <v>0</v>
      </c>
      <c r="J39" s="14" t="n">
        <f aca="false">IF(H39="Yes",I39*INDEX(Projects!$R$2:$R$500,MATCH(B39,Projects!$A$2:$A$500,0)),0)</f>
        <v>0</v>
      </c>
      <c r="K39" s="26" t="n">
        <f aca="false">IF(ISNUMBER(G39),G39-E39,F39-E39)</f>
        <v>12</v>
      </c>
      <c r="L39" s="12" t="str">
        <f aca="false">IF(ISNUMBER(G39),"Completed",IF(F39&lt;AsOfDate,"Overdue",IF(F39-E39&gt;MilestoneAtRiskDays,"At Risk","On Track")))</f>
        <v>Completed</v>
      </c>
      <c r="M39" s="12" t="str">
        <f aca="false">IF(COUNTIF(Invoices!$C$2:$C$2000,A39)&gt;0,"Yes","No")</f>
        <v>No</v>
      </c>
    </row>
    <row r="40" customFormat="false" ht="15" hidden="false" customHeight="false" outlineLevel="0" collapsed="false">
      <c r="A40" s="18" t="s">
        <v>2486</v>
      </c>
      <c r="B40" s="18" t="s">
        <v>244</v>
      </c>
      <c r="C40" s="18" t="s">
        <v>2450</v>
      </c>
      <c r="D40" s="18" t="s">
        <v>690</v>
      </c>
      <c r="E40" s="19" t="n">
        <v>46282</v>
      </c>
      <c r="F40" s="19" t="n">
        <v>46296</v>
      </c>
      <c r="G40" s="19"/>
      <c r="H40" s="18" t="s">
        <v>527</v>
      </c>
      <c r="I40" s="24" t="n">
        <v>0</v>
      </c>
      <c r="J40" s="14" t="n">
        <f aca="false">IF(H40="Yes",I40*INDEX(Projects!$R$2:$R$500,MATCH(B40,Projects!$A$2:$A$500,0)),0)</f>
        <v>0</v>
      </c>
      <c r="K40" s="26" t="n">
        <f aca="false">IF(ISNUMBER(G40),G40-E40,F40-E40)</f>
        <v>14</v>
      </c>
      <c r="L40" s="12" t="str">
        <f aca="false">IF(ISNUMBER(G40),"Completed",IF(F40&lt;AsOfDate,"Overdue",IF(F40-E40&gt;MilestoneAtRiskDays,"At Risk","On Track")))</f>
        <v>On Track</v>
      </c>
      <c r="M40" s="12" t="str">
        <f aca="false">IF(COUNTIF(Invoices!$C$2:$C$2000,A40)&gt;0,"Yes","No")</f>
        <v>No</v>
      </c>
    </row>
    <row r="41" customFormat="false" ht="15" hidden="false" customHeight="false" outlineLevel="0" collapsed="false">
      <c r="A41" s="18" t="s">
        <v>2487</v>
      </c>
      <c r="B41" s="18" t="s">
        <v>244</v>
      </c>
      <c r="C41" s="18" t="s">
        <v>2452</v>
      </c>
      <c r="D41" s="18" t="s">
        <v>694</v>
      </c>
      <c r="E41" s="19" t="n">
        <v>46311</v>
      </c>
      <c r="F41" s="19" t="n">
        <v>46328</v>
      </c>
      <c r="G41" s="19"/>
      <c r="H41" s="18" t="s">
        <v>527</v>
      </c>
      <c r="I41" s="24" t="n">
        <v>0</v>
      </c>
      <c r="J41" s="14" t="n">
        <f aca="false">IF(H41="Yes",I41*INDEX(Projects!$R$2:$R$500,MATCH(B41,Projects!$A$2:$A$500,0)),0)</f>
        <v>0</v>
      </c>
      <c r="K41" s="26" t="n">
        <f aca="false">IF(ISNUMBER(G41),G41-E41,F41-E41)</f>
        <v>17</v>
      </c>
      <c r="L41" s="12" t="str">
        <f aca="false">IF(ISNUMBER(G41),"Completed",IF(F41&lt;AsOfDate,"Overdue",IF(F41-E41&gt;MilestoneAtRiskDays,"At Risk","On Track")))</f>
        <v>At Risk</v>
      </c>
      <c r="M41" s="12" t="str">
        <f aca="false">IF(COUNTIF(Invoices!$C$2:$C$2000,A41)&gt;0,"Yes","No")</f>
        <v>No</v>
      </c>
    </row>
    <row r="42" customFormat="false" ht="15" hidden="false" customHeight="false" outlineLevel="0" collapsed="false">
      <c r="A42" s="18" t="s">
        <v>2488</v>
      </c>
      <c r="B42" s="18" t="s">
        <v>249</v>
      </c>
      <c r="C42" s="18" t="s">
        <v>2444</v>
      </c>
      <c r="D42" s="18" t="s">
        <v>678</v>
      </c>
      <c r="E42" s="19" t="n">
        <v>46168</v>
      </c>
      <c r="F42" s="19" t="n">
        <v>46168</v>
      </c>
      <c r="G42" s="19" t="n">
        <v>46168</v>
      </c>
      <c r="H42" s="18" t="s">
        <v>513</v>
      </c>
      <c r="I42" s="24" t="n">
        <v>0.1</v>
      </c>
      <c r="J42" s="14" t="n">
        <f aca="false">IF(H42="Yes",I42*INDEX(Projects!$R$2:$R$500,MATCH(B42,Projects!$A$2:$A$500,0)),0)</f>
        <v>53500</v>
      </c>
      <c r="K42" s="26" t="n">
        <f aca="false">IF(ISNUMBER(G42),G42-E42,F42-E42)</f>
        <v>0</v>
      </c>
      <c r="L42" s="12" t="str">
        <f aca="false">IF(ISNUMBER(G42),"Completed",IF(F42&lt;AsOfDate,"Overdue",IF(F42-E42&gt;MilestoneAtRiskDays,"At Risk","On Track")))</f>
        <v>Completed</v>
      </c>
      <c r="M42" s="12" t="str">
        <f aca="false">IF(COUNTIF(Invoices!$C$2:$C$2000,A42)&gt;0,"Yes","No")</f>
        <v>Yes</v>
      </c>
    </row>
    <row r="43" customFormat="false" ht="15" hidden="false" customHeight="false" outlineLevel="0" collapsed="false">
      <c r="A43" s="18" t="s">
        <v>2489</v>
      </c>
      <c r="B43" s="18" t="s">
        <v>249</v>
      </c>
      <c r="C43" s="18" t="s">
        <v>2446</v>
      </c>
      <c r="D43" s="18" t="s">
        <v>382</v>
      </c>
      <c r="E43" s="19" t="n">
        <v>46203</v>
      </c>
      <c r="F43" s="19" t="n">
        <v>46203</v>
      </c>
      <c r="G43" s="19" t="n">
        <v>46203</v>
      </c>
      <c r="H43" s="18" t="s">
        <v>513</v>
      </c>
      <c r="I43" s="24" t="n">
        <v>0.2</v>
      </c>
      <c r="J43" s="14" t="n">
        <f aca="false">IF(H43="Yes",I43*INDEX(Projects!$R$2:$R$500,MATCH(B43,Projects!$A$2:$A$500,0)),0)</f>
        <v>107000</v>
      </c>
      <c r="K43" s="26" t="n">
        <f aca="false">IF(ISNUMBER(G43),G43-E43,F43-E43)</f>
        <v>0</v>
      </c>
      <c r="L43" s="12" t="str">
        <f aca="false">IF(ISNUMBER(G43),"Completed",IF(F43&lt;AsOfDate,"Overdue",IF(F43-E43&gt;MilestoneAtRiskDays,"At Risk","On Track")))</f>
        <v>Completed</v>
      </c>
      <c r="M43" s="12" t="str">
        <f aca="false">IF(COUNTIF(Invoices!$C$2:$C$2000,A43)&gt;0,"Yes","No")</f>
        <v>Yes</v>
      </c>
    </row>
    <row r="44" customFormat="false" ht="15" hidden="false" customHeight="false" outlineLevel="0" collapsed="false">
      <c r="A44" s="18" t="s">
        <v>2490</v>
      </c>
      <c r="B44" s="18" t="s">
        <v>249</v>
      </c>
      <c r="C44" s="18" t="s">
        <v>2448</v>
      </c>
      <c r="D44" s="18" t="s">
        <v>686</v>
      </c>
      <c r="E44" s="19" t="n">
        <v>46300</v>
      </c>
      <c r="F44" s="19" t="n">
        <v>46301</v>
      </c>
      <c r="G44" s="19"/>
      <c r="H44" s="18" t="s">
        <v>513</v>
      </c>
      <c r="I44" s="24" t="n">
        <v>0.3</v>
      </c>
      <c r="J44" s="14" t="n">
        <f aca="false">IF(H44="Yes",I44*INDEX(Projects!$R$2:$R$500,MATCH(B44,Projects!$A$2:$A$500,0)),0)</f>
        <v>160500</v>
      </c>
      <c r="K44" s="26" t="n">
        <f aca="false">IF(ISNUMBER(G44),G44-E44,F44-E44)</f>
        <v>1</v>
      </c>
      <c r="L44" s="12" t="str">
        <f aca="false">IF(ISNUMBER(G44),"Completed",IF(F44&lt;AsOfDate,"Overdue",IF(F44-E44&gt;MilestoneAtRiskDays,"At Risk","On Track")))</f>
        <v>On Track</v>
      </c>
      <c r="M44" s="12" t="str">
        <f aca="false">IF(COUNTIF(Invoices!$C$2:$C$2000,A44)&gt;0,"Yes","No")</f>
        <v>No</v>
      </c>
    </row>
    <row r="45" customFormat="false" ht="15" hidden="false" customHeight="false" outlineLevel="0" collapsed="false">
      <c r="A45" s="18" t="s">
        <v>2491</v>
      </c>
      <c r="B45" s="18" t="s">
        <v>249</v>
      </c>
      <c r="C45" s="18" t="s">
        <v>2450</v>
      </c>
      <c r="D45" s="18" t="s">
        <v>690</v>
      </c>
      <c r="E45" s="19" t="n">
        <v>46344</v>
      </c>
      <c r="F45" s="19" t="n">
        <v>46346</v>
      </c>
      <c r="G45" s="19"/>
      <c r="H45" s="18" t="s">
        <v>513</v>
      </c>
      <c r="I45" s="24" t="n">
        <v>0.2</v>
      </c>
      <c r="J45" s="14" t="n">
        <f aca="false">IF(H45="Yes",I45*INDEX(Projects!$R$2:$R$500,MATCH(B45,Projects!$A$2:$A$500,0)),0)</f>
        <v>107000</v>
      </c>
      <c r="K45" s="26" t="n">
        <f aca="false">IF(ISNUMBER(G45),G45-E45,F45-E45)</f>
        <v>2</v>
      </c>
      <c r="L45" s="12" t="str">
        <f aca="false">IF(ISNUMBER(G45),"Completed",IF(F45&lt;AsOfDate,"Overdue",IF(F45-E45&gt;MilestoneAtRiskDays,"At Risk","On Track")))</f>
        <v>On Track</v>
      </c>
      <c r="M45" s="12" t="str">
        <f aca="false">IF(COUNTIF(Invoices!$C$2:$C$2000,A45)&gt;0,"Yes","No")</f>
        <v>No</v>
      </c>
    </row>
    <row r="46" customFormat="false" ht="15" hidden="false" customHeight="false" outlineLevel="0" collapsed="false">
      <c r="A46" s="18" t="s">
        <v>2492</v>
      </c>
      <c r="B46" s="18" t="s">
        <v>249</v>
      </c>
      <c r="C46" s="18" t="s">
        <v>2452</v>
      </c>
      <c r="D46" s="18" t="s">
        <v>694</v>
      </c>
      <c r="E46" s="19" t="n">
        <v>46367</v>
      </c>
      <c r="F46" s="19" t="n">
        <v>46370</v>
      </c>
      <c r="G46" s="19"/>
      <c r="H46" s="18" t="s">
        <v>513</v>
      </c>
      <c r="I46" s="24" t="n">
        <v>0.2</v>
      </c>
      <c r="J46" s="14" t="n">
        <f aca="false">IF(H46="Yes",I46*INDEX(Projects!$R$2:$R$500,MATCH(B46,Projects!$A$2:$A$500,0)),0)</f>
        <v>107000</v>
      </c>
      <c r="K46" s="26" t="n">
        <f aca="false">IF(ISNUMBER(G46),G46-E46,F46-E46)</f>
        <v>3</v>
      </c>
      <c r="L46" s="12" t="str">
        <f aca="false">IF(ISNUMBER(G46),"Completed",IF(F46&lt;AsOfDate,"Overdue",IF(F46-E46&gt;MilestoneAtRiskDays,"At Risk","On Track")))</f>
        <v>On Track</v>
      </c>
      <c r="M46" s="12" t="str">
        <f aca="false">IF(COUNTIF(Invoices!$C$2:$C$2000,A46)&gt;0,"Yes","No")</f>
        <v>No</v>
      </c>
    </row>
    <row r="47" customFormat="false" ht="15" hidden="false" customHeight="false" outlineLevel="0" collapsed="false">
      <c r="A47" s="18" t="s">
        <v>2493</v>
      </c>
      <c r="B47" s="18" t="s">
        <v>253</v>
      </c>
      <c r="C47" s="18" t="s">
        <v>2444</v>
      </c>
      <c r="D47" s="18" t="s">
        <v>678</v>
      </c>
      <c r="E47" s="19" t="n">
        <v>46017</v>
      </c>
      <c r="F47" s="19" t="n">
        <v>46020</v>
      </c>
      <c r="G47" s="19" t="n">
        <v>46020</v>
      </c>
      <c r="H47" s="18" t="s">
        <v>513</v>
      </c>
      <c r="I47" s="24" t="n">
        <v>0.1</v>
      </c>
      <c r="J47" s="14" t="n">
        <f aca="false">IF(H47="Yes",I47*INDEX(Projects!$R$2:$R$500,MATCH(B47,Projects!$A$2:$A$500,0)),0)</f>
        <v>73500</v>
      </c>
      <c r="K47" s="26" t="n">
        <f aca="false">IF(ISNUMBER(G47),G47-E47,F47-E47)</f>
        <v>3</v>
      </c>
      <c r="L47" s="12" t="str">
        <f aca="false">IF(ISNUMBER(G47),"Completed",IF(F47&lt;AsOfDate,"Overdue",IF(F47-E47&gt;MilestoneAtRiskDays,"At Risk","On Track")))</f>
        <v>Completed</v>
      </c>
      <c r="M47" s="12" t="str">
        <f aca="false">IF(COUNTIF(Invoices!$C$2:$C$2000,A47)&gt;0,"Yes","No")</f>
        <v>Yes</v>
      </c>
    </row>
    <row r="48" customFormat="false" ht="15" hidden="false" customHeight="false" outlineLevel="0" collapsed="false">
      <c r="A48" s="18" t="s">
        <v>2494</v>
      </c>
      <c r="B48" s="18" t="s">
        <v>253</v>
      </c>
      <c r="C48" s="18" t="s">
        <v>2446</v>
      </c>
      <c r="D48" s="18" t="s">
        <v>382</v>
      </c>
      <c r="E48" s="19" t="n">
        <v>46062</v>
      </c>
      <c r="F48" s="19" t="n">
        <v>46070</v>
      </c>
      <c r="G48" s="19" t="n">
        <v>46070</v>
      </c>
      <c r="H48" s="18" t="s">
        <v>513</v>
      </c>
      <c r="I48" s="24" t="n">
        <v>0.2</v>
      </c>
      <c r="J48" s="14" t="n">
        <f aca="false">IF(H48="Yes",I48*INDEX(Projects!$R$2:$R$500,MATCH(B48,Projects!$A$2:$A$500,0)),0)</f>
        <v>147000</v>
      </c>
      <c r="K48" s="26" t="n">
        <f aca="false">IF(ISNUMBER(G48),G48-E48,F48-E48)</f>
        <v>8</v>
      </c>
      <c r="L48" s="12" t="str">
        <f aca="false">IF(ISNUMBER(G48),"Completed",IF(F48&lt;AsOfDate,"Overdue",IF(F48-E48&gt;MilestoneAtRiskDays,"At Risk","On Track")))</f>
        <v>Completed</v>
      </c>
      <c r="M48" s="12" t="str">
        <f aca="false">IF(COUNTIF(Invoices!$C$2:$C$2000,A48)&gt;0,"Yes","No")</f>
        <v>Yes</v>
      </c>
    </row>
    <row r="49" customFormat="false" ht="15" hidden="false" customHeight="false" outlineLevel="0" collapsed="false">
      <c r="A49" s="18" t="s">
        <v>2495</v>
      </c>
      <c r="B49" s="18" t="s">
        <v>253</v>
      </c>
      <c r="C49" s="18" t="s">
        <v>2448</v>
      </c>
      <c r="D49" s="18" t="s">
        <v>686</v>
      </c>
      <c r="E49" s="19" t="n">
        <v>46181</v>
      </c>
      <c r="F49" s="19" t="n">
        <v>46211</v>
      </c>
      <c r="G49" s="19" t="n">
        <v>46211</v>
      </c>
      <c r="H49" s="18" t="s">
        <v>513</v>
      </c>
      <c r="I49" s="24" t="n">
        <v>0.3</v>
      </c>
      <c r="J49" s="14" t="n">
        <f aca="false">IF(H49="Yes",I49*INDEX(Projects!$R$2:$R$500,MATCH(B49,Projects!$A$2:$A$500,0)),0)</f>
        <v>220500</v>
      </c>
      <c r="K49" s="26" t="n">
        <f aca="false">IF(ISNUMBER(G49),G49-E49,F49-E49)</f>
        <v>30</v>
      </c>
      <c r="L49" s="12" t="str">
        <f aca="false">IF(ISNUMBER(G49),"Completed",IF(F49&lt;AsOfDate,"Overdue",IF(F49-E49&gt;MilestoneAtRiskDays,"At Risk","On Track")))</f>
        <v>Completed</v>
      </c>
      <c r="M49" s="12" t="str">
        <f aca="false">IF(COUNTIF(Invoices!$C$2:$C$2000,A49)&gt;0,"Yes","No")</f>
        <v>Yes</v>
      </c>
    </row>
    <row r="50" customFormat="false" ht="15" hidden="false" customHeight="false" outlineLevel="0" collapsed="false">
      <c r="A50" s="18" t="s">
        <v>2496</v>
      </c>
      <c r="B50" s="18" t="s">
        <v>253</v>
      </c>
      <c r="C50" s="18" t="s">
        <v>2450</v>
      </c>
      <c r="D50" s="18" t="s">
        <v>690</v>
      </c>
      <c r="E50" s="19" t="n">
        <v>46234</v>
      </c>
      <c r="F50" s="19" t="n">
        <v>46267</v>
      </c>
      <c r="G50" s="19"/>
      <c r="H50" s="18" t="s">
        <v>513</v>
      </c>
      <c r="I50" s="24" t="n">
        <v>0.2</v>
      </c>
      <c r="J50" s="14" t="n">
        <f aca="false">IF(H50="Yes",I50*INDEX(Projects!$R$2:$R$500,MATCH(B50,Projects!$A$2:$A$500,0)),0)</f>
        <v>147000</v>
      </c>
      <c r="K50" s="26" t="n">
        <f aca="false">IF(ISNUMBER(G50),G50-E50,F50-E50)</f>
        <v>33</v>
      </c>
      <c r="L50" s="12" t="str">
        <f aca="false">IF(ISNUMBER(G50),"Completed",IF(F50&lt;AsOfDate,"Overdue",IF(F50-E50&gt;MilestoneAtRiskDays,"At Risk","On Track")))</f>
        <v>Overdue</v>
      </c>
      <c r="M50" s="12" t="str">
        <f aca="false">IF(COUNTIF(Invoices!$C$2:$C$2000,A50)&gt;0,"Yes","No")</f>
        <v>No</v>
      </c>
    </row>
    <row r="51" customFormat="false" ht="15" hidden="false" customHeight="false" outlineLevel="0" collapsed="false">
      <c r="A51" s="18" t="s">
        <v>2497</v>
      </c>
      <c r="B51" s="18" t="s">
        <v>253</v>
      </c>
      <c r="C51" s="18" t="s">
        <v>2452</v>
      </c>
      <c r="D51" s="18" t="s">
        <v>694</v>
      </c>
      <c r="E51" s="19" t="n">
        <v>46262</v>
      </c>
      <c r="F51" s="19" t="n">
        <v>46311</v>
      </c>
      <c r="G51" s="19"/>
      <c r="H51" s="18" t="s">
        <v>513</v>
      </c>
      <c r="I51" s="24" t="n">
        <v>0.2</v>
      </c>
      <c r="J51" s="14" t="n">
        <f aca="false">IF(H51="Yes",I51*INDEX(Projects!$R$2:$R$500,MATCH(B51,Projects!$A$2:$A$500,0)),0)</f>
        <v>147000</v>
      </c>
      <c r="K51" s="26" t="n">
        <f aca="false">IF(ISNUMBER(G51),G51-E51,F51-E51)</f>
        <v>49</v>
      </c>
      <c r="L51" s="12" t="str">
        <f aca="false">IF(ISNUMBER(G51),"Completed",IF(F51&lt;AsOfDate,"Overdue",IF(F51-E51&gt;MilestoneAtRiskDays,"At Risk","On Track")))</f>
        <v>At Risk</v>
      </c>
      <c r="M51" s="12" t="str">
        <f aca="false">IF(COUNTIF(Invoices!$C$2:$C$2000,A51)&gt;0,"Yes","No")</f>
        <v>No</v>
      </c>
    </row>
    <row r="52" customFormat="false" ht="15" hidden="false" customHeight="false" outlineLevel="0" collapsed="false">
      <c r="A52" s="18" t="s">
        <v>2498</v>
      </c>
      <c r="B52" s="18" t="s">
        <v>257</v>
      </c>
      <c r="C52" s="18" t="s">
        <v>2444</v>
      </c>
      <c r="D52" s="18" t="s">
        <v>678</v>
      </c>
      <c r="E52" s="19" t="n">
        <v>46112</v>
      </c>
      <c r="F52" s="19" t="n">
        <v>46112</v>
      </c>
      <c r="G52" s="19" t="n">
        <v>46112</v>
      </c>
      <c r="H52" s="18" t="s">
        <v>527</v>
      </c>
      <c r="I52" s="24" t="n">
        <v>0</v>
      </c>
      <c r="J52" s="14" t="n">
        <f aca="false">IF(H52="Yes",I52*INDEX(Projects!$R$2:$R$500,MATCH(B52,Projects!$A$2:$A$500,0)),0)</f>
        <v>0</v>
      </c>
      <c r="K52" s="26" t="n">
        <f aca="false">IF(ISNUMBER(G52),G52-E52,F52-E52)</f>
        <v>0</v>
      </c>
      <c r="L52" s="12" t="str">
        <f aca="false">IF(ISNUMBER(G52),"Completed",IF(F52&lt;AsOfDate,"Overdue",IF(F52-E52&gt;MilestoneAtRiskDays,"At Risk","On Track")))</f>
        <v>Completed</v>
      </c>
      <c r="M52" s="12" t="str">
        <f aca="false">IF(COUNTIF(Invoices!$C$2:$C$2000,A52)&gt;0,"Yes","No")</f>
        <v>No</v>
      </c>
    </row>
    <row r="53" customFormat="false" ht="15" hidden="false" customHeight="false" outlineLevel="0" collapsed="false">
      <c r="A53" s="18" t="s">
        <v>2499</v>
      </c>
      <c r="B53" s="18" t="s">
        <v>257</v>
      </c>
      <c r="C53" s="18" t="s">
        <v>2446</v>
      </c>
      <c r="D53" s="18" t="s">
        <v>382</v>
      </c>
      <c r="E53" s="19" t="n">
        <v>46182</v>
      </c>
      <c r="F53" s="19" t="n">
        <v>46182</v>
      </c>
      <c r="G53" s="19" t="n">
        <v>46182</v>
      </c>
      <c r="H53" s="18" t="s">
        <v>527</v>
      </c>
      <c r="I53" s="24" t="n">
        <v>0</v>
      </c>
      <c r="J53" s="14" t="n">
        <f aca="false">IF(H53="Yes",I53*INDEX(Projects!$R$2:$R$500,MATCH(B53,Projects!$A$2:$A$500,0)),0)</f>
        <v>0</v>
      </c>
      <c r="K53" s="26" t="n">
        <f aca="false">IF(ISNUMBER(G53),G53-E53,F53-E53)</f>
        <v>0</v>
      </c>
      <c r="L53" s="12" t="str">
        <f aca="false">IF(ISNUMBER(G53),"Completed",IF(F53&lt;AsOfDate,"Overdue",IF(F53-E53&gt;MilestoneAtRiskDays,"At Risk","On Track")))</f>
        <v>Completed</v>
      </c>
      <c r="M53" s="12" t="str">
        <f aca="false">IF(COUNTIF(Invoices!$C$2:$C$2000,A53)&gt;0,"Yes","No")</f>
        <v>No</v>
      </c>
    </row>
    <row r="54" customFormat="false" ht="15" hidden="false" customHeight="false" outlineLevel="0" collapsed="false">
      <c r="A54" s="18" t="s">
        <v>2500</v>
      </c>
      <c r="B54" s="18" t="s">
        <v>257</v>
      </c>
      <c r="C54" s="18" t="s">
        <v>2448</v>
      </c>
      <c r="D54" s="18" t="s">
        <v>686</v>
      </c>
      <c r="E54" s="19" t="n">
        <v>46374</v>
      </c>
      <c r="F54" s="19" t="n">
        <v>46374</v>
      </c>
      <c r="G54" s="19"/>
      <c r="H54" s="18" t="s">
        <v>527</v>
      </c>
      <c r="I54" s="24" t="n">
        <v>0</v>
      </c>
      <c r="J54" s="14" t="n">
        <f aca="false">IF(H54="Yes",I54*INDEX(Projects!$R$2:$R$500,MATCH(B54,Projects!$A$2:$A$500,0)),0)</f>
        <v>0</v>
      </c>
      <c r="K54" s="26" t="n">
        <f aca="false">IF(ISNUMBER(G54),G54-E54,F54-E54)</f>
        <v>0</v>
      </c>
      <c r="L54" s="12" t="str">
        <f aca="false">IF(ISNUMBER(G54),"Completed",IF(F54&lt;AsOfDate,"Overdue",IF(F54-E54&gt;MilestoneAtRiskDays,"At Risk","On Track")))</f>
        <v>On Track</v>
      </c>
      <c r="M54" s="12" t="str">
        <f aca="false">IF(COUNTIF(Invoices!$C$2:$C$2000,A54)&gt;0,"Yes","No")</f>
        <v>No</v>
      </c>
    </row>
    <row r="55" customFormat="false" ht="15" hidden="false" customHeight="false" outlineLevel="0" collapsed="false">
      <c r="A55" s="18" t="s">
        <v>2501</v>
      </c>
      <c r="B55" s="18" t="s">
        <v>257</v>
      </c>
      <c r="C55" s="18" t="s">
        <v>2450</v>
      </c>
      <c r="D55" s="18" t="s">
        <v>690</v>
      </c>
      <c r="E55" s="19" t="n">
        <v>46463</v>
      </c>
      <c r="F55" s="19" t="n">
        <v>46463</v>
      </c>
      <c r="G55" s="19"/>
      <c r="H55" s="18" t="s">
        <v>527</v>
      </c>
      <c r="I55" s="24" t="n">
        <v>0</v>
      </c>
      <c r="J55" s="14" t="n">
        <f aca="false">IF(H55="Yes",I55*INDEX(Projects!$R$2:$R$500,MATCH(B55,Projects!$A$2:$A$500,0)),0)</f>
        <v>0</v>
      </c>
      <c r="K55" s="26" t="n">
        <f aca="false">IF(ISNUMBER(G55),G55-E55,F55-E55)</f>
        <v>0</v>
      </c>
      <c r="L55" s="12" t="str">
        <f aca="false">IF(ISNUMBER(G55),"Completed",IF(F55&lt;AsOfDate,"Overdue",IF(F55-E55&gt;MilestoneAtRiskDays,"At Risk","On Track")))</f>
        <v>On Track</v>
      </c>
      <c r="M55" s="12" t="str">
        <f aca="false">IF(COUNTIF(Invoices!$C$2:$C$2000,A55)&gt;0,"Yes","No")</f>
        <v>No</v>
      </c>
    </row>
    <row r="56" customFormat="false" ht="15" hidden="false" customHeight="false" outlineLevel="0" collapsed="false">
      <c r="A56" s="18" t="s">
        <v>2502</v>
      </c>
      <c r="B56" s="18" t="s">
        <v>257</v>
      </c>
      <c r="C56" s="18" t="s">
        <v>2452</v>
      </c>
      <c r="D56" s="18" t="s">
        <v>694</v>
      </c>
      <c r="E56" s="19" t="n">
        <v>46507</v>
      </c>
      <c r="F56" s="19" t="n">
        <v>46507</v>
      </c>
      <c r="G56" s="19"/>
      <c r="H56" s="18" t="s">
        <v>527</v>
      </c>
      <c r="I56" s="24" t="n">
        <v>0</v>
      </c>
      <c r="J56" s="14" t="n">
        <f aca="false">IF(H56="Yes",I56*INDEX(Projects!$R$2:$R$500,MATCH(B56,Projects!$A$2:$A$500,0)),0)</f>
        <v>0</v>
      </c>
      <c r="K56" s="26" t="n">
        <f aca="false">IF(ISNUMBER(G56),G56-E56,F56-E56)</f>
        <v>0</v>
      </c>
      <c r="L56" s="12" t="str">
        <f aca="false">IF(ISNUMBER(G56),"Completed",IF(F56&lt;AsOfDate,"Overdue",IF(F56-E56&gt;MilestoneAtRiskDays,"At Risk","On Track")))</f>
        <v>On Track</v>
      </c>
      <c r="M56" s="12" t="str">
        <f aca="false">IF(COUNTIF(Invoices!$C$2:$C$2000,A56)&gt;0,"Yes","No")</f>
        <v>No</v>
      </c>
    </row>
    <row r="57" customFormat="false" ht="15" hidden="false" customHeight="false" outlineLevel="0" collapsed="false">
      <c r="A57" s="18" t="s">
        <v>2503</v>
      </c>
      <c r="B57" s="18" t="s">
        <v>261</v>
      </c>
      <c r="C57" s="18" t="s">
        <v>2444</v>
      </c>
      <c r="D57" s="18" t="s">
        <v>678</v>
      </c>
      <c r="E57" s="19" t="n">
        <v>46192</v>
      </c>
      <c r="F57" s="19" t="n">
        <v>46192</v>
      </c>
      <c r="G57" s="19" t="n">
        <v>46192</v>
      </c>
      <c r="H57" s="18" t="s">
        <v>513</v>
      </c>
      <c r="I57" s="24" t="n">
        <v>0.1</v>
      </c>
      <c r="J57" s="14" t="n">
        <f aca="false">IF(H57="Yes",I57*INDEX(Projects!$R$2:$R$500,MATCH(B57,Projects!$A$2:$A$500,0)),0)</f>
        <v>51000</v>
      </c>
      <c r="K57" s="26" t="n">
        <f aca="false">IF(ISNUMBER(G57),G57-E57,F57-E57)</f>
        <v>0</v>
      </c>
      <c r="L57" s="12" t="str">
        <f aca="false">IF(ISNUMBER(G57),"Completed",IF(F57&lt;AsOfDate,"Overdue",IF(F57-E57&gt;MilestoneAtRiskDays,"At Risk","On Track")))</f>
        <v>Completed</v>
      </c>
      <c r="M57" s="12" t="str">
        <f aca="false">IF(COUNTIF(Invoices!$C$2:$C$2000,A57)&gt;0,"Yes","No")</f>
        <v>Yes</v>
      </c>
    </row>
    <row r="58" customFormat="false" ht="15" hidden="false" customHeight="false" outlineLevel="0" collapsed="false">
      <c r="A58" s="18" t="s">
        <v>2504</v>
      </c>
      <c r="B58" s="18" t="s">
        <v>261</v>
      </c>
      <c r="C58" s="18" t="s">
        <v>2446</v>
      </c>
      <c r="D58" s="18" t="s">
        <v>382</v>
      </c>
      <c r="E58" s="19" t="n">
        <v>46226</v>
      </c>
      <c r="F58" s="19" t="n">
        <v>46226</v>
      </c>
      <c r="G58" s="19" t="n">
        <v>46226</v>
      </c>
      <c r="H58" s="18" t="s">
        <v>513</v>
      </c>
      <c r="I58" s="24" t="n">
        <v>0.2</v>
      </c>
      <c r="J58" s="14" t="n">
        <f aca="false">IF(H58="Yes",I58*INDEX(Projects!$R$2:$R$500,MATCH(B58,Projects!$A$2:$A$500,0)),0)</f>
        <v>102000</v>
      </c>
      <c r="K58" s="26" t="n">
        <f aca="false">IF(ISNUMBER(G58),G58-E58,F58-E58)</f>
        <v>0</v>
      </c>
      <c r="L58" s="12" t="str">
        <f aca="false">IF(ISNUMBER(G58),"Completed",IF(F58&lt;AsOfDate,"Overdue",IF(F58-E58&gt;MilestoneAtRiskDays,"At Risk","On Track")))</f>
        <v>Completed</v>
      </c>
      <c r="M58" s="12" t="str">
        <f aca="false">IF(COUNTIF(Invoices!$C$2:$C$2000,A58)&gt;0,"Yes","No")</f>
        <v>Yes</v>
      </c>
    </row>
    <row r="59" customFormat="false" ht="15" hidden="false" customHeight="false" outlineLevel="0" collapsed="false">
      <c r="A59" s="18" t="s">
        <v>2505</v>
      </c>
      <c r="B59" s="18" t="s">
        <v>261</v>
      </c>
      <c r="C59" s="18" t="s">
        <v>2448</v>
      </c>
      <c r="D59" s="18" t="s">
        <v>686</v>
      </c>
      <c r="E59" s="19" t="n">
        <v>46314</v>
      </c>
      <c r="F59" s="19" t="n">
        <v>46314</v>
      </c>
      <c r="G59" s="19"/>
      <c r="H59" s="18" t="s">
        <v>513</v>
      </c>
      <c r="I59" s="24" t="n">
        <v>0.3</v>
      </c>
      <c r="J59" s="14" t="n">
        <f aca="false">IF(H59="Yes",I59*INDEX(Projects!$R$2:$R$500,MATCH(B59,Projects!$A$2:$A$500,0)),0)</f>
        <v>153000</v>
      </c>
      <c r="K59" s="26" t="n">
        <f aca="false">IF(ISNUMBER(G59),G59-E59,F59-E59)</f>
        <v>0</v>
      </c>
      <c r="L59" s="12" t="str">
        <f aca="false">IF(ISNUMBER(G59),"Completed",IF(F59&lt;AsOfDate,"Overdue",IF(F59-E59&gt;MilestoneAtRiskDays,"At Risk","On Track")))</f>
        <v>On Track</v>
      </c>
      <c r="M59" s="12" t="str">
        <f aca="false">IF(COUNTIF(Invoices!$C$2:$C$2000,A59)&gt;0,"Yes","No")</f>
        <v>No</v>
      </c>
    </row>
    <row r="60" customFormat="false" ht="15" hidden="false" customHeight="false" outlineLevel="0" collapsed="false">
      <c r="A60" s="18" t="s">
        <v>2506</v>
      </c>
      <c r="B60" s="18" t="s">
        <v>261</v>
      </c>
      <c r="C60" s="18" t="s">
        <v>2450</v>
      </c>
      <c r="D60" s="18" t="s">
        <v>690</v>
      </c>
      <c r="E60" s="19" t="n">
        <v>46353</v>
      </c>
      <c r="F60" s="19" t="n">
        <v>46353</v>
      </c>
      <c r="G60" s="19"/>
      <c r="H60" s="18" t="s">
        <v>513</v>
      </c>
      <c r="I60" s="24" t="n">
        <v>0.2</v>
      </c>
      <c r="J60" s="14" t="n">
        <f aca="false">IF(H60="Yes",I60*INDEX(Projects!$R$2:$R$500,MATCH(B60,Projects!$A$2:$A$500,0)),0)</f>
        <v>102000</v>
      </c>
      <c r="K60" s="26" t="n">
        <f aca="false">IF(ISNUMBER(G60),G60-E60,F60-E60)</f>
        <v>0</v>
      </c>
      <c r="L60" s="12" t="str">
        <f aca="false">IF(ISNUMBER(G60),"Completed",IF(F60&lt;AsOfDate,"Overdue",IF(F60-E60&gt;MilestoneAtRiskDays,"At Risk","On Track")))</f>
        <v>On Track</v>
      </c>
      <c r="M60" s="12" t="str">
        <f aca="false">IF(COUNTIF(Invoices!$C$2:$C$2000,A60)&gt;0,"Yes","No")</f>
        <v>No</v>
      </c>
    </row>
    <row r="61" customFormat="false" ht="15" hidden="false" customHeight="false" outlineLevel="0" collapsed="false">
      <c r="A61" s="18" t="s">
        <v>2507</v>
      </c>
      <c r="B61" s="18" t="s">
        <v>261</v>
      </c>
      <c r="C61" s="18" t="s">
        <v>2452</v>
      </c>
      <c r="D61" s="18" t="s">
        <v>694</v>
      </c>
      <c r="E61" s="19" t="n">
        <v>46374</v>
      </c>
      <c r="F61" s="19" t="n">
        <v>46374</v>
      </c>
      <c r="G61" s="19"/>
      <c r="H61" s="18" t="s">
        <v>513</v>
      </c>
      <c r="I61" s="24" t="n">
        <v>0.2</v>
      </c>
      <c r="J61" s="14" t="n">
        <f aca="false">IF(H61="Yes",I61*INDEX(Projects!$R$2:$R$500,MATCH(B61,Projects!$A$2:$A$500,0)),0)</f>
        <v>102000</v>
      </c>
      <c r="K61" s="26" t="n">
        <f aca="false">IF(ISNUMBER(G61),G61-E61,F61-E61)</f>
        <v>0</v>
      </c>
      <c r="L61" s="12" t="str">
        <f aca="false">IF(ISNUMBER(G61),"Completed",IF(F61&lt;AsOfDate,"Overdue",IF(F61-E61&gt;MilestoneAtRiskDays,"At Risk","On Track")))</f>
        <v>On Track</v>
      </c>
      <c r="M61" s="12" t="str">
        <f aca="false">IF(COUNTIF(Invoices!$C$2:$C$2000,A61)&gt;0,"Yes","No")</f>
        <v>No</v>
      </c>
    </row>
    <row r="62" customFormat="false" ht="15" hidden="false" customHeight="false" outlineLevel="0" collapsed="false">
      <c r="A62" s="18" t="s">
        <v>2508</v>
      </c>
      <c r="B62" s="18" t="s">
        <v>265</v>
      </c>
      <c r="C62" s="18" t="s">
        <v>2444</v>
      </c>
      <c r="D62" s="18" t="s">
        <v>678</v>
      </c>
      <c r="E62" s="19" t="n">
        <v>45918</v>
      </c>
      <c r="F62" s="19" t="n">
        <v>45918</v>
      </c>
      <c r="G62" s="19" t="n">
        <v>45918</v>
      </c>
      <c r="H62" s="18" t="s">
        <v>513</v>
      </c>
      <c r="I62" s="24" t="n">
        <v>0.1</v>
      </c>
      <c r="J62" s="14" t="n">
        <f aca="false">IF(H62="Yes",I62*INDEX(Projects!$R$2:$R$500,MATCH(B62,Projects!$A$2:$A$500,0)),0)</f>
        <v>141500</v>
      </c>
      <c r="K62" s="26" t="n">
        <f aca="false">IF(ISNUMBER(G62),G62-E62,F62-E62)</f>
        <v>0</v>
      </c>
      <c r="L62" s="12" t="str">
        <f aca="false">IF(ISNUMBER(G62),"Completed",IF(F62&lt;AsOfDate,"Overdue",IF(F62-E62&gt;MilestoneAtRiskDays,"At Risk","On Track")))</f>
        <v>Completed</v>
      </c>
      <c r="M62" s="12" t="str">
        <f aca="false">IF(COUNTIF(Invoices!$C$2:$C$2000,A62)&gt;0,"Yes","No")</f>
        <v>Yes</v>
      </c>
    </row>
    <row r="63" customFormat="false" ht="15" hidden="false" customHeight="false" outlineLevel="0" collapsed="false">
      <c r="A63" s="18" t="s">
        <v>2509</v>
      </c>
      <c r="B63" s="18" t="s">
        <v>265</v>
      </c>
      <c r="C63" s="18" t="s">
        <v>2446</v>
      </c>
      <c r="D63" s="18" t="s">
        <v>382</v>
      </c>
      <c r="E63" s="19" t="n">
        <v>45989</v>
      </c>
      <c r="F63" s="19" t="n">
        <v>45992</v>
      </c>
      <c r="G63" s="19" t="n">
        <v>45992</v>
      </c>
      <c r="H63" s="18" t="s">
        <v>513</v>
      </c>
      <c r="I63" s="24" t="n">
        <v>0.2</v>
      </c>
      <c r="J63" s="14" t="n">
        <f aca="false">IF(H63="Yes",I63*INDEX(Projects!$R$2:$R$500,MATCH(B63,Projects!$A$2:$A$500,0)),0)</f>
        <v>283000</v>
      </c>
      <c r="K63" s="26" t="n">
        <f aca="false">IF(ISNUMBER(G63),G63-E63,F63-E63)</f>
        <v>3</v>
      </c>
      <c r="L63" s="12" t="str">
        <f aca="false">IF(ISNUMBER(G63),"Completed",IF(F63&lt;AsOfDate,"Overdue",IF(F63-E63&gt;MilestoneAtRiskDays,"At Risk","On Track")))</f>
        <v>Completed</v>
      </c>
      <c r="M63" s="12" t="str">
        <f aca="false">IF(COUNTIF(Invoices!$C$2:$C$2000,A63)&gt;0,"Yes","No")</f>
        <v>Yes</v>
      </c>
    </row>
    <row r="64" customFormat="false" ht="15" hidden="false" customHeight="false" outlineLevel="0" collapsed="false">
      <c r="A64" s="18" t="s">
        <v>2510</v>
      </c>
      <c r="B64" s="18" t="s">
        <v>265</v>
      </c>
      <c r="C64" s="18" t="s">
        <v>2448</v>
      </c>
      <c r="D64" s="18" t="s">
        <v>686</v>
      </c>
      <c r="E64" s="19" t="n">
        <v>46189</v>
      </c>
      <c r="F64" s="19" t="n">
        <v>46199</v>
      </c>
      <c r="G64" s="19" t="n">
        <v>46199</v>
      </c>
      <c r="H64" s="18" t="s">
        <v>513</v>
      </c>
      <c r="I64" s="24" t="n">
        <v>0.3</v>
      </c>
      <c r="J64" s="14" t="n">
        <f aca="false">IF(H64="Yes",I64*INDEX(Projects!$R$2:$R$500,MATCH(B64,Projects!$A$2:$A$500,0)),0)</f>
        <v>424500</v>
      </c>
      <c r="K64" s="26" t="n">
        <f aca="false">IF(ISNUMBER(G64),G64-E64,F64-E64)</f>
        <v>10</v>
      </c>
      <c r="L64" s="12" t="str">
        <f aca="false">IF(ISNUMBER(G64),"Completed",IF(F64&lt;AsOfDate,"Overdue",IF(F64-E64&gt;MilestoneAtRiskDays,"At Risk","On Track")))</f>
        <v>Completed</v>
      </c>
      <c r="M64" s="12" t="str">
        <f aca="false">IF(COUNTIF(Invoices!$C$2:$C$2000,A64)&gt;0,"Yes","No")</f>
        <v>Yes</v>
      </c>
    </row>
    <row r="65" customFormat="false" ht="15" hidden="false" customHeight="false" outlineLevel="0" collapsed="false">
      <c r="A65" s="18" t="s">
        <v>2511</v>
      </c>
      <c r="B65" s="18" t="s">
        <v>265</v>
      </c>
      <c r="C65" s="18" t="s">
        <v>2450</v>
      </c>
      <c r="D65" s="18" t="s">
        <v>690</v>
      </c>
      <c r="E65" s="19" t="n">
        <v>46279</v>
      </c>
      <c r="F65" s="19" t="n">
        <v>46293</v>
      </c>
      <c r="G65" s="19"/>
      <c r="H65" s="18" t="s">
        <v>513</v>
      </c>
      <c r="I65" s="24" t="n">
        <v>0.2</v>
      </c>
      <c r="J65" s="14" t="n">
        <f aca="false">IF(H65="Yes",I65*INDEX(Projects!$R$2:$R$500,MATCH(B65,Projects!$A$2:$A$500,0)),0)</f>
        <v>283000</v>
      </c>
      <c r="K65" s="26" t="n">
        <f aca="false">IF(ISNUMBER(G65),G65-E65,F65-E65)</f>
        <v>14</v>
      </c>
      <c r="L65" s="12" t="str">
        <f aca="false">IF(ISNUMBER(G65),"Completed",IF(F65&lt;AsOfDate,"Overdue",IF(F65-E65&gt;MilestoneAtRiskDays,"At Risk","On Track")))</f>
        <v>On Track</v>
      </c>
      <c r="M65" s="12" t="str">
        <f aca="false">IF(COUNTIF(Invoices!$C$2:$C$2000,A65)&gt;0,"Yes","No")</f>
        <v>No</v>
      </c>
    </row>
    <row r="66" customFormat="false" ht="15" hidden="false" customHeight="false" outlineLevel="0" collapsed="false">
      <c r="A66" s="18" t="s">
        <v>2512</v>
      </c>
      <c r="B66" s="18" t="s">
        <v>265</v>
      </c>
      <c r="C66" s="18" t="s">
        <v>2452</v>
      </c>
      <c r="D66" s="18" t="s">
        <v>694</v>
      </c>
      <c r="E66" s="19" t="n">
        <v>46325</v>
      </c>
      <c r="F66" s="19" t="n">
        <v>46342</v>
      </c>
      <c r="G66" s="19"/>
      <c r="H66" s="18" t="s">
        <v>513</v>
      </c>
      <c r="I66" s="24" t="n">
        <v>0.2</v>
      </c>
      <c r="J66" s="14" t="n">
        <f aca="false">IF(H66="Yes",I66*INDEX(Projects!$R$2:$R$500,MATCH(B66,Projects!$A$2:$A$500,0)),0)</f>
        <v>283000</v>
      </c>
      <c r="K66" s="26" t="n">
        <f aca="false">IF(ISNUMBER(G66),G66-E66,F66-E66)</f>
        <v>17</v>
      </c>
      <c r="L66" s="12" t="str">
        <f aca="false">IF(ISNUMBER(G66),"Completed",IF(F66&lt;AsOfDate,"Overdue",IF(F66-E66&gt;MilestoneAtRiskDays,"At Risk","On Track")))</f>
        <v>At Risk</v>
      </c>
      <c r="M66" s="12" t="str">
        <f aca="false">IF(COUNTIF(Invoices!$C$2:$C$2000,A66)&gt;0,"Yes","No")</f>
        <v>No</v>
      </c>
    </row>
    <row r="67" customFormat="false" ht="15" hidden="false" customHeight="false" outlineLevel="0" collapsed="false">
      <c r="A67" s="18" t="s">
        <v>2513</v>
      </c>
      <c r="B67" s="18" t="s">
        <v>267</v>
      </c>
      <c r="C67" s="18" t="s">
        <v>2444</v>
      </c>
      <c r="D67" s="18" t="s">
        <v>678</v>
      </c>
      <c r="E67" s="19" t="n">
        <v>45891</v>
      </c>
      <c r="F67" s="19" t="n">
        <v>45891</v>
      </c>
      <c r="G67" s="19" t="n">
        <v>45891</v>
      </c>
      <c r="H67" s="18" t="s">
        <v>527</v>
      </c>
      <c r="I67" s="24" t="n">
        <v>0</v>
      </c>
      <c r="J67" s="14" t="n">
        <f aca="false">IF(H67="Yes",I67*INDEX(Projects!$R$2:$R$500,MATCH(B67,Projects!$A$2:$A$500,0)),0)</f>
        <v>0</v>
      </c>
      <c r="K67" s="26" t="n">
        <f aca="false">IF(ISNUMBER(G67),G67-E67,F67-E67)</f>
        <v>0</v>
      </c>
      <c r="L67" s="12" t="str">
        <f aca="false">IF(ISNUMBER(G67),"Completed",IF(F67&lt;AsOfDate,"Overdue",IF(F67-E67&gt;MilestoneAtRiskDays,"At Risk","On Track")))</f>
        <v>Completed</v>
      </c>
      <c r="M67" s="12" t="str">
        <f aca="false">IF(COUNTIF(Invoices!$C$2:$C$2000,A67)&gt;0,"Yes","No")</f>
        <v>No</v>
      </c>
    </row>
    <row r="68" customFormat="false" ht="15" hidden="false" customHeight="false" outlineLevel="0" collapsed="false">
      <c r="A68" s="18" t="s">
        <v>2514</v>
      </c>
      <c r="B68" s="18" t="s">
        <v>267</v>
      </c>
      <c r="C68" s="18" t="s">
        <v>2446</v>
      </c>
      <c r="D68" s="18" t="s">
        <v>382</v>
      </c>
      <c r="E68" s="19" t="n">
        <v>45981</v>
      </c>
      <c r="F68" s="19" t="n">
        <v>45981</v>
      </c>
      <c r="G68" s="19" t="n">
        <v>45981</v>
      </c>
      <c r="H68" s="18" t="s">
        <v>527</v>
      </c>
      <c r="I68" s="24" t="n">
        <v>0</v>
      </c>
      <c r="J68" s="14" t="n">
        <f aca="false">IF(H68="Yes",I68*INDEX(Projects!$R$2:$R$500,MATCH(B68,Projects!$A$2:$A$500,0)),0)</f>
        <v>0</v>
      </c>
      <c r="K68" s="26" t="n">
        <f aca="false">IF(ISNUMBER(G68),G68-E68,F68-E68)</f>
        <v>0</v>
      </c>
      <c r="L68" s="12" t="str">
        <f aca="false">IF(ISNUMBER(G68),"Completed",IF(F68&lt;AsOfDate,"Overdue",IF(F68-E68&gt;MilestoneAtRiskDays,"At Risk","On Track")))</f>
        <v>Completed</v>
      </c>
      <c r="M68" s="12" t="str">
        <f aca="false">IF(COUNTIF(Invoices!$C$2:$C$2000,A68)&gt;0,"Yes","No")</f>
        <v>No</v>
      </c>
    </row>
    <row r="69" customFormat="false" ht="15" hidden="false" customHeight="false" outlineLevel="0" collapsed="false">
      <c r="A69" s="18" t="s">
        <v>2515</v>
      </c>
      <c r="B69" s="18" t="s">
        <v>267</v>
      </c>
      <c r="C69" s="18" t="s">
        <v>2448</v>
      </c>
      <c r="D69" s="18" t="s">
        <v>686</v>
      </c>
      <c r="E69" s="19" t="n">
        <v>46220</v>
      </c>
      <c r="F69" s="19" t="n">
        <v>46223</v>
      </c>
      <c r="G69" s="19" t="n">
        <v>46223</v>
      </c>
      <c r="H69" s="18" t="s">
        <v>527</v>
      </c>
      <c r="I69" s="24" t="n">
        <v>0</v>
      </c>
      <c r="J69" s="14" t="n">
        <f aca="false">IF(H69="Yes",I69*INDEX(Projects!$R$2:$R$500,MATCH(B69,Projects!$A$2:$A$500,0)),0)</f>
        <v>0</v>
      </c>
      <c r="K69" s="26" t="n">
        <f aca="false">IF(ISNUMBER(G69),G69-E69,F69-E69)</f>
        <v>3</v>
      </c>
      <c r="L69" s="12" t="str">
        <f aca="false">IF(ISNUMBER(G69),"Completed",IF(F69&lt;AsOfDate,"Overdue",IF(F69-E69&gt;MilestoneAtRiskDays,"At Risk","On Track")))</f>
        <v>Completed</v>
      </c>
      <c r="M69" s="12" t="str">
        <f aca="false">IF(COUNTIF(Invoices!$C$2:$C$2000,A69)&gt;0,"Yes","No")</f>
        <v>No</v>
      </c>
    </row>
    <row r="70" customFormat="false" ht="15" hidden="false" customHeight="false" outlineLevel="0" collapsed="false">
      <c r="A70" s="18" t="s">
        <v>2516</v>
      </c>
      <c r="B70" s="18" t="s">
        <v>267</v>
      </c>
      <c r="C70" s="18" t="s">
        <v>2450</v>
      </c>
      <c r="D70" s="18" t="s">
        <v>690</v>
      </c>
      <c r="E70" s="19" t="n">
        <v>46332</v>
      </c>
      <c r="F70" s="19" t="n">
        <v>46335</v>
      </c>
      <c r="G70" s="19"/>
      <c r="H70" s="18" t="s">
        <v>527</v>
      </c>
      <c r="I70" s="24" t="n">
        <v>0</v>
      </c>
      <c r="J70" s="14" t="n">
        <f aca="false">IF(H70="Yes",I70*INDEX(Projects!$R$2:$R$500,MATCH(B70,Projects!$A$2:$A$500,0)),0)</f>
        <v>0</v>
      </c>
      <c r="K70" s="26" t="n">
        <f aca="false">IF(ISNUMBER(G70),G70-E70,F70-E70)</f>
        <v>3</v>
      </c>
      <c r="L70" s="12" t="str">
        <f aca="false">IF(ISNUMBER(G70),"Completed",IF(F70&lt;AsOfDate,"Overdue",IF(F70-E70&gt;MilestoneAtRiskDays,"At Risk","On Track")))</f>
        <v>On Track</v>
      </c>
      <c r="M70" s="12" t="str">
        <f aca="false">IF(COUNTIF(Invoices!$C$2:$C$2000,A70)&gt;0,"Yes","No")</f>
        <v>No</v>
      </c>
    </row>
    <row r="71" customFormat="false" ht="15" hidden="false" customHeight="false" outlineLevel="0" collapsed="false">
      <c r="A71" s="18" t="s">
        <v>2517</v>
      </c>
      <c r="B71" s="18" t="s">
        <v>267</v>
      </c>
      <c r="C71" s="18" t="s">
        <v>2452</v>
      </c>
      <c r="D71" s="18" t="s">
        <v>694</v>
      </c>
      <c r="E71" s="19" t="n">
        <v>46387</v>
      </c>
      <c r="F71" s="19" t="n">
        <v>46391</v>
      </c>
      <c r="G71" s="19"/>
      <c r="H71" s="18" t="s">
        <v>527</v>
      </c>
      <c r="I71" s="24" t="n">
        <v>0</v>
      </c>
      <c r="J71" s="14" t="n">
        <f aca="false">IF(H71="Yes",I71*INDEX(Projects!$R$2:$R$500,MATCH(B71,Projects!$A$2:$A$500,0)),0)</f>
        <v>0</v>
      </c>
      <c r="K71" s="26" t="n">
        <f aca="false">IF(ISNUMBER(G71),G71-E71,F71-E71)</f>
        <v>4</v>
      </c>
      <c r="L71" s="12" t="str">
        <f aca="false">IF(ISNUMBER(G71),"Completed",IF(F71&lt;AsOfDate,"Overdue",IF(F71-E71&gt;MilestoneAtRiskDays,"At Risk","On Track")))</f>
        <v>On Track</v>
      </c>
      <c r="M71" s="12" t="str">
        <f aca="false">IF(COUNTIF(Invoices!$C$2:$C$2000,A71)&gt;0,"Yes","No")</f>
        <v>No</v>
      </c>
    </row>
    <row r="72" customFormat="false" ht="15" hidden="false" customHeight="false" outlineLevel="0" collapsed="false">
      <c r="A72" s="18" t="s">
        <v>2518</v>
      </c>
      <c r="B72" s="18" t="s">
        <v>270</v>
      </c>
      <c r="C72" s="18" t="s">
        <v>2444</v>
      </c>
      <c r="D72" s="18" t="s">
        <v>678</v>
      </c>
      <c r="E72" s="19" t="n">
        <v>46143</v>
      </c>
      <c r="F72" s="19" t="n">
        <v>46143</v>
      </c>
      <c r="G72" s="19" t="n">
        <v>46143</v>
      </c>
      <c r="H72" s="18" t="s">
        <v>513</v>
      </c>
      <c r="I72" s="24" t="n">
        <v>0.1</v>
      </c>
      <c r="J72" s="14" t="n">
        <f aca="false">IF(H72="Yes",I72*INDEX(Projects!$R$2:$R$500,MATCH(B72,Projects!$A$2:$A$500,0)),0)</f>
        <v>131500</v>
      </c>
      <c r="K72" s="26" t="n">
        <f aca="false">IF(ISNUMBER(G72),G72-E72,F72-E72)</f>
        <v>0</v>
      </c>
      <c r="L72" s="12" t="str">
        <f aca="false">IF(ISNUMBER(G72),"Completed",IF(F72&lt;AsOfDate,"Overdue",IF(F72-E72&gt;MilestoneAtRiskDays,"At Risk","On Track")))</f>
        <v>Completed</v>
      </c>
      <c r="M72" s="12" t="str">
        <f aca="false">IF(COUNTIF(Invoices!$C$2:$C$2000,A72)&gt;0,"Yes","No")</f>
        <v>Yes</v>
      </c>
    </row>
    <row r="73" customFormat="false" ht="15" hidden="false" customHeight="false" outlineLevel="0" collapsed="false">
      <c r="A73" s="18" t="s">
        <v>2519</v>
      </c>
      <c r="B73" s="18" t="s">
        <v>270</v>
      </c>
      <c r="C73" s="18" t="s">
        <v>2446</v>
      </c>
      <c r="D73" s="18" t="s">
        <v>382</v>
      </c>
      <c r="E73" s="19" t="n">
        <v>46218</v>
      </c>
      <c r="F73" s="19" t="n">
        <v>46219</v>
      </c>
      <c r="G73" s="19" t="n">
        <v>46219</v>
      </c>
      <c r="H73" s="18" t="s">
        <v>513</v>
      </c>
      <c r="I73" s="24" t="n">
        <v>0.2</v>
      </c>
      <c r="J73" s="14" t="n">
        <f aca="false">IF(H73="Yes",I73*INDEX(Projects!$R$2:$R$500,MATCH(B73,Projects!$A$2:$A$500,0)),0)</f>
        <v>263000</v>
      </c>
      <c r="K73" s="26" t="n">
        <f aca="false">IF(ISNUMBER(G73),G73-E73,F73-E73)</f>
        <v>1</v>
      </c>
      <c r="L73" s="12" t="str">
        <f aca="false">IF(ISNUMBER(G73),"Completed",IF(F73&lt;AsOfDate,"Overdue",IF(F73-E73&gt;MilestoneAtRiskDays,"At Risk","On Track")))</f>
        <v>Completed</v>
      </c>
      <c r="M73" s="12" t="str">
        <f aca="false">IF(COUNTIF(Invoices!$C$2:$C$2000,A73)&gt;0,"Yes","No")</f>
        <v>Yes</v>
      </c>
    </row>
    <row r="74" customFormat="false" ht="15" hidden="false" customHeight="false" outlineLevel="0" collapsed="false">
      <c r="A74" s="18" t="s">
        <v>2520</v>
      </c>
      <c r="B74" s="18" t="s">
        <v>270</v>
      </c>
      <c r="C74" s="18" t="s">
        <v>2448</v>
      </c>
      <c r="D74" s="18" t="s">
        <v>686</v>
      </c>
      <c r="E74" s="19" t="n">
        <v>46423</v>
      </c>
      <c r="F74" s="19" t="n">
        <v>46429</v>
      </c>
      <c r="G74" s="19"/>
      <c r="H74" s="18" t="s">
        <v>513</v>
      </c>
      <c r="I74" s="24" t="n">
        <v>0.3</v>
      </c>
      <c r="J74" s="14" t="n">
        <f aca="false">IF(H74="Yes",I74*INDEX(Projects!$R$2:$R$500,MATCH(B74,Projects!$A$2:$A$500,0)),0)</f>
        <v>394500</v>
      </c>
      <c r="K74" s="26" t="n">
        <f aca="false">IF(ISNUMBER(G74),G74-E74,F74-E74)</f>
        <v>6</v>
      </c>
      <c r="L74" s="12" t="str">
        <f aca="false">IF(ISNUMBER(G74),"Completed",IF(F74&lt;AsOfDate,"Overdue",IF(F74-E74&gt;MilestoneAtRiskDays,"At Risk","On Track")))</f>
        <v>On Track</v>
      </c>
      <c r="M74" s="12" t="str">
        <f aca="false">IF(COUNTIF(Invoices!$C$2:$C$2000,A74)&gt;0,"Yes","No")</f>
        <v>No</v>
      </c>
    </row>
    <row r="75" customFormat="false" ht="15" hidden="false" customHeight="false" outlineLevel="0" collapsed="false">
      <c r="A75" s="18" t="s">
        <v>2521</v>
      </c>
      <c r="B75" s="18" t="s">
        <v>270</v>
      </c>
      <c r="C75" s="18" t="s">
        <v>2450</v>
      </c>
      <c r="D75" s="18" t="s">
        <v>690</v>
      </c>
      <c r="E75" s="19" t="n">
        <v>46514</v>
      </c>
      <c r="F75" s="19" t="n">
        <v>46524</v>
      </c>
      <c r="G75" s="19"/>
      <c r="H75" s="18" t="s">
        <v>513</v>
      </c>
      <c r="I75" s="24" t="n">
        <v>0.2</v>
      </c>
      <c r="J75" s="14" t="n">
        <f aca="false">IF(H75="Yes",I75*INDEX(Projects!$R$2:$R$500,MATCH(B75,Projects!$A$2:$A$500,0)),0)</f>
        <v>263000</v>
      </c>
      <c r="K75" s="26" t="n">
        <f aca="false">IF(ISNUMBER(G75),G75-E75,F75-E75)</f>
        <v>10</v>
      </c>
      <c r="L75" s="12" t="str">
        <f aca="false">IF(ISNUMBER(G75),"Completed",IF(F75&lt;AsOfDate,"Overdue",IF(F75-E75&gt;MilestoneAtRiskDays,"At Risk","On Track")))</f>
        <v>On Track</v>
      </c>
      <c r="M75" s="12" t="str">
        <f aca="false">IF(COUNTIF(Invoices!$C$2:$C$2000,A75)&gt;0,"Yes","No")</f>
        <v>No</v>
      </c>
    </row>
    <row r="76" customFormat="false" ht="15" hidden="false" customHeight="false" outlineLevel="0" collapsed="false">
      <c r="A76" s="18" t="s">
        <v>2522</v>
      </c>
      <c r="B76" s="18" t="s">
        <v>270</v>
      </c>
      <c r="C76" s="18" t="s">
        <v>2452</v>
      </c>
      <c r="D76" s="18" t="s">
        <v>694</v>
      </c>
      <c r="E76" s="19" t="n">
        <v>46563</v>
      </c>
      <c r="F76" s="19" t="n">
        <v>46573</v>
      </c>
      <c r="G76" s="19"/>
      <c r="H76" s="18" t="s">
        <v>513</v>
      </c>
      <c r="I76" s="24" t="n">
        <v>0.2</v>
      </c>
      <c r="J76" s="14" t="n">
        <f aca="false">IF(H76="Yes",I76*INDEX(Projects!$R$2:$R$500,MATCH(B76,Projects!$A$2:$A$500,0)),0)</f>
        <v>263000</v>
      </c>
      <c r="K76" s="26" t="n">
        <f aca="false">IF(ISNUMBER(G76),G76-E76,F76-E76)</f>
        <v>10</v>
      </c>
      <c r="L76" s="12" t="str">
        <f aca="false">IF(ISNUMBER(G76),"Completed",IF(F76&lt;AsOfDate,"Overdue",IF(F76-E76&gt;MilestoneAtRiskDays,"At Risk","On Track")))</f>
        <v>On Track</v>
      </c>
      <c r="M76" s="12" t="str">
        <f aca="false">IF(COUNTIF(Invoices!$C$2:$C$2000,A76)&gt;0,"Yes","No")</f>
        <v>No</v>
      </c>
    </row>
    <row r="77" customFormat="false" ht="15" hidden="false" customHeight="false" outlineLevel="0" collapsed="false">
      <c r="A77" s="18" t="s">
        <v>2523</v>
      </c>
      <c r="B77" s="18" t="s">
        <v>272</v>
      </c>
      <c r="C77" s="18" t="s">
        <v>2444</v>
      </c>
      <c r="D77" s="18" t="s">
        <v>678</v>
      </c>
      <c r="E77" s="19" t="n">
        <v>46147</v>
      </c>
      <c r="F77" s="19" t="n">
        <v>46147</v>
      </c>
      <c r="G77" s="19" t="n">
        <v>46147</v>
      </c>
      <c r="H77" s="18" t="s">
        <v>527</v>
      </c>
      <c r="I77" s="24" t="n">
        <v>0</v>
      </c>
      <c r="J77" s="14" t="n">
        <f aca="false">IF(H77="Yes",I77*INDEX(Projects!$R$2:$R$500,MATCH(B77,Projects!$A$2:$A$500,0)),0)</f>
        <v>0</v>
      </c>
      <c r="K77" s="26" t="n">
        <f aca="false">IF(ISNUMBER(G77),G77-E77,F77-E77)</f>
        <v>0</v>
      </c>
      <c r="L77" s="12" t="str">
        <f aca="false">IF(ISNUMBER(G77),"Completed",IF(F77&lt;AsOfDate,"Overdue",IF(F77-E77&gt;MilestoneAtRiskDays,"At Risk","On Track")))</f>
        <v>Completed</v>
      </c>
      <c r="M77" s="12" t="str">
        <f aca="false">IF(COUNTIF(Invoices!$C$2:$C$2000,A77)&gt;0,"Yes","No")</f>
        <v>No</v>
      </c>
    </row>
    <row r="78" customFormat="false" ht="15" hidden="false" customHeight="false" outlineLevel="0" collapsed="false">
      <c r="A78" s="18" t="s">
        <v>2524</v>
      </c>
      <c r="B78" s="18" t="s">
        <v>272</v>
      </c>
      <c r="C78" s="18" t="s">
        <v>2446</v>
      </c>
      <c r="D78" s="18" t="s">
        <v>382</v>
      </c>
      <c r="E78" s="19" t="n">
        <v>46182</v>
      </c>
      <c r="F78" s="19" t="n">
        <v>46182</v>
      </c>
      <c r="G78" s="19" t="n">
        <v>46182</v>
      </c>
      <c r="H78" s="18" t="s">
        <v>527</v>
      </c>
      <c r="I78" s="24" t="n">
        <v>0</v>
      </c>
      <c r="J78" s="14" t="n">
        <f aca="false">IF(H78="Yes",I78*INDEX(Projects!$R$2:$R$500,MATCH(B78,Projects!$A$2:$A$500,0)),0)</f>
        <v>0</v>
      </c>
      <c r="K78" s="26" t="n">
        <f aca="false">IF(ISNUMBER(G78),G78-E78,F78-E78)</f>
        <v>0</v>
      </c>
      <c r="L78" s="12" t="str">
        <f aca="false">IF(ISNUMBER(G78),"Completed",IF(F78&lt;AsOfDate,"Overdue",IF(F78-E78&gt;MilestoneAtRiskDays,"At Risk","On Track")))</f>
        <v>Completed</v>
      </c>
      <c r="M78" s="12" t="str">
        <f aca="false">IF(COUNTIF(Invoices!$C$2:$C$2000,A78)&gt;0,"Yes","No")</f>
        <v>No</v>
      </c>
    </row>
    <row r="79" customFormat="false" ht="15" hidden="false" customHeight="false" outlineLevel="0" collapsed="false">
      <c r="A79" s="18" t="s">
        <v>2525</v>
      </c>
      <c r="B79" s="18" t="s">
        <v>272</v>
      </c>
      <c r="C79" s="18" t="s">
        <v>2448</v>
      </c>
      <c r="D79" s="18" t="s">
        <v>686</v>
      </c>
      <c r="E79" s="19" t="n">
        <v>46279</v>
      </c>
      <c r="F79" s="19" t="n">
        <v>46280</v>
      </c>
      <c r="G79" s="19"/>
      <c r="H79" s="18" t="s">
        <v>527</v>
      </c>
      <c r="I79" s="24" t="n">
        <v>0</v>
      </c>
      <c r="J79" s="14" t="n">
        <f aca="false">IF(H79="Yes",I79*INDEX(Projects!$R$2:$R$500,MATCH(B79,Projects!$A$2:$A$500,0)),0)</f>
        <v>0</v>
      </c>
      <c r="K79" s="26" t="n">
        <f aca="false">IF(ISNUMBER(G79),G79-E79,F79-E79)</f>
        <v>1</v>
      </c>
      <c r="L79" s="12" t="str">
        <f aca="false">IF(ISNUMBER(G79),"Completed",IF(F79&lt;AsOfDate,"Overdue",IF(F79-E79&gt;MilestoneAtRiskDays,"At Risk","On Track")))</f>
        <v>On Track</v>
      </c>
      <c r="M79" s="12" t="str">
        <f aca="false">IF(COUNTIF(Invoices!$C$2:$C$2000,A79)&gt;0,"Yes","No")</f>
        <v>No</v>
      </c>
    </row>
    <row r="80" customFormat="false" ht="15" hidden="false" customHeight="false" outlineLevel="0" collapsed="false">
      <c r="A80" s="18" t="s">
        <v>2526</v>
      </c>
      <c r="B80" s="18" t="s">
        <v>272</v>
      </c>
      <c r="C80" s="18" t="s">
        <v>2450</v>
      </c>
      <c r="D80" s="18" t="s">
        <v>690</v>
      </c>
      <c r="E80" s="19" t="n">
        <v>46323</v>
      </c>
      <c r="F80" s="19" t="n">
        <v>46325</v>
      </c>
      <c r="G80" s="19"/>
      <c r="H80" s="18" t="s">
        <v>527</v>
      </c>
      <c r="I80" s="24" t="n">
        <v>0</v>
      </c>
      <c r="J80" s="14" t="n">
        <f aca="false">IF(H80="Yes",I80*INDEX(Projects!$R$2:$R$500,MATCH(B80,Projects!$A$2:$A$500,0)),0)</f>
        <v>0</v>
      </c>
      <c r="K80" s="26" t="n">
        <f aca="false">IF(ISNUMBER(G80),G80-E80,F80-E80)</f>
        <v>2</v>
      </c>
      <c r="L80" s="12" t="str">
        <f aca="false">IF(ISNUMBER(G80),"Completed",IF(F80&lt;AsOfDate,"Overdue",IF(F80-E80&gt;MilestoneAtRiskDays,"At Risk","On Track")))</f>
        <v>On Track</v>
      </c>
      <c r="M80" s="12" t="str">
        <f aca="false">IF(COUNTIF(Invoices!$C$2:$C$2000,A80)&gt;0,"Yes","No")</f>
        <v>No</v>
      </c>
    </row>
    <row r="81" customFormat="false" ht="15" hidden="false" customHeight="false" outlineLevel="0" collapsed="false">
      <c r="A81" s="18" t="s">
        <v>2527</v>
      </c>
      <c r="B81" s="18" t="s">
        <v>272</v>
      </c>
      <c r="C81" s="18" t="s">
        <v>2452</v>
      </c>
      <c r="D81" s="18" t="s">
        <v>694</v>
      </c>
      <c r="E81" s="19" t="n">
        <v>46346</v>
      </c>
      <c r="F81" s="19" t="n">
        <v>46349</v>
      </c>
      <c r="G81" s="19"/>
      <c r="H81" s="18" t="s">
        <v>527</v>
      </c>
      <c r="I81" s="24" t="n">
        <v>0</v>
      </c>
      <c r="J81" s="14" t="n">
        <f aca="false">IF(H81="Yes",I81*INDEX(Projects!$R$2:$R$500,MATCH(B81,Projects!$A$2:$A$500,0)),0)</f>
        <v>0</v>
      </c>
      <c r="K81" s="26" t="n">
        <f aca="false">IF(ISNUMBER(G81),G81-E81,F81-E81)</f>
        <v>3</v>
      </c>
      <c r="L81" s="12" t="str">
        <f aca="false">IF(ISNUMBER(G81),"Completed",IF(F81&lt;AsOfDate,"Overdue",IF(F81-E81&gt;MilestoneAtRiskDays,"At Risk","On Track")))</f>
        <v>On Track</v>
      </c>
      <c r="M81" s="12" t="str">
        <f aca="false">IF(COUNTIF(Invoices!$C$2:$C$2000,A81)&gt;0,"Yes","No")</f>
        <v>No</v>
      </c>
    </row>
    <row r="82" customFormat="false" ht="15" hidden="false" customHeight="false" outlineLevel="0" collapsed="false">
      <c r="A82" s="18" t="s">
        <v>2528</v>
      </c>
      <c r="B82" s="18" t="s">
        <v>275</v>
      </c>
      <c r="C82" s="18" t="s">
        <v>2444</v>
      </c>
      <c r="D82" s="18" t="s">
        <v>678</v>
      </c>
      <c r="E82" s="19" t="n">
        <v>46066</v>
      </c>
      <c r="F82" s="19" t="n">
        <v>46069</v>
      </c>
      <c r="G82" s="19" t="n">
        <v>46069</v>
      </c>
      <c r="H82" s="18" t="s">
        <v>513</v>
      </c>
      <c r="I82" s="24" t="n">
        <v>0.1</v>
      </c>
      <c r="J82" s="14" t="n">
        <f aca="false">IF(H82="Yes",I82*INDEX(Projects!$R$2:$R$500,MATCH(B82,Projects!$A$2:$A$500,0)),0)</f>
        <v>46500</v>
      </c>
      <c r="K82" s="26" t="n">
        <f aca="false">IF(ISNUMBER(G82),G82-E82,F82-E82)</f>
        <v>3</v>
      </c>
      <c r="L82" s="12" t="str">
        <f aca="false">IF(ISNUMBER(G82),"Completed",IF(F82&lt;AsOfDate,"Overdue",IF(F82-E82&gt;MilestoneAtRiskDays,"At Risk","On Track")))</f>
        <v>Completed</v>
      </c>
      <c r="M82" s="12" t="str">
        <f aca="false">IF(COUNTIF(Invoices!$C$2:$C$2000,A82)&gt;0,"Yes","No")</f>
        <v>Yes</v>
      </c>
    </row>
    <row r="83" customFormat="false" ht="15" hidden="false" customHeight="false" outlineLevel="0" collapsed="false">
      <c r="A83" s="18" t="s">
        <v>2529</v>
      </c>
      <c r="B83" s="18" t="s">
        <v>275</v>
      </c>
      <c r="C83" s="18" t="s">
        <v>2446</v>
      </c>
      <c r="D83" s="18" t="s">
        <v>382</v>
      </c>
      <c r="E83" s="19" t="n">
        <v>46107</v>
      </c>
      <c r="F83" s="19" t="n">
        <v>46118</v>
      </c>
      <c r="G83" s="19" t="n">
        <v>46118</v>
      </c>
      <c r="H83" s="18" t="s">
        <v>513</v>
      </c>
      <c r="I83" s="24" t="n">
        <v>0.2</v>
      </c>
      <c r="J83" s="14" t="n">
        <f aca="false">IF(H83="Yes",I83*INDEX(Projects!$R$2:$R$500,MATCH(B83,Projects!$A$2:$A$500,0)),0)</f>
        <v>93000</v>
      </c>
      <c r="K83" s="26" t="n">
        <f aca="false">IF(ISNUMBER(G83),G83-E83,F83-E83)</f>
        <v>11</v>
      </c>
      <c r="L83" s="12" t="str">
        <f aca="false">IF(ISNUMBER(G83),"Completed",IF(F83&lt;AsOfDate,"Overdue",IF(F83-E83&gt;MilestoneAtRiskDays,"At Risk","On Track")))</f>
        <v>Completed</v>
      </c>
      <c r="M83" s="12" t="str">
        <f aca="false">IF(COUNTIF(Invoices!$C$2:$C$2000,A83)&gt;0,"Yes","No")</f>
        <v>Yes</v>
      </c>
    </row>
    <row r="84" customFormat="false" ht="15" hidden="false" customHeight="false" outlineLevel="0" collapsed="false">
      <c r="A84" s="18" t="s">
        <v>2530</v>
      </c>
      <c r="B84" s="18" t="s">
        <v>275</v>
      </c>
      <c r="C84" s="18" t="s">
        <v>2448</v>
      </c>
      <c r="D84" s="18" t="s">
        <v>686</v>
      </c>
      <c r="E84" s="19" t="n">
        <v>46218</v>
      </c>
      <c r="F84" s="19" t="n">
        <v>46252</v>
      </c>
      <c r="G84" s="19" t="n">
        <v>46252</v>
      </c>
      <c r="H84" s="18" t="s">
        <v>513</v>
      </c>
      <c r="I84" s="24" t="n">
        <v>0.3</v>
      </c>
      <c r="J84" s="14" t="n">
        <f aca="false">IF(H84="Yes",I84*INDEX(Projects!$R$2:$R$500,MATCH(B84,Projects!$A$2:$A$500,0)),0)</f>
        <v>139500</v>
      </c>
      <c r="K84" s="26" t="n">
        <f aca="false">IF(ISNUMBER(G84),G84-E84,F84-E84)</f>
        <v>34</v>
      </c>
      <c r="L84" s="12" t="str">
        <f aca="false">IF(ISNUMBER(G84),"Completed",IF(F84&lt;AsOfDate,"Overdue",IF(F84-E84&gt;MilestoneAtRiskDays,"At Risk","On Track")))</f>
        <v>Completed</v>
      </c>
      <c r="M84" s="12" t="str">
        <f aca="false">IF(COUNTIF(Invoices!$C$2:$C$2000,A84)&gt;0,"Yes","No")</f>
        <v>Yes</v>
      </c>
    </row>
    <row r="85" customFormat="false" ht="15" hidden="false" customHeight="false" outlineLevel="0" collapsed="false">
      <c r="A85" s="18" t="s">
        <v>2531</v>
      </c>
      <c r="B85" s="18" t="s">
        <v>275</v>
      </c>
      <c r="C85" s="18" t="s">
        <v>2450</v>
      </c>
      <c r="D85" s="18" t="s">
        <v>690</v>
      </c>
      <c r="E85" s="19" t="n">
        <v>46269</v>
      </c>
      <c r="F85" s="19" t="n">
        <v>46270</v>
      </c>
      <c r="G85" s="19"/>
      <c r="H85" s="18" t="s">
        <v>513</v>
      </c>
      <c r="I85" s="24" t="n">
        <v>0.2</v>
      </c>
      <c r="J85" s="14" t="n">
        <f aca="false">IF(H85="Yes",I85*INDEX(Projects!$R$2:$R$500,MATCH(B85,Projects!$A$2:$A$500,0)),0)</f>
        <v>93000</v>
      </c>
      <c r="K85" s="26" t="n">
        <f aca="false">IF(ISNUMBER(G85),G85-E85,F85-E85)</f>
        <v>1</v>
      </c>
      <c r="L85" s="12" t="str">
        <f aca="false">IF(ISNUMBER(G85),"Completed",IF(F85&lt;AsOfDate,"Overdue",IF(F85-E85&gt;MilestoneAtRiskDays,"At Risk","On Track")))</f>
        <v>Overdue</v>
      </c>
      <c r="M85" s="12" t="str">
        <f aca="false">IF(COUNTIF(Invoices!$C$2:$C$2000,A85)&gt;0,"Yes","No")</f>
        <v>No</v>
      </c>
    </row>
    <row r="86" customFormat="false" ht="15" hidden="false" customHeight="false" outlineLevel="0" collapsed="false">
      <c r="A86" s="18" t="s">
        <v>2532</v>
      </c>
      <c r="B86" s="18" t="s">
        <v>275</v>
      </c>
      <c r="C86" s="18" t="s">
        <v>2452</v>
      </c>
      <c r="D86" s="18" t="s">
        <v>694</v>
      </c>
      <c r="E86" s="19" t="n">
        <v>46295</v>
      </c>
      <c r="F86" s="19" t="n">
        <v>46350</v>
      </c>
      <c r="G86" s="19"/>
      <c r="H86" s="18" t="s">
        <v>513</v>
      </c>
      <c r="I86" s="24" t="n">
        <v>0.2</v>
      </c>
      <c r="J86" s="14" t="n">
        <f aca="false">IF(H86="Yes",I86*INDEX(Projects!$R$2:$R$500,MATCH(B86,Projects!$A$2:$A$500,0)),0)</f>
        <v>93000</v>
      </c>
      <c r="K86" s="26" t="n">
        <f aca="false">IF(ISNUMBER(G86),G86-E86,F86-E86)</f>
        <v>55</v>
      </c>
      <c r="L86" s="12" t="str">
        <f aca="false">IF(ISNUMBER(G86),"Completed",IF(F86&lt;AsOfDate,"Overdue",IF(F86-E86&gt;MilestoneAtRiskDays,"At Risk","On Track")))</f>
        <v>At Risk</v>
      </c>
      <c r="M86" s="12" t="str">
        <f aca="false">IF(COUNTIF(Invoices!$C$2:$C$2000,A86)&gt;0,"Yes","No")</f>
        <v>No</v>
      </c>
    </row>
    <row r="87" customFormat="false" ht="15" hidden="false" customHeight="false" outlineLevel="0" collapsed="false">
      <c r="A87" s="18" t="s">
        <v>2533</v>
      </c>
      <c r="B87" s="18" t="s">
        <v>277</v>
      </c>
      <c r="C87" s="18" t="s">
        <v>2444</v>
      </c>
      <c r="D87" s="18" t="s">
        <v>678</v>
      </c>
      <c r="E87" s="19" t="n">
        <v>45828</v>
      </c>
      <c r="F87" s="19" t="n">
        <v>45828</v>
      </c>
      <c r="G87" s="19" t="n">
        <v>45828</v>
      </c>
      <c r="H87" s="18" t="s">
        <v>513</v>
      </c>
      <c r="I87" s="24" t="n">
        <v>0.1</v>
      </c>
      <c r="J87" s="14" t="n">
        <f aca="false">IF(H87="Yes",I87*INDEX(Projects!$R$2:$R$500,MATCH(B87,Projects!$A$2:$A$500,0)),0)</f>
        <v>62000</v>
      </c>
      <c r="K87" s="26" t="n">
        <f aca="false">IF(ISNUMBER(G87),G87-E87,F87-E87)</f>
        <v>0</v>
      </c>
      <c r="L87" s="12" t="str">
        <f aca="false">IF(ISNUMBER(G87),"Completed",IF(F87&lt;AsOfDate,"Overdue",IF(F87-E87&gt;MilestoneAtRiskDays,"At Risk","On Track")))</f>
        <v>Completed</v>
      </c>
      <c r="M87" s="12" t="str">
        <f aca="false">IF(COUNTIF(Invoices!$C$2:$C$2000,A87)&gt;0,"Yes","No")</f>
        <v>Yes</v>
      </c>
    </row>
    <row r="88" customFormat="false" ht="15" hidden="false" customHeight="false" outlineLevel="0" collapsed="false">
      <c r="A88" s="18" t="s">
        <v>2534</v>
      </c>
      <c r="B88" s="18" t="s">
        <v>277</v>
      </c>
      <c r="C88" s="18" t="s">
        <v>2446</v>
      </c>
      <c r="D88" s="18" t="s">
        <v>382</v>
      </c>
      <c r="E88" s="19" t="n">
        <v>45862</v>
      </c>
      <c r="F88" s="19" t="n">
        <v>45862</v>
      </c>
      <c r="G88" s="19" t="n">
        <v>45862</v>
      </c>
      <c r="H88" s="18" t="s">
        <v>513</v>
      </c>
      <c r="I88" s="24" t="n">
        <v>0.2</v>
      </c>
      <c r="J88" s="14" t="n">
        <f aca="false">IF(H88="Yes",I88*INDEX(Projects!$R$2:$R$500,MATCH(B88,Projects!$A$2:$A$500,0)),0)</f>
        <v>124000</v>
      </c>
      <c r="K88" s="26" t="n">
        <f aca="false">IF(ISNUMBER(G88),G88-E88,F88-E88)</f>
        <v>0</v>
      </c>
      <c r="L88" s="12" t="str">
        <f aca="false">IF(ISNUMBER(G88),"Completed",IF(F88&lt;AsOfDate,"Overdue",IF(F88-E88&gt;MilestoneAtRiskDays,"At Risk","On Track")))</f>
        <v>Completed</v>
      </c>
      <c r="M88" s="12" t="str">
        <f aca="false">IF(COUNTIF(Invoices!$C$2:$C$2000,A88)&gt;0,"Yes","No")</f>
        <v>Yes</v>
      </c>
    </row>
    <row r="89" customFormat="false" ht="15" hidden="false" customHeight="false" outlineLevel="0" collapsed="false">
      <c r="A89" s="18" t="s">
        <v>2535</v>
      </c>
      <c r="B89" s="18" t="s">
        <v>277</v>
      </c>
      <c r="C89" s="18" t="s">
        <v>2448</v>
      </c>
      <c r="D89" s="18" t="s">
        <v>686</v>
      </c>
      <c r="E89" s="19" t="n">
        <v>45950</v>
      </c>
      <c r="F89" s="19" t="n">
        <v>45950</v>
      </c>
      <c r="G89" s="19" t="n">
        <v>45950</v>
      </c>
      <c r="H89" s="18" t="s">
        <v>513</v>
      </c>
      <c r="I89" s="24" t="n">
        <v>0.3</v>
      </c>
      <c r="J89" s="14" t="n">
        <f aca="false">IF(H89="Yes",I89*INDEX(Projects!$R$2:$R$500,MATCH(B89,Projects!$A$2:$A$500,0)),0)</f>
        <v>186000</v>
      </c>
      <c r="K89" s="26" t="n">
        <f aca="false">IF(ISNUMBER(G89),G89-E89,F89-E89)</f>
        <v>0</v>
      </c>
      <c r="L89" s="12" t="str">
        <f aca="false">IF(ISNUMBER(G89),"Completed",IF(F89&lt;AsOfDate,"Overdue",IF(F89-E89&gt;MilestoneAtRiskDays,"At Risk","On Track")))</f>
        <v>Completed</v>
      </c>
      <c r="M89" s="12" t="str">
        <f aca="false">IF(COUNTIF(Invoices!$C$2:$C$2000,A89)&gt;0,"Yes","No")</f>
        <v>Yes</v>
      </c>
    </row>
    <row r="90" customFormat="false" ht="15" hidden="false" customHeight="false" outlineLevel="0" collapsed="false">
      <c r="A90" s="18" t="s">
        <v>2536</v>
      </c>
      <c r="B90" s="18" t="s">
        <v>277</v>
      </c>
      <c r="C90" s="18" t="s">
        <v>2450</v>
      </c>
      <c r="D90" s="18" t="s">
        <v>690</v>
      </c>
      <c r="E90" s="19" t="n">
        <v>45989</v>
      </c>
      <c r="F90" s="19" t="n">
        <v>45989</v>
      </c>
      <c r="G90" s="19" t="n">
        <v>45989</v>
      </c>
      <c r="H90" s="18" t="s">
        <v>513</v>
      </c>
      <c r="I90" s="24" t="n">
        <v>0.2</v>
      </c>
      <c r="J90" s="14" t="n">
        <f aca="false">IF(H90="Yes",I90*INDEX(Projects!$R$2:$R$500,MATCH(B90,Projects!$A$2:$A$500,0)),0)</f>
        <v>124000</v>
      </c>
      <c r="K90" s="26" t="n">
        <f aca="false">IF(ISNUMBER(G90),G90-E90,F90-E90)</f>
        <v>0</v>
      </c>
      <c r="L90" s="12" t="str">
        <f aca="false">IF(ISNUMBER(G90),"Completed",IF(F90&lt;AsOfDate,"Overdue",IF(F90-E90&gt;MilestoneAtRiskDays,"At Risk","On Track")))</f>
        <v>Completed</v>
      </c>
      <c r="M90" s="12" t="str">
        <f aca="false">IF(COUNTIF(Invoices!$C$2:$C$2000,A90)&gt;0,"Yes","No")</f>
        <v>Yes</v>
      </c>
    </row>
    <row r="91" customFormat="false" ht="15" hidden="false" customHeight="false" outlineLevel="0" collapsed="false">
      <c r="A91" s="18" t="s">
        <v>2537</v>
      </c>
      <c r="B91" s="18" t="s">
        <v>277</v>
      </c>
      <c r="C91" s="18" t="s">
        <v>2452</v>
      </c>
      <c r="D91" s="18" t="s">
        <v>694</v>
      </c>
      <c r="E91" s="19" t="n">
        <v>46010</v>
      </c>
      <c r="F91" s="19" t="n">
        <v>46010</v>
      </c>
      <c r="G91" s="19" t="n">
        <v>46010</v>
      </c>
      <c r="H91" s="18" t="s">
        <v>513</v>
      </c>
      <c r="I91" s="24" t="n">
        <v>0.2</v>
      </c>
      <c r="J91" s="14" t="n">
        <f aca="false">IF(H91="Yes",I91*INDEX(Projects!$R$2:$R$500,MATCH(B91,Projects!$A$2:$A$500,0)),0)</f>
        <v>124000</v>
      </c>
      <c r="K91" s="26" t="n">
        <f aca="false">IF(ISNUMBER(G91),G91-E91,F91-E91)</f>
        <v>0</v>
      </c>
      <c r="L91" s="12" t="str">
        <f aca="false">IF(ISNUMBER(G91),"Completed",IF(F91&lt;AsOfDate,"Overdue",IF(F91-E91&gt;MilestoneAtRiskDays,"At Risk","On Track")))</f>
        <v>Completed</v>
      </c>
      <c r="M91" s="12" t="str">
        <f aca="false">IF(COUNTIF(Invoices!$C$2:$C$2000,A91)&gt;0,"Yes","No")</f>
        <v>Yes</v>
      </c>
    </row>
    <row r="92" customFormat="false" ht="15" hidden="false" customHeight="false" outlineLevel="0" collapsed="false">
      <c r="A92" s="18" t="s">
        <v>2538</v>
      </c>
      <c r="B92" s="18" t="s">
        <v>281</v>
      </c>
      <c r="C92" s="18" t="s">
        <v>2444</v>
      </c>
      <c r="D92" s="18" t="s">
        <v>678</v>
      </c>
      <c r="E92" s="19" t="n">
        <v>45811</v>
      </c>
      <c r="F92" s="19" t="n">
        <v>45813</v>
      </c>
      <c r="G92" s="19" t="n">
        <v>45813</v>
      </c>
      <c r="H92" s="18" t="s">
        <v>513</v>
      </c>
      <c r="I92" s="24" t="n">
        <v>0.1</v>
      </c>
      <c r="J92" s="14" t="n">
        <f aca="false">IF(H92="Yes",I92*INDEX(Projects!$R$2:$R$500,MATCH(B92,Projects!$A$2:$A$500,0)),0)</f>
        <v>98500</v>
      </c>
      <c r="K92" s="26" t="n">
        <f aca="false">IF(ISNUMBER(G92),G92-E92,F92-E92)</f>
        <v>2</v>
      </c>
      <c r="L92" s="12" t="str">
        <f aca="false">IF(ISNUMBER(G92),"Completed",IF(F92&lt;AsOfDate,"Overdue",IF(F92-E92&gt;MilestoneAtRiskDays,"At Risk","On Track")))</f>
        <v>Completed</v>
      </c>
      <c r="M92" s="12" t="str">
        <f aca="false">IF(COUNTIF(Invoices!$C$2:$C$2000,A92)&gt;0,"Yes","No")</f>
        <v>Yes</v>
      </c>
    </row>
    <row r="93" customFormat="false" ht="15" hidden="false" customHeight="false" outlineLevel="0" collapsed="false">
      <c r="A93" s="18" t="s">
        <v>2539</v>
      </c>
      <c r="B93" s="18" t="s">
        <v>281</v>
      </c>
      <c r="C93" s="18" t="s">
        <v>2446</v>
      </c>
      <c r="D93" s="18" t="s">
        <v>382</v>
      </c>
      <c r="E93" s="19" t="n">
        <v>45859</v>
      </c>
      <c r="F93" s="19" t="n">
        <v>45866</v>
      </c>
      <c r="G93" s="19" t="n">
        <v>45866</v>
      </c>
      <c r="H93" s="18" t="s">
        <v>513</v>
      </c>
      <c r="I93" s="24" t="n">
        <v>0.2</v>
      </c>
      <c r="J93" s="14" t="n">
        <f aca="false">IF(H93="Yes",I93*INDEX(Projects!$R$2:$R$500,MATCH(B93,Projects!$A$2:$A$500,0)),0)</f>
        <v>197000</v>
      </c>
      <c r="K93" s="26" t="n">
        <f aca="false">IF(ISNUMBER(G93),G93-E93,F93-E93)</f>
        <v>7</v>
      </c>
      <c r="L93" s="12" t="str">
        <f aca="false">IF(ISNUMBER(G93),"Completed",IF(F93&lt;AsOfDate,"Overdue",IF(F93-E93&gt;MilestoneAtRiskDays,"At Risk","On Track")))</f>
        <v>Completed</v>
      </c>
      <c r="M93" s="12" t="str">
        <f aca="false">IF(COUNTIF(Invoices!$C$2:$C$2000,A93)&gt;0,"Yes","No")</f>
        <v>Yes</v>
      </c>
    </row>
    <row r="94" customFormat="false" ht="15" hidden="false" customHeight="false" outlineLevel="0" collapsed="false">
      <c r="A94" s="18" t="s">
        <v>2540</v>
      </c>
      <c r="B94" s="18" t="s">
        <v>281</v>
      </c>
      <c r="C94" s="18" t="s">
        <v>2448</v>
      </c>
      <c r="D94" s="18" t="s">
        <v>686</v>
      </c>
      <c r="E94" s="19" t="n">
        <v>45989</v>
      </c>
      <c r="F94" s="19" t="n">
        <v>46015</v>
      </c>
      <c r="G94" s="19" t="n">
        <v>46015</v>
      </c>
      <c r="H94" s="18" t="s">
        <v>513</v>
      </c>
      <c r="I94" s="24" t="n">
        <v>0.3</v>
      </c>
      <c r="J94" s="14" t="n">
        <f aca="false">IF(H94="Yes",I94*INDEX(Projects!$R$2:$R$500,MATCH(B94,Projects!$A$2:$A$500,0)),0)</f>
        <v>295500</v>
      </c>
      <c r="K94" s="26" t="n">
        <f aca="false">IF(ISNUMBER(G94),G94-E94,F94-E94)</f>
        <v>26</v>
      </c>
      <c r="L94" s="12" t="str">
        <f aca="false">IF(ISNUMBER(G94),"Completed",IF(F94&lt;AsOfDate,"Overdue",IF(F94-E94&gt;MilestoneAtRiskDays,"At Risk","On Track")))</f>
        <v>Completed</v>
      </c>
      <c r="M94" s="12" t="str">
        <f aca="false">IF(COUNTIF(Invoices!$C$2:$C$2000,A94)&gt;0,"Yes","No")</f>
        <v>Yes</v>
      </c>
    </row>
    <row r="95" customFormat="false" ht="15" hidden="false" customHeight="false" outlineLevel="0" collapsed="false">
      <c r="A95" s="18" t="s">
        <v>2541</v>
      </c>
      <c r="B95" s="18" t="s">
        <v>281</v>
      </c>
      <c r="C95" s="18" t="s">
        <v>2450</v>
      </c>
      <c r="D95" s="18" t="s">
        <v>690</v>
      </c>
      <c r="E95" s="19" t="n">
        <v>46050</v>
      </c>
      <c r="F95" s="19" t="n">
        <v>46086</v>
      </c>
      <c r="G95" s="19" t="n">
        <v>46086</v>
      </c>
      <c r="H95" s="18" t="s">
        <v>513</v>
      </c>
      <c r="I95" s="24" t="n">
        <v>0.2</v>
      </c>
      <c r="J95" s="14" t="n">
        <f aca="false">IF(H95="Yes",I95*INDEX(Projects!$R$2:$R$500,MATCH(B95,Projects!$A$2:$A$500,0)),0)</f>
        <v>197000</v>
      </c>
      <c r="K95" s="26" t="n">
        <f aca="false">IF(ISNUMBER(G95),G95-E95,F95-E95)</f>
        <v>36</v>
      </c>
      <c r="L95" s="12" t="str">
        <f aca="false">IF(ISNUMBER(G95),"Completed",IF(F95&lt;AsOfDate,"Overdue",IF(F95-E95&gt;MilestoneAtRiskDays,"At Risk","On Track")))</f>
        <v>Completed</v>
      </c>
      <c r="M95" s="12" t="str">
        <f aca="false">IF(COUNTIF(Invoices!$C$2:$C$2000,A95)&gt;0,"Yes","No")</f>
        <v>Yes</v>
      </c>
    </row>
    <row r="96" customFormat="false" ht="15" hidden="false" customHeight="false" outlineLevel="0" collapsed="false">
      <c r="A96" s="18" t="s">
        <v>2542</v>
      </c>
      <c r="B96" s="18" t="s">
        <v>281</v>
      </c>
      <c r="C96" s="18" t="s">
        <v>2452</v>
      </c>
      <c r="D96" s="18" t="s">
        <v>694</v>
      </c>
      <c r="E96" s="19" t="n">
        <v>46080</v>
      </c>
      <c r="F96" s="19" t="n">
        <v>46122</v>
      </c>
      <c r="G96" s="19" t="n">
        <v>46122</v>
      </c>
      <c r="H96" s="18" t="s">
        <v>513</v>
      </c>
      <c r="I96" s="24" t="n">
        <v>0.2</v>
      </c>
      <c r="J96" s="14" t="n">
        <f aca="false">IF(H96="Yes",I96*INDEX(Projects!$R$2:$R$500,MATCH(B96,Projects!$A$2:$A$500,0)),0)</f>
        <v>197000</v>
      </c>
      <c r="K96" s="26" t="n">
        <f aca="false">IF(ISNUMBER(G96),G96-E96,F96-E96)</f>
        <v>42</v>
      </c>
      <c r="L96" s="12" t="str">
        <f aca="false">IF(ISNUMBER(G96),"Completed",IF(F96&lt;AsOfDate,"Overdue",IF(F96-E96&gt;MilestoneAtRiskDays,"At Risk","On Track")))</f>
        <v>Completed</v>
      </c>
      <c r="M96" s="12" t="str">
        <f aca="false">IF(COUNTIF(Invoices!$C$2:$C$2000,A96)&gt;0,"Yes","No")</f>
        <v>Yes</v>
      </c>
    </row>
    <row r="97" customFormat="false" ht="15" hidden="false" customHeight="false" outlineLevel="0" collapsed="false">
      <c r="A97" s="18" t="s">
        <v>2543</v>
      </c>
      <c r="B97" s="18" t="s">
        <v>283</v>
      </c>
      <c r="C97" s="18" t="s">
        <v>2444</v>
      </c>
      <c r="D97" s="18" t="s">
        <v>678</v>
      </c>
      <c r="E97" s="19" t="n">
        <v>45965</v>
      </c>
      <c r="F97" s="19" t="n">
        <v>45965</v>
      </c>
      <c r="G97" s="19" t="n">
        <v>45965</v>
      </c>
      <c r="H97" s="18" t="s">
        <v>527</v>
      </c>
      <c r="I97" s="24" t="n">
        <v>0</v>
      </c>
      <c r="J97" s="14" t="n">
        <f aca="false">IF(H97="Yes",I97*INDEX(Projects!$R$2:$R$500,MATCH(B97,Projects!$A$2:$A$500,0)),0)</f>
        <v>0</v>
      </c>
      <c r="K97" s="26" t="n">
        <f aca="false">IF(ISNUMBER(G97),G97-E97,F97-E97)</f>
        <v>0</v>
      </c>
      <c r="L97" s="12" t="str">
        <f aca="false">IF(ISNUMBER(G97),"Completed",IF(F97&lt;AsOfDate,"Overdue",IF(F97-E97&gt;MilestoneAtRiskDays,"At Risk","On Track")))</f>
        <v>Completed</v>
      </c>
      <c r="M97" s="12" t="str">
        <f aca="false">IF(COUNTIF(Invoices!$C$2:$C$2000,A97)&gt;0,"Yes","No")</f>
        <v>No</v>
      </c>
    </row>
    <row r="98" customFormat="false" ht="15" hidden="false" customHeight="false" outlineLevel="0" collapsed="false">
      <c r="A98" s="18" t="s">
        <v>2544</v>
      </c>
      <c r="B98" s="18" t="s">
        <v>283</v>
      </c>
      <c r="C98" s="18" t="s">
        <v>2446</v>
      </c>
      <c r="D98" s="18" t="s">
        <v>382</v>
      </c>
      <c r="E98" s="19" t="n">
        <v>46002</v>
      </c>
      <c r="F98" s="19" t="n">
        <v>46002</v>
      </c>
      <c r="G98" s="19" t="n">
        <v>46002</v>
      </c>
      <c r="H98" s="18" t="s">
        <v>527</v>
      </c>
      <c r="I98" s="24" t="n">
        <v>0</v>
      </c>
      <c r="J98" s="14" t="n">
        <f aca="false">IF(H98="Yes",I98*INDEX(Projects!$R$2:$R$500,MATCH(B98,Projects!$A$2:$A$500,0)),0)</f>
        <v>0</v>
      </c>
      <c r="K98" s="26" t="n">
        <f aca="false">IF(ISNUMBER(G98),G98-E98,F98-E98)</f>
        <v>0</v>
      </c>
      <c r="L98" s="12" t="str">
        <f aca="false">IF(ISNUMBER(G98),"Completed",IF(F98&lt;AsOfDate,"Overdue",IF(F98-E98&gt;MilestoneAtRiskDays,"At Risk","On Track")))</f>
        <v>Completed</v>
      </c>
      <c r="M98" s="12" t="str">
        <f aca="false">IF(COUNTIF(Invoices!$C$2:$C$2000,A98)&gt;0,"Yes","No")</f>
        <v>No</v>
      </c>
    </row>
    <row r="99" customFormat="false" ht="15" hidden="false" customHeight="false" outlineLevel="0" collapsed="false">
      <c r="A99" s="18" t="s">
        <v>2545</v>
      </c>
      <c r="B99" s="18" t="s">
        <v>283</v>
      </c>
      <c r="C99" s="18" t="s">
        <v>2448</v>
      </c>
      <c r="D99" s="18" t="s">
        <v>686</v>
      </c>
      <c r="E99" s="19" t="n">
        <v>46101</v>
      </c>
      <c r="F99" s="19" t="n">
        <v>46104</v>
      </c>
      <c r="G99" s="19" t="n">
        <v>46104</v>
      </c>
      <c r="H99" s="18" t="s">
        <v>527</v>
      </c>
      <c r="I99" s="24" t="n">
        <v>0</v>
      </c>
      <c r="J99" s="14" t="n">
        <f aca="false">IF(H99="Yes",I99*INDEX(Projects!$R$2:$R$500,MATCH(B99,Projects!$A$2:$A$500,0)),0)</f>
        <v>0</v>
      </c>
      <c r="K99" s="26" t="n">
        <f aca="false">IF(ISNUMBER(G99),G99-E99,F99-E99)</f>
        <v>3</v>
      </c>
      <c r="L99" s="12" t="str">
        <f aca="false">IF(ISNUMBER(G99),"Completed",IF(F99&lt;AsOfDate,"Overdue",IF(F99-E99&gt;MilestoneAtRiskDays,"At Risk","On Track")))</f>
        <v>Completed</v>
      </c>
      <c r="M99" s="12" t="str">
        <f aca="false">IF(COUNTIF(Invoices!$C$2:$C$2000,A99)&gt;0,"Yes","No")</f>
        <v>No</v>
      </c>
    </row>
    <row r="100" customFormat="false" ht="15" hidden="false" customHeight="false" outlineLevel="0" collapsed="false">
      <c r="A100" s="18" t="s">
        <v>2546</v>
      </c>
      <c r="B100" s="18" t="s">
        <v>283</v>
      </c>
      <c r="C100" s="18" t="s">
        <v>2450</v>
      </c>
      <c r="D100" s="18" t="s">
        <v>690</v>
      </c>
      <c r="E100" s="19" t="n">
        <v>46148</v>
      </c>
      <c r="F100" s="19" t="n">
        <v>46150</v>
      </c>
      <c r="G100" s="19" t="n">
        <v>46150</v>
      </c>
      <c r="H100" s="18" t="s">
        <v>527</v>
      </c>
      <c r="I100" s="24" t="n">
        <v>0</v>
      </c>
      <c r="J100" s="14" t="n">
        <f aca="false">IF(H100="Yes",I100*INDEX(Projects!$R$2:$R$500,MATCH(B100,Projects!$A$2:$A$500,0)),0)</f>
        <v>0</v>
      </c>
      <c r="K100" s="26" t="n">
        <f aca="false">IF(ISNUMBER(G100),G100-E100,F100-E100)</f>
        <v>2</v>
      </c>
      <c r="L100" s="12" t="str">
        <f aca="false">IF(ISNUMBER(G100),"Completed",IF(F100&lt;AsOfDate,"Overdue",IF(F100-E100&gt;MilestoneAtRiskDays,"At Risk","On Track")))</f>
        <v>Completed</v>
      </c>
      <c r="M100" s="12" t="str">
        <f aca="false">IF(COUNTIF(Invoices!$C$2:$C$2000,A100)&gt;0,"Yes","No")</f>
        <v>No</v>
      </c>
    </row>
    <row r="101" customFormat="false" ht="15" hidden="false" customHeight="false" outlineLevel="0" collapsed="false">
      <c r="A101" s="18" t="s">
        <v>2547</v>
      </c>
      <c r="B101" s="18" t="s">
        <v>283</v>
      </c>
      <c r="C101" s="18" t="s">
        <v>2452</v>
      </c>
      <c r="D101" s="18" t="s">
        <v>694</v>
      </c>
      <c r="E101" s="19" t="n">
        <v>46171</v>
      </c>
      <c r="F101" s="19" t="n">
        <v>46174</v>
      </c>
      <c r="G101" s="19" t="n">
        <v>46174</v>
      </c>
      <c r="H101" s="18" t="s">
        <v>527</v>
      </c>
      <c r="I101" s="24" t="n">
        <v>0</v>
      </c>
      <c r="J101" s="14" t="n">
        <f aca="false">IF(H101="Yes",I101*INDEX(Projects!$R$2:$R$500,MATCH(B101,Projects!$A$2:$A$500,0)),0)</f>
        <v>0</v>
      </c>
      <c r="K101" s="26" t="n">
        <f aca="false">IF(ISNUMBER(G101),G101-E101,F101-E101)</f>
        <v>3</v>
      </c>
      <c r="L101" s="12" t="str">
        <f aca="false">IF(ISNUMBER(G101),"Completed",IF(F101&lt;AsOfDate,"Overdue",IF(F101-E101&gt;MilestoneAtRiskDays,"At Risk","On Track")))</f>
        <v>Completed</v>
      </c>
      <c r="M101" s="12" t="str">
        <f aca="false">IF(COUNTIF(Invoices!$C$2:$C$2000,A101)&gt;0,"Yes","No")</f>
        <v>No</v>
      </c>
    </row>
    <row r="102" customFormat="false" ht="15" hidden="false" customHeight="false" outlineLevel="0" collapsed="false">
      <c r="A102" s="18" t="s">
        <v>2548</v>
      </c>
      <c r="B102" s="18" t="s">
        <v>285</v>
      </c>
      <c r="C102" s="18" t="s">
        <v>2444</v>
      </c>
      <c r="D102" s="18" t="s">
        <v>678</v>
      </c>
      <c r="E102" s="19" t="n">
        <v>46091</v>
      </c>
      <c r="F102" s="19" t="n">
        <v>46097</v>
      </c>
      <c r="G102" s="19" t="n">
        <v>46097</v>
      </c>
      <c r="H102" s="18" t="s">
        <v>513</v>
      </c>
      <c r="I102" s="24" t="n">
        <v>0.1</v>
      </c>
      <c r="J102" s="14" t="n">
        <f aca="false">IF(H102="Yes",I102*INDEX(Projects!$R$2:$R$500,MATCH(B102,Projects!$A$2:$A$500,0)),0)</f>
        <v>62500</v>
      </c>
      <c r="K102" s="26" t="n">
        <f aca="false">IF(ISNUMBER(G102),G102-E102,F102-E102)</f>
        <v>6</v>
      </c>
      <c r="L102" s="12" t="str">
        <f aca="false">IF(ISNUMBER(G102),"Completed",IF(F102&lt;AsOfDate,"Overdue",IF(F102-E102&gt;MilestoneAtRiskDays,"At Risk","On Track")))</f>
        <v>Completed</v>
      </c>
      <c r="M102" s="12" t="str">
        <f aca="false">IF(COUNTIF(Invoices!$C$2:$C$2000,A102)&gt;0,"Yes","No")</f>
        <v>Yes</v>
      </c>
    </row>
    <row r="103" customFormat="false" ht="15" hidden="false" customHeight="false" outlineLevel="0" collapsed="false">
      <c r="A103" s="18" t="s">
        <v>2549</v>
      </c>
      <c r="B103" s="18" t="s">
        <v>285</v>
      </c>
      <c r="C103" s="18" t="s">
        <v>2446</v>
      </c>
      <c r="D103" s="18" t="s">
        <v>382</v>
      </c>
      <c r="E103" s="19" t="n">
        <v>46139</v>
      </c>
      <c r="F103" s="19" t="n">
        <v>46154</v>
      </c>
      <c r="G103" s="19" t="n">
        <v>46154</v>
      </c>
      <c r="H103" s="18" t="s">
        <v>513</v>
      </c>
      <c r="I103" s="24" t="n">
        <v>0.2</v>
      </c>
      <c r="J103" s="14" t="n">
        <f aca="false">IF(H103="Yes",I103*INDEX(Projects!$R$2:$R$500,MATCH(B103,Projects!$A$2:$A$500,0)),0)</f>
        <v>125000</v>
      </c>
      <c r="K103" s="26" t="n">
        <f aca="false">IF(ISNUMBER(G103),G103-E103,F103-E103)</f>
        <v>15</v>
      </c>
      <c r="L103" s="12" t="str">
        <f aca="false">IF(ISNUMBER(G103),"Completed",IF(F103&lt;AsOfDate,"Overdue",IF(F103-E103&gt;MilestoneAtRiskDays,"At Risk","On Track")))</f>
        <v>Completed</v>
      </c>
      <c r="M103" s="12" t="str">
        <f aca="false">IF(COUNTIF(Invoices!$C$2:$C$2000,A103)&gt;0,"Yes","No")</f>
        <v>Yes</v>
      </c>
    </row>
    <row r="104" customFormat="false" ht="15" hidden="false" customHeight="false" outlineLevel="0" collapsed="false">
      <c r="A104" s="18" t="s">
        <v>2550</v>
      </c>
      <c r="B104" s="18" t="s">
        <v>285</v>
      </c>
      <c r="C104" s="18" t="s">
        <v>2448</v>
      </c>
      <c r="D104" s="18" t="s">
        <v>686</v>
      </c>
      <c r="E104" s="19" t="n">
        <v>46269</v>
      </c>
      <c r="F104" s="19" t="n">
        <v>46325</v>
      </c>
      <c r="G104" s="19"/>
      <c r="H104" s="18" t="s">
        <v>513</v>
      </c>
      <c r="I104" s="24" t="n">
        <v>0.3</v>
      </c>
      <c r="J104" s="14" t="n">
        <f aca="false">IF(H104="Yes",I104*INDEX(Projects!$R$2:$R$500,MATCH(B104,Projects!$A$2:$A$500,0)),0)</f>
        <v>187500</v>
      </c>
      <c r="K104" s="26" t="n">
        <f aca="false">IF(ISNUMBER(G104),G104-E104,F104-E104)</f>
        <v>56</v>
      </c>
      <c r="L104" s="12" t="str">
        <f aca="false">IF(ISNUMBER(G104),"Completed",IF(F104&lt;AsOfDate,"Overdue",IF(F104-E104&gt;MilestoneAtRiskDays,"At Risk","On Track")))</f>
        <v>At Risk</v>
      </c>
      <c r="M104" s="12" t="str">
        <f aca="false">IF(COUNTIF(Invoices!$C$2:$C$2000,A104)&gt;0,"Yes","No")</f>
        <v>No</v>
      </c>
    </row>
    <row r="105" customFormat="false" ht="15" hidden="false" customHeight="false" outlineLevel="0" collapsed="false">
      <c r="A105" s="18" t="s">
        <v>2551</v>
      </c>
      <c r="B105" s="18" t="s">
        <v>285</v>
      </c>
      <c r="C105" s="18" t="s">
        <v>2450</v>
      </c>
      <c r="D105" s="18" t="s">
        <v>690</v>
      </c>
      <c r="E105" s="19" t="n">
        <v>46330</v>
      </c>
      <c r="F105" s="19" t="n">
        <v>46408</v>
      </c>
      <c r="G105" s="19"/>
      <c r="H105" s="18" t="s">
        <v>513</v>
      </c>
      <c r="I105" s="24" t="n">
        <v>0.2</v>
      </c>
      <c r="J105" s="14" t="n">
        <f aca="false">IF(H105="Yes",I105*INDEX(Projects!$R$2:$R$500,MATCH(B105,Projects!$A$2:$A$500,0)),0)</f>
        <v>125000</v>
      </c>
      <c r="K105" s="26" t="n">
        <f aca="false">IF(ISNUMBER(G105),G105-E105,F105-E105)</f>
        <v>78</v>
      </c>
      <c r="L105" s="12" t="str">
        <f aca="false">IF(ISNUMBER(G105),"Completed",IF(F105&lt;AsOfDate,"Overdue",IF(F105-E105&gt;MilestoneAtRiskDays,"At Risk","On Track")))</f>
        <v>At Risk</v>
      </c>
      <c r="M105" s="12" t="str">
        <f aca="false">IF(COUNTIF(Invoices!$C$2:$C$2000,A105)&gt;0,"Yes","No")</f>
        <v>No</v>
      </c>
    </row>
    <row r="106" customFormat="false" ht="15" hidden="false" customHeight="false" outlineLevel="0" collapsed="false">
      <c r="A106" s="18" t="s">
        <v>2552</v>
      </c>
      <c r="B106" s="18" t="s">
        <v>285</v>
      </c>
      <c r="C106" s="18" t="s">
        <v>2452</v>
      </c>
      <c r="D106" s="18" t="s">
        <v>694</v>
      </c>
      <c r="E106" s="19" t="n">
        <v>46360</v>
      </c>
      <c r="F106" s="19" t="n">
        <v>46450</v>
      </c>
      <c r="G106" s="19"/>
      <c r="H106" s="18" t="s">
        <v>513</v>
      </c>
      <c r="I106" s="24" t="n">
        <v>0.2</v>
      </c>
      <c r="J106" s="14" t="n">
        <f aca="false">IF(H106="Yes",I106*INDEX(Projects!$R$2:$R$500,MATCH(B106,Projects!$A$2:$A$500,0)),0)</f>
        <v>125000</v>
      </c>
      <c r="K106" s="26" t="n">
        <f aca="false">IF(ISNUMBER(G106),G106-E106,F106-E106)</f>
        <v>90</v>
      </c>
      <c r="L106" s="12" t="str">
        <f aca="false">IF(ISNUMBER(G106),"Completed",IF(F106&lt;AsOfDate,"Overdue",IF(F106-E106&gt;MilestoneAtRiskDays,"At Risk","On Track")))</f>
        <v>At Risk</v>
      </c>
      <c r="M106" s="12" t="str">
        <f aca="false">IF(COUNTIF(Invoices!$C$2:$C$2000,A106)&gt;0,"Yes","No")</f>
        <v>No</v>
      </c>
    </row>
    <row r="107" customFormat="false" ht="15" hidden="false" customHeight="false" outlineLevel="0" collapsed="false">
      <c r="A107" s="18" t="s">
        <v>2553</v>
      </c>
      <c r="B107" s="18" t="s">
        <v>288</v>
      </c>
      <c r="C107" s="18" t="s">
        <v>2444</v>
      </c>
      <c r="D107" s="18" t="s">
        <v>678</v>
      </c>
      <c r="E107" s="19" t="n">
        <v>46323</v>
      </c>
      <c r="F107" s="19" t="n">
        <v>46323</v>
      </c>
      <c r="G107" s="19"/>
      <c r="H107" s="18" t="s">
        <v>513</v>
      </c>
      <c r="I107" s="24" t="n">
        <v>0.1</v>
      </c>
      <c r="J107" s="14" t="n">
        <f aca="false">IF(H107="Yes",I107*INDEX(Projects!$R$2:$R$500,MATCH(B107,Projects!$A$2:$A$500,0)),0)</f>
        <v>51500</v>
      </c>
      <c r="K107" s="26" t="n">
        <f aca="false">IF(ISNUMBER(G107),G107-E107,F107-E107)</f>
        <v>0</v>
      </c>
      <c r="L107" s="12" t="str">
        <f aca="false">IF(ISNUMBER(G107),"Completed",IF(F107&lt;AsOfDate,"Overdue",IF(F107-E107&gt;MilestoneAtRiskDays,"At Risk","On Track")))</f>
        <v>On Track</v>
      </c>
      <c r="M107" s="12" t="str">
        <f aca="false">IF(COUNTIF(Invoices!$C$2:$C$2000,A107)&gt;0,"Yes","No")</f>
        <v>No</v>
      </c>
    </row>
    <row r="108" customFormat="false" ht="15" hidden="false" customHeight="false" outlineLevel="0" collapsed="false">
      <c r="A108" s="18" t="s">
        <v>2554</v>
      </c>
      <c r="B108" s="18" t="s">
        <v>288</v>
      </c>
      <c r="C108" s="18" t="s">
        <v>2446</v>
      </c>
      <c r="D108" s="18" t="s">
        <v>382</v>
      </c>
      <c r="E108" s="19" t="n">
        <v>46360</v>
      </c>
      <c r="F108" s="19" t="n">
        <v>46360</v>
      </c>
      <c r="G108" s="19"/>
      <c r="H108" s="18" t="s">
        <v>513</v>
      </c>
      <c r="I108" s="24" t="n">
        <v>0.2</v>
      </c>
      <c r="J108" s="14" t="n">
        <f aca="false">IF(H108="Yes",I108*INDEX(Projects!$R$2:$R$500,MATCH(B108,Projects!$A$2:$A$500,0)),0)</f>
        <v>103000</v>
      </c>
      <c r="K108" s="26" t="n">
        <f aca="false">IF(ISNUMBER(G108),G108-E108,F108-E108)</f>
        <v>0</v>
      </c>
      <c r="L108" s="12" t="str">
        <f aca="false">IF(ISNUMBER(G108),"Completed",IF(F108&lt;AsOfDate,"Overdue",IF(F108-E108&gt;MilestoneAtRiskDays,"At Risk","On Track")))</f>
        <v>On Track</v>
      </c>
      <c r="M108" s="12" t="str">
        <f aca="false">IF(COUNTIF(Invoices!$C$2:$C$2000,A108)&gt;0,"Yes","No")</f>
        <v>No</v>
      </c>
    </row>
    <row r="109" customFormat="false" ht="15" hidden="false" customHeight="false" outlineLevel="0" collapsed="false">
      <c r="A109" s="18" t="s">
        <v>2555</v>
      </c>
      <c r="B109" s="18" t="s">
        <v>288</v>
      </c>
      <c r="C109" s="18" t="s">
        <v>2448</v>
      </c>
      <c r="D109" s="18" t="s">
        <v>686</v>
      </c>
      <c r="E109" s="19" t="n">
        <v>46464</v>
      </c>
      <c r="F109" s="19" t="n">
        <v>46464</v>
      </c>
      <c r="G109" s="19"/>
      <c r="H109" s="18" t="s">
        <v>513</v>
      </c>
      <c r="I109" s="24" t="n">
        <v>0.3</v>
      </c>
      <c r="J109" s="14" t="n">
        <f aca="false">IF(H109="Yes",I109*INDEX(Projects!$R$2:$R$500,MATCH(B109,Projects!$A$2:$A$500,0)),0)</f>
        <v>154500</v>
      </c>
      <c r="K109" s="26" t="n">
        <f aca="false">IF(ISNUMBER(G109),G109-E109,F109-E109)</f>
        <v>0</v>
      </c>
      <c r="L109" s="12" t="str">
        <f aca="false">IF(ISNUMBER(G109),"Completed",IF(F109&lt;AsOfDate,"Overdue",IF(F109-E109&gt;MilestoneAtRiskDays,"At Risk","On Track")))</f>
        <v>On Track</v>
      </c>
      <c r="M109" s="12" t="str">
        <f aca="false">IF(COUNTIF(Invoices!$C$2:$C$2000,A109)&gt;0,"Yes","No")</f>
        <v>No</v>
      </c>
    </row>
    <row r="110" customFormat="false" ht="15" hidden="false" customHeight="false" outlineLevel="0" collapsed="false">
      <c r="A110" s="18" t="s">
        <v>2556</v>
      </c>
      <c r="B110" s="18" t="s">
        <v>288</v>
      </c>
      <c r="C110" s="18" t="s">
        <v>2450</v>
      </c>
      <c r="D110" s="18" t="s">
        <v>690</v>
      </c>
      <c r="E110" s="19" t="n">
        <v>46511</v>
      </c>
      <c r="F110" s="19" t="n">
        <v>46511</v>
      </c>
      <c r="G110" s="19"/>
      <c r="H110" s="18" t="s">
        <v>513</v>
      </c>
      <c r="I110" s="24" t="n">
        <v>0.2</v>
      </c>
      <c r="J110" s="14" t="n">
        <f aca="false">IF(H110="Yes",I110*INDEX(Projects!$R$2:$R$500,MATCH(B110,Projects!$A$2:$A$500,0)),0)</f>
        <v>103000</v>
      </c>
      <c r="K110" s="26" t="n">
        <f aca="false">IF(ISNUMBER(G110),G110-E110,F110-E110)</f>
        <v>0</v>
      </c>
      <c r="L110" s="12" t="str">
        <f aca="false">IF(ISNUMBER(G110),"Completed",IF(F110&lt;AsOfDate,"Overdue",IF(F110-E110&gt;MilestoneAtRiskDays,"At Risk","On Track")))</f>
        <v>On Track</v>
      </c>
      <c r="M110" s="12" t="str">
        <f aca="false">IF(COUNTIF(Invoices!$C$2:$C$2000,A110)&gt;0,"Yes","No")</f>
        <v>No</v>
      </c>
    </row>
    <row r="111" customFormat="false" ht="15" hidden="false" customHeight="false" outlineLevel="0" collapsed="false">
      <c r="A111" s="18" t="s">
        <v>2557</v>
      </c>
      <c r="B111" s="18" t="s">
        <v>288</v>
      </c>
      <c r="C111" s="18" t="s">
        <v>2452</v>
      </c>
      <c r="D111" s="18" t="s">
        <v>694</v>
      </c>
      <c r="E111" s="19" t="n">
        <v>46535</v>
      </c>
      <c r="F111" s="19" t="n">
        <v>46535</v>
      </c>
      <c r="G111" s="19"/>
      <c r="H111" s="18" t="s">
        <v>513</v>
      </c>
      <c r="I111" s="24" t="n">
        <v>0.2</v>
      </c>
      <c r="J111" s="14" t="n">
        <f aca="false">IF(H111="Yes",I111*INDEX(Projects!$R$2:$R$500,MATCH(B111,Projects!$A$2:$A$500,0)),0)</f>
        <v>103000</v>
      </c>
      <c r="K111" s="26" t="n">
        <f aca="false">IF(ISNUMBER(G111),G111-E111,F111-E111)</f>
        <v>0</v>
      </c>
      <c r="L111" s="12" t="str">
        <f aca="false">IF(ISNUMBER(G111),"Completed",IF(F111&lt;AsOfDate,"Overdue",IF(F111-E111&gt;MilestoneAtRiskDays,"At Risk","On Track")))</f>
        <v>On Track</v>
      </c>
      <c r="M111" s="12" t="str">
        <f aca="false">IF(COUNTIF(Invoices!$C$2:$C$2000,A111)&gt;0,"Yes","No")</f>
        <v>No</v>
      </c>
    </row>
    <row r="112" customFormat="false" ht="15" hidden="false" customHeight="false" outlineLevel="0" collapsed="false">
      <c r="A112" s="18" t="s">
        <v>2558</v>
      </c>
      <c r="B112" s="18" t="s">
        <v>292</v>
      </c>
      <c r="C112" s="18" t="s">
        <v>2444</v>
      </c>
      <c r="D112" s="18" t="s">
        <v>678</v>
      </c>
      <c r="E112" s="19" t="n">
        <v>46351</v>
      </c>
      <c r="F112" s="19" t="n">
        <v>46351</v>
      </c>
      <c r="G112" s="19"/>
      <c r="H112" s="18" t="s">
        <v>527</v>
      </c>
      <c r="I112" s="24" t="n">
        <v>0</v>
      </c>
      <c r="J112" s="14" t="n">
        <f aca="false">IF(H112="Yes",I112*INDEX(Projects!$R$2:$R$500,MATCH(B112,Projects!$A$2:$A$500,0)),0)</f>
        <v>0</v>
      </c>
      <c r="K112" s="26" t="n">
        <f aca="false">IF(ISNUMBER(G112),G112-E112,F112-E112)</f>
        <v>0</v>
      </c>
      <c r="L112" s="12" t="str">
        <f aca="false">IF(ISNUMBER(G112),"Completed",IF(F112&lt;AsOfDate,"Overdue",IF(F112-E112&gt;MilestoneAtRiskDays,"At Risk","On Track")))</f>
        <v>On Track</v>
      </c>
      <c r="M112" s="12" t="str">
        <f aca="false">IF(COUNTIF(Invoices!$C$2:$C$2000,A112)&gt;0,"Yes","No")</f>
        <v>No</v>
      </c>
    </row>
    <row r="113" customFormat="false" ht="15" hidden="false" customHeight="false" outlineLevel="0" collapsed="false">
      <c r="A113" s="18" t="s">
        <v>2559</v>
      </c>
      <c r="B113" s="18" t="s">
        <v>292</v>
      </c>
      <c r="C113" s="18" t="s">
        <v>2446</v>
      </c>
      <c r="D113" s="18" t="s">
        <v>382</v>
      </c>
      <c r="E113" s="19" t="n">
        <v>46388</v>
      </c>
      <c r="F113" s="19" t="n">
        <v>46388</v>
      </c>
      <c r="G113" s="19"/>
      <c r="H113" s="18" t="s">
        <v>527</v>
      </c>
      <c r="I113" s="24" t="n">
        <v>0</v>
      </c>
      <c r="J113" s="14" t="n">
        <f aca="false">IF(H113="Yes",I113*INDEX(Projects!$R$2:$R$500,MATCH(B113,Projects!$A$2:$A$500,0)),0)</f>
        <v>0</v>
      </c>
      <c r="K113" s="26" t="n">
        <f aca="false">IF(ISNUMBER(G113),G113-E113,F113-E113)</f>
        <v>0</v>
      </c>
      <c r="L113" s="12" t="str">
        <f aca="false">IF(ISNUMBER(G113),"Completed",IF(F113&lt;AsOfDate,"Overdue",IF(F113-E113&gt;MilestoneAtRiskDays,"At Risk","On Track")))</f>
        <v>On Track</v>
      </c>
      <c r="M113" s="12" t="str">
        <f aca="false">IF(COUNTIF(Invoices!$C$2:$C$2000,A113)&gt;0,"Yes","No")</f>
        <v>No</v>
      </c>
    </row>
    <row r="114" customFormat="false" ht="15" hidden="false" customHeight="false" outlineLevel="0" collapsed="false">
      <c r="A114" s="18" t="s">
        <v>2560</v>
      </c>
      <c r="B114" s="18" t="s">
        <v>292</v>
      </c>
      <c r="C114" s="18" t="s">
        <v>2448</v>
      </c>
      <c r="D114" s="18" t="s">
        <v>686</v>
      </c>
      <c r="E114" s="19" t="n">
        <v>46492</v>
      </c>
      <c r="F114" s="19" t="n">
        <v>46492</v>
      </c>
      <c r="G114" s="19"/>
      <c r="H114" s="18" t="s">
        <v>527</v>
      </c>
      <c r="I114" s="24" t="n">
        <v>0</v>
      </c>
      <c r="J114" s="14" t="n">
        <f aca="false">IF(H114="Yes",I114*INDEX(Projects!$R$2:$R$500,MATCH(B114,Projects!$A$2:$A$500,0)),0)</f>
        <v>0</v>
      </c>
      <c r="K114" s="26" t="n">
        <f aca="false">IF(ISNUMBER(G114),G114-E114,F114-E114)</f>
        <v>0</v>
      </c>
      <c r="L114" s="12" t="str">
        <f aca="false">IF(ISNUMBER(G114),"Completed",IF(F114&lt;AsOfDate,"Overdue",IF(F114-E114&gt;MilestoneAtRiskDays,"At Risk","On Track")))</f>
        <v>On Track</v>
      </c>
      <c r="M114" s="12" t="str">
        <f aca="false">IF(COUNTIF(Invoices!$C$2:$C$2000,A114)&gt;0,"Yes","No")</f>
        <v>No</v>
      </c>
    </row>
    <row r="115" customFormat="false" ht="15" hidden="false" customHeight="false" outlineLevel="0" collapsed="false">
      <c r="A115" s="18" t="s">
        <v>2561</v>
      </c>
      <c r="B115" s="18" t="s">
        <v>292</v>
      </c>
      <c r="C115" s="18" t="s">
        <v>2450</v>
      </c>
      <c r="D115" s="18" t="s">
        <v>690</v>
      </c>
      <c r="E115" s="19" t="n">
        <v>46539</v>
      </c>
      <c r="F115" s="19" t="n">
        <v>46539</v>
      </c>
      <c r="G115" s="19"/>
      <c r="H115" s="18" t="s">
        <v>527</v>
      </c>
      <c r="I115" s="24" t="n">
        <v>0</v>
      </c>
      <c r="J115" s="14" t="n">
        <f aca="false">IF(H115="Yes",I115*INDEX(Projects!$R$2:$R$500,MATCH(B115,Projects!$A$2:$A$500,0)),0)</f>
        <v>0</v>
      </c>
      <c r="K115" s="26" t="n">
        <f aca="false">IF(ISNUMBER(G115),G115-E115,F115-E115)</f>
        <v>0</v>
      </c>
      <c r="L115" s="12" t="str">
        <f aca="false">IF(ISNUMBER(G115),"Completed",IF(F115&lt;AsOfDate,"Overdue",IF(F115-E115&gt;MilestoneAtRiskDays,"At Risk","On Track")))</f>
        <v>On Track</v>
      </c>
      <c r="M115" s="12" t="str">
        <f aca="false">IF(COUNTIF(Invoices!$C$2:$C$2000,A115)&gt;0,"Yes","No")</f>
        <v>No</v>
      </c>
    </row>
    <row r="116" customFormat="false" ht="15" hidden="false" customHeight="false" outlineLevel="0" collapsed="false">
      <c r="A116" s="18" t="s">
        <v>2562</v>
      </c>
      <c r="B116" s="18" t="s">
        <v>292</v>
      </c>
      <c r="C116" s="18" t="s">
        <v>2452</v>
      </c>
      <c r="D116" s="18" t="s">
        <v>694</v>
      </c>
      <c r="E116" s="19" t="n">
        <v>46563</v>
      </c>
      <c r="F116" s="19" t="n">
        <v>46563</v>
      </c>
      <c r="G116" s="19"/>
      <c r="H116" s="18" t="s">
        <v>527</v>
      </c>
      <c r="I116" s="24" t="n">
        <v>0</v>
      </c>
      <c r="J116" s="14" t="n">
        <f aca="false">IF(H116="Yes",I116*INDEX(Projects!$R$2:$R$500,MATCH(B116,Projects!$A$2:$A$500,0)),0)</f>
        <v>0</v>
      </c>
      <c r="K116" s="26" t="n">
        <f aca="false">IF(ISNUMBER(G116),G116-E116,F116-E116)</f>
        <v>0</v>
      </c>
      <c r="L116" s="12" t="str">
        <f aca="false">IF(ISNUMBER(G116),"Completed",IF(F116&lt;AsOfDate,"Overdue",IF(F116-E116&gt;MilestoneAtRiskDays,"At Risk","On Track")))</f>
        <v>On Track</v>
      </c>
      <c r="M116" s="12" t="str">
        <f aca="false">IF(COUNTIF(Invoices!$C$2:$C$2000,A116)&gt;0,"Yes","No")</f>
        <v>No</v>
      </c>
    </row>
    <row r="117" customFormat="false" ht="15" hidden="false" customHeight="false" outlineLevel="0" collapsed="false">
      <c r="A117" s="18" t="s">
        <v>2563</v>
      </c>
      <c r="B117" s="18" t="s">
        <v>294</v>
      </c>
      <c r="C117" s="18" t="s">
        <v>2444</v>
      </c>
      <c r="D117" s="18" t="s">
        <v>678</v>
      </c>
      <c r="E117" s="19" t="n">
        <v>46427</v>
      </c>
      <c r="F117" s="19" t="n">
        <v>46427</v>
      </c>
      <c r="G117" s="19"/>
      <c r="H117" s="18" t="s">
        <v>513</v>
      </c>
      <c r="I117" s="24" t="n">
        <v>0.1</v>
      </c>
      <c r="J117" s="14" t="n">
        <f aca="false">IF(H117="Yes",I117*INDEX(Projects!$R$2:$R$500,MATCH(B117,Projects!$A$2:$A$500,0)),0)</f>
        <v>109000</v>
      </c>
      <c r="K117" s="26" t="n">
        <f aca="false">IF(ISNUMBER(G117),G117-E117,F117-E117)</f>
        <v>0</v>
      </c>
      <c r="L117" s="12" t="str">
        <f aca="false">IF(ISNUMBER(G117),"Completed",IF(F117&lt;AsOfDate,"Overdue",IF(F117-E117&gt;MilestoneAtRiskDays,"At Risk","On Track")))</f>
        <v>On Track</v>
      </c>
      <c r="M117" s="12" t="str">
        <f aca="false">IF(COUNTIF(Invoices!$C$2:$C$2000,A117)&gt;0,"Yes","No")</f>
        <v>No</v>
      </c>
    </row>
    <row r="118" customFormat="false" ht="15" hidden="false" customHeight="false" outlineLevel="0" collapsed="false">
      <c r="A118" s="18" t="s">
        <v>2564</v>
      </c>
      <c r="B118" s="18" t="s">
        <v>294</v>
      </c>
      <c r="C118" s="18" t="s">
        <v>2446</v>
      </c>
      <c r="D118" s="18" t="s">
        <v>382</v>
      </c>
      <c r="E118" s="19" t="n">
        <v>46472</v>
      </c>
      <c r="F118" s="19" t="n">
        <v>46472</v>
      </c>
      <c r="G118" s="19"/>
      <c r="H118" s="18" t="s">
        <v>513</v>
      </c>
      <c r="I118" s="24" t="n">
        <v>0.2</v>
      </c>
      <c r="J118" s="14" t="n">
        <f aca="false">IF(H118="Yes",I118*INDEX(Projects!$R$2:$R$500,MATCH(B118,Projects!$A$2:$A$500,0)),0)</f>
        <v>218000</v>
      </c>
      <c r="K118" s="26" t="n">
        <f aca="false">IF(ISNUMBER(G118),G118-E118,F118-E118)</f>
        <v>0</v>
      </c>
      <c r="L118" s="12" t="str">
        <f aca="false">IF(ISNUMBER(G118),"Completed",IF(F118&lt;AsOfDate,"Overdue",IF(F118-E118&gt;MilestoneAtRiskDays,"At Risk","On Track")))</f>
        <v>On Track</v>
      </c>
      <c r="M118" s="12" t="str">
        <f aca="false">IF(COUNTIF(Invoices!$C$2:$C$2000,A118)&gt;0,"Yes","No")</f>
        <v>No</v>
      </c>
    </row>
    <row r="119" customFormat="false" ht="15" hidden="false" customHeight="false" outlineLevel="0" collapsed="false">
      <c r="A119" s="18" t="s">
        <v>2565</v>
      </c>
      <c r="B119" s="18" t="s">
        <v>294</v>
      </c>
      <c r="C119" s="18" t="s">
        <v>2448</v>
      </c>
      <c r="D119" s="18" t="s">
        <v>686</v>
      </c>
      <c r="E119" s="19" t="n">
        <v>46601</v>
      </c>
      <c r="F119" s="19" t="n">
        <v>46601</v>
      </c>
      <c r="G119" s="19"/>
      <c r="H119" s="18" t="s">
        <v>513</v>
      </c>
      <c r="I119" s="24" t="n">
        <v>0.3</v>
      </c>
      <c r="J119" s="14" t="n">
        <f aca="false">IF(H119="Yes",I119*INDEX(Projects!$R$2:$R$500,MATCH(B119,Projects!$A$2:$A$500,0)),0)</f>
        <v>327000</v>
      </c>
      <c r="K119" s="26" t="n">
        <f aca="false">IF(ISNUMBER(G119),G119-E119,F119-E119)</f>
        <v>0</v>
      </c>
      <c r="L119" s="12" t="str">
        <f aca="false">IF(ISNUMBER(G119),"Completed",IF(F119&lt;AsOfDate,"Overdue",IF(F119-E119&gt;MilestoneAtRiskDays,"At Risk","On Track")))</f>
        <v>On Track</v>
      </c>
      <c r="M119" s="12" t="str">
        <f aca="false">IF(COUNTIF(Invoices!$C$2:$C$2000,A119)&gt;0,"Yes","No")</f>
        <v>No</v>
      </c>
    </row>
    <row r="120" customFormat="false" ht="15" hidden="false" customHeight="false" outlineLevel="0" collapsed="false">
      <c r="A120" s="18" t="s">
        <v>2566</v>
      </c>
      <c r="B120" s="18" t="s">
        <v>294</v>
      </c>
      <c r="C120" s="18" t="s">
        <v>2450</v>
      </c>
      <c r="D120" s="18" t="s">
        <v>690</v>
      </c>
      <c r="E120" s="19" t="n">
        <v>46659</v>
      </c>
      <c r="F120" s="19" t="n">
        <v>46659</v>
      </c>
      <c r="G120" s="19"/>
      <c r="H120" s="18" t="s">
        <v>513</v>
      </c>
      <c r="I120" s="24" t="n">
        <v>0.2</v>
      </c>
      <c r="J120" s="14" t="n">
        <f aca="false">IF(H120="Yes",I120*INDEX(Projects!$R$2:$R$500,MATCH(B120,Projects!$A$2:$A$500,0)),0)</f>
        <v>218000</v>
      </c>
      <c r="K120" s="26" t="n">
        <f aca="false">IF(ISNUMBER(G120),G120-E120,F120-E120)</f>
        <v>0</v>
      </c>
      <c r="L120" s="12" t="str">
        <f aca="false">IF(ISNUMBER(G120),"Completed",IF(F120&lt;AsOfDate,"Overdue",IF(F120-E120&gt;MilestoneAtRiskDays,"At Risk","On Track")))</f>
        <v>On Track</v>
      </c>
      <c r="M120" s="12" t="str">
        <f aca="false">IF(COUNTIF(Invoices!$C$2:$C$2000,A120)&gt;0,"Yes","No")</f>
        <v>No</v>
      </c>
    </row>
    <row r="121" customFormat="false" ht="15" hidden="false" customHeight="false" outlineLevel="0" collapsed="false">
      <c r="A121" s="18" t="s">
        <v>2567</v>
      </c>
      <c r="B121" s="18" t="s">
        <v>294</v>
      </c>
      <c r="C121" s="18" t="s">
        <v>2452</v>
      </c>
      <c r="D121" s="18" t="s">
        <v>694</v>
      </c>
      <c r="E121" s="19" t="n">
        <v>46689</v>
      </c>
      <c r="F121" s="19" t="n">
        <v>46689</v>
      </c>
      <c r="G121" s="19"/>
      <c r="H121" s="18" t="s">
        <v>513</v>
      </c>
      <c r="I121" s="24" t="n">
        <v>0.2</v>
      </c>
      <c r="J121" s="14" t="n">
        <f aca="false">IF(H121="Yes",I121*INDEX(Projects!$R$2:$R$500,MATCH(B121,Projects!$A$2:$A$500,0)),0)</f>
        <v>218000</v>
      </c>
      <c r="K121" s="26" t="n">
        <f aca="false">IF(ISNUMBER(G121),G121-E121,F121-E121)</f>
        <v>0</v>
      </c>
      <c r="L121" s="12" t="str">
        <f aca="false">IF(ISNUMBER(G121),"Completed",IF(F121&lt;AsOfDate,"Overdue",IF(F121-E121&gt;MilestoneAtRiskDays,"At Risk","On Track")))</f>
        <v>On Track</v>
      </c>
      <c r="M121" s="12" t="str">
        <f aca="false">IF(COUNTIF(Invoices!$C$2:$C$2000,A121)&gt;0,"Yes","No")</f>
        <v>No</v>
      </c>
    </row>
  </sheetData>
  <conditionalFormatting sqref="L2:L121">
    <cfRule type="cellIs" priority="2" operator="equal" aboveAverage="0" equalAverage="0" bottom="0" percent="0" rank="0" text="" dxfId="12">
      <formula>"Overdue"</formula>
    </cfRule>
    <cfRule type="cellIs" priority="3" operator="equal" aboveAverage="0" equalAverage="0" bottom="0" percent="0" rank="0" text="" dxfId="13">
      <formula>"At Risk"</formula>
    </cfRule>
    <cfRule type="cellIs" priority="4" operator="equal" aboveAverage="0" equalAverage="0" bottom="0" percent="0" rank="0" text="" dxfId="14">
      <formula>"Completed"</formula>
    </cfRule>
  </conditionalFormatting>
  <dataValidations count="1">
    <dataValidation allowBlank="true" error="Pick a value from the list." errorStyle="stop" errorTitle="Invalid value" operator="between" showDropDown="false" showErrorMessage="true" showInputMessage="false" sqref="H2:H11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20" t="s">
        <v>2568</v>
      </c>
      <c r="B1" s="20" t="s">
        <v>41</v>
      </c>
      <c r="C1" s="20" t="s">
        <v>47</v>
      </c>
      <c r="D1" s="20" t="s">
        <v>2569</v>
      </c>
      <c r="E1" s="20" t="s">
        <v>2570</v>
      </c>
      <c r="F1" s="20" t="s">
        <v>1016</v>
      </c>
      <c r="G1" s="20" t="s">
        <v>2571</v>
      </c>
      <c r="H1" s="20" t="s">
        <v>148</v>
      </c>
      <c r="I1" s="20" t="s">
        <v>2572</v>
      </c>
      <c r="J1" s="20" t="s">
        <v>2573</v>
      </c>
      <c r="K1" s="20" t="s">
        <v>153</v>
      </c>
      <c r="L1" s="20" t="s">
        <v>2574</v>
      </c>
      <c r="M1" s="20" t="s">
        <v>2575</v>
      </c>
      <c r="N1" s="20" t="s">
        <v>2576</v>
      </c>
    </row>
    <row r="2" customFormat="false" ht="15" hidden="false" customHeight="false" outlineLevel="0" collapsed="false">
      <c r="A2" s="18" t="s">
        <v>2577</v>
      </c>
      <c r="B2" s="18" t="s">
        <v>281</v>
      </c>
      <c r="C2" s="18" t="s">
        <v>2538</v>
      </c>
      <c r="D2" s="19" t="n">
        <v>45817</v>
      </c>
      <c r="E2" s="18" t="s">
        <v>2578</v>
      </c>
      <c r="F2" s="28" t="n">
        <v>98500</v>
      </c>
      <c r="G2" s="19" t="n">
        <v>45884</v>
      </c>
      <c r="H2" s="21" t="str">
        <f aca="false">IFERROR(INDEX(Projects!$D$2:$D$500,MATCH(B2,Projects!$A$2:$A$500,0)),"")</f>
        <v>Pinecrest University</v>
      </c>
      <c r="I2" s="32" t="n">
        <f aca="false">IFERROR(INDEX(Clients!$G$2:$G$200,MATCH(INDEX(Projects!$C$2:$C$500,MATCH(B2,Projects!$A$2:$A$500,0)),Clients!$A$2:$A$200,0)),30)</f>
        <v>60</v>
      </c>
      <c r="J2" s="27" t="n">
        <f aca="false">D2+I2</f>
        <v>45877</v>
      </c>
      <c r="K2" s="12" t="str">
        <f aca="false">IF(ISNUMBER(G2),"Paid",IF(AsOfDate&gt;J2,"Overdue","Outstanding"))</f>
        <v>Paid</v>
      </c>
      <c r="L2" s="13" t="n">
        <f aca="false">IF(ISNUMBER(G2),G2-D2,AsOfDate-D2)</f>
        <v>67</v>
      </c>
      <c r="M2" s="13" t="n">
        <f aca="false">IF(K2="Overdue",AsOfDate-J2,0)</f>
        <v>0</v>
      </c>
      <c r="N2" s="12" t="str">
        <f aca="false">IF(K2="Paid","Paid",IF(M2=0,"Current",IF(M2&lt;=30,"1-30",IF(M2&lt;=60,"31-60","60+"))))</f>
        <v>Paid</v>
      </c>
    </row>
    <row r="3" customFormat="false" ht="15" hidden="false" customHeight="false" outlineLevel="0" collapsed="false">
      <c r="A3" s="18" t="s">
        <v>2579</v>
      </c>
      <c r="B3" s="18" t="s">
        <v>277</v>
      </c>
      <c r="C3" s="18" t="s">
        <v>2533</v>
      </c>
      <c r="D3" s="19" t="n">
        <v>45831</v>
      </c>
      <c r="E3" s="18" t="s">
        <v>2578</v>
      </c>
      <c r="F3" s="28" t="n">
        <v>62000</v>
      </c>
      <c r="G3" s="19" t="n">
        <v>45868</v>
      </c>
      <c r="H3" s="21" t="str">
        <f aca="false">IFERROR(INDEX(Projects!$D$2:$D$500,MATCH(B3,Projects!$A$2:$A$500,0)),"")</f>
        <v>Summit Telecom</v>
      </c>
      <c r="I3" s="32" t="n">
        <f aca="false">IFERROR(INDEX(Clients!$G$2:$G$200,MATCH(INDEX(Projects!$C$2:$C$500,MATCH(B3,Projects!$A$2:$A$500,0)),Clients!$A$2:$A$200,0)),30)</f>
        <v>45</v>
      </c>
      <c r="J3" s="27" t="n">
        <f aca="false">D3+I3</f>
        <v>45876</v>
      </c>
      <c r="K3" s="12" t="str">
        <f aca="false">IF(ISNUMBER(G3),"Paid",IF(AsOfDate&gt;J3,"Overdue","Outstanding"))</f>
        <v>Paid</v>
      </c>
      <c r="L3" s="13" t="n">
        <f aca="false">IF(ISNUMBER(G3),G3-D3,AsOfDate-D3)</f>
        <v>37</v>
      </c>
      <c r="M3" s="13" t="n">
        <f aca="false">IF(K3="Overdue",AsOfDate-J3,0)</f>
        <v>0</v>
      </c>
      <c r="N3" s="12" t="str">
        <f aca="false">IF(K3="Paid","Paid",IF(M3=0,"Current",IF(M3&lt;=30,"1-30",IF(M3&lt;=60,"31-60","60+"))))</f>
        <v>Paid</v>
      </c>
    </row>
    <row r="4" customFormat="false" ht="15" hidden="false" customHeight="false" outlineLevel="0" collapsed="false">
      <c r="A4" s="18" t="s">
        <v>2580</v>
      </c>
      <c r="B4" s="18" t="s">
        <v>277</v>
      </c>
      <c r="C4" s="18" t="s">
        <v>2534</v>
      </c>
      <c r="D4" s="19" t="n">
        <v>45866</v>
      </c>
      <c r="E4" s="18" t="s">
        <v>2581</v>
      </c>
      <c r="F4" s="28" t="n">
        <v>124000</v>
      </c>
      <c r="G4" s="19" t="n">
        <v>45907</v>
      </c>
      <c r="H4" s="21" t="str">
        <f aca="false">IFERROR(INDEX(Projects!$D$2:$D$500,MATCH(B4,Projects!$A$2:$A$500,0)),"")</f>
        <v>Summit Telecom</v>
      </c>
      <c r="I4" s="32" t="n">
        <f aca="false">IFERROR(INDEX(Clients!$G$2:$G$200,MATCH(INDEX(Projects!$C$2:$C$500,MATCH(B4,Projects!$A$2:$A$500,0)),Clients!$A$2:$A$200,0)),30)</f>
        <v>45</v>
      </c>
      <c r="J4" s="27" t="n">
        <f aca="false">D4+I4</f>
        <v>45911</v>
      </c>
      <c r="K4" s="12" t="str">
        <f aca="false">IF(ISNUMBER(G4),"Paid",IF(AsOfDate&gt;J4,"Overdue","Outstanding"))</f>
        <v>Paid</v>
      </c>
      <c r="L4" s="13" t="n">
        <f aca="false">IF(ISNUMBER(G4),G4-D4,AsOfDate-D4)</f>
        <v>41</v>
      </c>
      <c r="M4" s="13" t="n">
        <f aca="false">IF(K4="Overdue",AsOfDate-J4,0)</f>
        <v>0</v>
      </c>
      <c r="N4" s="12" t="str">
        <f aca="false">IF(K4="Paid","Paid",IF(M4=0,"Current",IF(M4&lt;=30,"1-30",IF(M4&lt;=60,"31-60","60+"))))</f>
        <v>Paid</v>
      </c>
    </row>
    <row r="5" customFormat="false" ht="15" hidden="false" customHeight="false" outlineLevel="0" collapsed="false">
      <c r="A5" s="18" t="s">
        <v>2582</v>
      </c>
      <c r="B5" s="18" t="s">
        <v>281</v>
      </c>
      <c r="C5" s="18" t="s">
        <v>2539</v>
      </c>
      <c r="D5" s="19" t="n">
        <v>45869</v>
      </c>
      <c r="E5" s="18" t="s">
        <v>2581</v>
      </c>
      <c r="F5" s="28" t="n">
        <v>197000</v>
      </c>
      <c r="G5" s="19" t="n">
        <v>45934</v>
      </c>
      <c r="H5" s="21" t="str">
        <f aca="false">IFERROR(INDEX(Projects!$D$2:$D$500,MATCH(B5,Projects!$A$2:$A$500,0)),"")</f>
        <v>Pinecrest University</v>
      </c>
      <c r="I5" s="32" t="n">
        <f aca="false">IFERROR(INDEX(Clients!$G$2:$G$200,MATCH(INDEX(Projects!$C$2:$C$500,MATCH(B5,Projects!$A$2:$A$500,0)),Clients!$A$2:$A$200,0)),30)</f>
        <v>60</v>
      </c>
      <c r="J5" s="27" t="n">
        <f aca="false">D5+I5</f>
        <v>45929</v>
      </c>
      <c r="K5" s="12" t="str">
        <f aca="false">IF(ISNUMBER(G5),"Paid",IF(AsOfDate&gt;J5,"Overdue","Outstanding"))</f>
        <v>Paid</v>
      </c>
      <c r="L5" s="13" t="n">
        <f aca="false">IF(ISNUMBER(G5),G5-D5,AsOfDate-D5)</f>
        <v>65</v>
      </c>
      <c r="M5" s="13" t="n">
        <f aca="false">IF(K5="Overdue",AsOfDate-J5,0)</f>
        <v>0</v>
      </c>
      <c r="N5" s="12" t="str">
        <f aca="false">IF(K5="Paid","Paid",IF(M5=0,"Current",IF(M5&lt;=30,"1-30",IF(M5&lt;=60,"31-60","60+"))))</f>
        <v>Paid</v>
      </c>
    </row>
    <row r="6" customFormat="false" ht="15" hidden="false" customHeight="false" outlineLevel="0" collapsed="false">
      <c r="A6" s="18" t="s">
        <v>2583</v>
      </c>
      <c r="B6" s="18" t="s">
        <v>267</v>
      </c>
      <c r="C6" s="18"/>
      <c r="D6" s="19" t="n">
        <v>45874</v>
      </c>
      <c r="E6" s="18" t="s">
        <v>2584</v>
      </c>
      <c r="F6" s="28" t="n">
        <v>80555.56</v>
      </c>
      <c r="G6" s="19" t="n">
        <v>45962</v>
      </c>
      <c r="H6" s="21" t="str">
        <f aca="false">IFERROR(INDEX(Projects!$D$2:$D$500,MATCH(B6,Projects!$A$2:$A$500,0)),"")</f>
        <v>Harbourview Logistics</v>
      </c>
      <c r="I6" s="32" t="n">
        <f aca="false">IFERROR(INDEX(Clients!$G$2:$G$200,MATCH(INDEX(Projects!$C$2:$C$500,MATCH(B6,Projects!$A$2:$A$500,0)),Clients!$A$2:$A$200,0)),30)</f>
        <v>45</v>
      </c>
      <c r="J6" s="27" t="n">
        <f aca="false">D6+I6</f>
        <v>45919</v>
      </c>
      <c r="K6" s="12" t="str">
        <f aca="false">IF(ISNUMBER(G6),"Paid",IF(AsOfDate&gt;J6,"Overdue","Outstanding"))</f>
        <v>Paid</v>
      </c>
      <c r="L6" s="13" t="n">
        <f aca="false">IF(ISNUMBER(G6),G6-D6,AsOfDate-D6)</f>
        <v>88</v>
      </c>
      <c r="M6" s="13" t="n">
        <f aca="false">IF(K6="Overdue",AsOfDate-J6,0)</f>
        <v>0</v>
      </c>
      <c r="N6" s="12" t="str">
        <f aca="false">IF(K6="Paid","Paid",IF(M6=0,"Current",IF(M6&lt;=30,"1-30",IF(M6&lt;=60,"31-60","60+"))))</f>
        <v>Paid</v>
      </c>
    </row>
    <row r="7" customFormat="false" ht="15" hidden="false" customHeight="false" outlineLevel="0" collapsed="false">
      <c r="A7" s="18" t="s">
        <v>2585</v>
      </c>
      <c r="B7" s="18" t="s">
        <v>267</v>
      </c>
      <c r="C7" s="18"/>
      <c r="D7" s="19" t="n">
        <v>45905</v>
      </c>
      <c r="E7" s="18" t="s">
        <v>2586</v>
      </c>
      <c r="F7" s="28" t="n">
        <v>80555.56</v>
      </c>
      <c r="G7" s="19" t="n">
        <v>45999</v>
      </c>
      <c r="H7" s="21" t="str">
        <f aca="false">IFERROR(INDEX(Projects!$D$2:$D$500,MATCH(B7,Projects!$A$2:$A$500,0)),"")</f>
        <v>Harbourview Logistics</v>
      </c>
      <c r="I7" s="32" t="n">
        <f aca="false">IFERROR(INDEX(Clients!$G$2:$G$200,MATCH(INDEX(Projects!$C$2:$C$500,MATCH(B7,Projects!$A$2:$A$500,0)),Clients!$A$2:$A$200,0)),30)</f>
        <v>45</v>
      </c>
      <c r="J7" s="27" t="n">
        <f aca="false">D7+I7</f>
        <v>45950</v>
      </c>
      <c r="K7" s="12" t="str">
        <f aca="false">IF(ISNUMBER(G7),"Paid",IF(AsOfDate&gt;J7,"Overdue","Outstanding"))</f>
        <v>Paid</v>
      </c>
      <c r="L7" s="13" t="n">
        <f aca="false">IF(ISNUMBER(G7),G7-D7,AsOfDate-D7)</f>
        <v>94</v>
      </c>
      <c r="M7" s="13" t="n">
        <f aca="false">IF(K7="Overdue",AsOfDate-J7,0)</f>
        <v>0</v>
      </c>
      <c r="N7" s="12" t="str">
        <f aca="false">IF(K7="Paid","Paid",IF(M7=0,"Current",IF(M7&lt;=30,"1-30",IF(M7&lt;=60,"31-60","60+"))))</f>
        <v>Paid</v>
      </c>
    </row>
    <row r="8" customFormat="false" ht="15" hidden="false" customHeight="false" outlineLevel="0" collapsed="false">
      <c r="A8" s="18" t="s">
        <v>2587</v>
      </c>
      <c r="B8" s="18" t="s">
        <v>265</v>
      </c>
      <c r="C8" s="18" t="s">
        <v>2508</v>
      </c>
      <c r="D8" s="19" t="n">
        <v>45922</v>
      </c>
      <c r="E8" s="18" t="s">
        <v>2578</v>
      </c>
      <c r="F8" s="28" t="n">
        <v>141500</v>
      </c>
      <c r="G8" s="19" t="n">
        <v>45946</v>
      </c>
      <c r="H8" s="21" t="str">
        <f aca="false">IFERROR(INDEX(Projects!$D$2:$D$500,MATCH(B8,Projects!$A$2:$A$500,0)),"")</f>
        <v>Maple Ridge Financial</v>
      </c>
      <c r="I8" s="32" t="n">
        <f aca="false">IFERROR(INDEX(Clients!$G$2:$G$200,MATCH(INDEX(Projects!$C$2:$C$500,MATCH(B8,Projects!$A$2:$A$500,0)),Clients!$A$2:$A$200,0)),30)</f>
        <v>30</v>
      </c>
      <c r="J8" s="27" t="n">
        <f aca="false">D8+I8</f>
        <v>45952</v>
      </c>
      <c r="K8" s="12" t="str">
        <f aca="false">IF(ISNUMBER(G8),"Paid",IF(AsOfDate&gt;J8,"Overdue","Outstanding"))</f>
        <v>Paid</v>
      </c>
      <c r="L8" s="13" t="n">
        <f aca="false">IF(ISNUMBER(G8),G8-D8,AsOfDate-D8)</f>
        <v>24</v>
      </c>
      <c r="M8" s="13" t="n">
        <f aca="false">IF(K8="Overdue",AsOfDate-J8,0)</f>
        <v>0</v>
      </c>
      <c r="N8" s="12" t="str">
        <f aca="false">IF(K8="Paid","Paid",IF(M8=0,"Current",IF(M8&lt;=30,"1-30",IF(M8&lt;=60,"31-60","60+"))))</f>
        <v>Paid</v>
      </c>
    </row>
    <row r="9" customFormat="false" ht="15" hidden="false" customHeight="false" outlineLevel="0" collapsed="false">
      <c r="A9" s="18" t="s">
        <v>2588</v>
      </c>
      <c r="B9" s="18" t="s">
        <v>215</v>
      </c>
      <c r="C9" s="18"/>
      <c r="D9" s="19" t="n">
        <v>45936</v>
      </c>
      <c r="E9" s="18" t="s">
        <v>2589</v>
      </c>
      <c r="F9" s="28" t="n">
        <v>61135.69</v>
      </c>
      <c r="G9" s="19" t="n">
        <v>45958</v>
      </c>
      <c r="H9" s="21" t="str">
        <f aca="false">IFERROR(INDEX(Projects!$D$2:$D$500,MATCH(B9,Projects!$A$2:$A$500,0)),"")</f>
        <v>Maple Ridge Financial</v>
      </c>
      <c r="I9" s="32" t="n">
        <f aca="false">IFERROR(INDEX(Clients!$G$2:$G$200,MATCH(INDEX(Projects!$C$2:$C$500,MATCH(B9,Projects!$A$2:$A$500,0)),Clients!$A$2:$A$200,0)),30)</f>
        <v>30</v>
      </c>
      <c r="J9" s="27" t="n">
        <f aca="false">D9+I9</f>
        <v>45966</v>
      </c>
      <c r="K9" s="12" t="str">
        <f aca="false">IF(ISNUMBER(G9),"Paid",IF(AsOfDate&gt;J9,"Overdue","Outstanding"))</f>
        <v>Paid</v>
      </c>
      <c r="L9" s="13" t="n">
        <f aca="false">IF(ISNUMBER(G9),G9-D9,AsOfDate-D9)</f>
        <v>22</v>
      </c>
      <c r="M9" s="13" t="n">
        <f aca="false">IF(K9="Overdue",AsOfDate-J9,0)</f>
        <v>0</v>
      </c>
      <c r="N9" s="12" t="str">
        <f aca="false">IF(K9="Paid","Paid",IF(M9=0,"Current",IF(M9&lt;=30,"1-30",IF(M9&lt;=60,"31-60","60+"))))</f>
        <v>Paid</v>
      </c>
    </row>
    <row r="10" customFormat="false" ht="15" hidden="false" customHeight="false" outlineLevel="0" collapsed="false">
      <c r="A10" s="18" t="s">
        <v>2590</v>
      </c>
      <c r="B10" s="18" t="s">
        <v>267</v>
      </c>
      <c r="C10" s="18"/>
      <c r="D10" s="19" t="n">
        <v>45936</v>
      </c>
      <c r="E10" s="18" t="s">
        <v>2591</v>
      </c>
      <c r="F10" s="28" t="n">
        <v>80555.56</v>
      </c>
      <c r="G10" s="19" t="n">
        <v>45974</v>
      </c>
      <c r="H10" s="21" t="str">
        <f aca="false">IFERROR(INDEX(Projects!$D$2:$D$500,MATCH(B10,Projects!$A$2:$A$500,0)),"")</f>
        <v>Harbourview Logistics</v>
      </c>
      <c r="I10" s="32" t="n">
        <f aca="false">IFERROR(INDEX(Clients!$G$2:$G$200,MATCH(INDEX(Projects!$C$2:$C$500,MATCH(B10,Projects!$A$2:$A$500,0)),Clients!$A$2:$A$200,0)),30)</f>
        <v>45</v>
      </c>
      <c r="J10" s="27" t="n">
        <f aca="false">D10+I10</f>
        <v>45981</v>
      </c>
      <c r="K10" s="12" t="str">
        <f aca="false">IF(ISNUMBER(G10),"Paid",IF(AsOfDate&gt;J10,"Overdue","Outstanding"))</f>
        <v>Paid</v>
      </c>
      <c r="L10" s="13" t="n">
        <f aca="false">IF(ISNUMBER(G10),G10-D10,AsOfDate-D10)</f>
        <v>38</v>
      </c>
      <c r="M10" s="13" t="n">
        <f aca="false">IF(K10="Overdue",AsOfDate-J10,0)</f>
        <v>0</v>
      </c>
      <c r="N10" s="12" t="str">
        <f aca="false">IF(K10="Paid","Paid",IF(M10=0,"Current",IF(M10&lt;=30,"1-30",IF(M10&lt;=60,"31-60","60+"))))</f>
        <v>Paid</v>
      </c>
    </row>
    <row r="11" customFormat="false" ht="15" hidden="false" customHeight="false" outlineLevel="0" collapsed="false">
      <c r="A11" s="18" t="s">
        <v>2592</v>
      </c>
      <c r="B11" s="18" t="s">
        <v>277</v>
      </c>
      <c r="C11" s="18" t="s">
        <v>2535</v>
      </c>
      <c r="D11" s="19" t="n">
        <v>45953</v>
      </c>
      <c r="E11" s="18" t="s">
        <v>2593</v>
      </c>
      <c r="F11" s="28" t="n">
        <v>186000</v>
      </c>
      <c r="G11" s="19" t="n">
        <v>46006</v>
      </c>
      <c r="H11" s="21" t="str">
        <f aca="false">IFERROR(INDEX(Projects!$D$2:$D$500,MATCH(B11,Projects!$A$2:$A$500,0)),"")</f>
        <v>Summit Telecom</v>
      </c>
      <c r="I11" s="32" t="n">
        <f aca="false">IFERROR(INDEX(Clients!$G$2:$G$200,MATCH(INDEX(Projects!$C$2:$C$500,MATCH(B11,Projects!$A$2:$A$500,0)),Clients!$A$2:$A$200,0)),30)</f>
        <v>45</v>
      </c>
      <c r="J11" s="27" t="n">
        <f aca="false">D11+I11</f>
        <v>45998</v>
      </c>
      <c r="K11" s="12" t="str">
        <f aca="false">IF(ISNUMBER(G11),"Paid",IF(AsOfDate&gt;J11,"Overdue","Outstanding"))</f>
        <v>Paid</v>
      </c>
      <c r="L11" s="13" t="n">
        <f aca="false">IF(ISNUMBER(G11),G11-D11,AsOfDate-D11)</f>
        <v>53</v>
      </c>
      <c r="M11" s="13" t="n">
        <f aca="false">IF(K11="Overdue",AsOfDate-J11,0)</f>
        <v>0</v>
      </c>
      <c r="N11" s="12" t="str">
        <f aca="false">IF(K11="Paid","Paid",IF(M11=0,"Current",IF(M11&lt;=30,"1-30",IF(M11&lt;=60,"31-60","60+"))))</f>
        <v>Paid</v>
      </c>
    </row>
    <row r="12" customFormat="false" ht="15" hidden="false" customHeight="false" outlineLevel="0" collapsed="false">
      <c r="A12" s="18" t="s">
        <v>2594</v>
      </c>
      <c r="B12" s="18" t="s">
        <v>215</v>
      </c>
      <c r="C12" s="18"/>
      <c r="D12" s="19" t="n">
        <v>45966</v>
      </c>
      <c r="E12" s="18" t="s">
        <v>2595</v>
      </c>
      <c r="F12" s="28" t="n">
        <v>70760.07</v>
      </c>
      <c r="G12" s="19" t="n">
        <v>46006</v>
      </c>
      <c r="H12" s="21" t="str">
        <f aca="false">IFERROR(INDEX(Projects!$D$2:$D$500,MATCH(B12,Projects!$A$2:$A$500,0)),"")</f>
        <v>Maple Ridge Financial</v>
      </c>
      <c r="I12" s="32" t="n">
        <f aca="false">IFERROR(INDEX(Clients!$G$2:$G$200,MATCH(INDEX(Projects!$C$2:$C$500,MATCH(B12,Projects!$A$2:$A$500,0)),Clients!$A$2:$A$200,0)),30)</f>
        <v>30</v>
      </c>
      <c r="J12" s="27" t="n">
        <f aca="false">D12+I12</f>
        <v>45996</v>
      </c>
      <c r="K12" s="12" t="str">
        <f aca="false">IF(ISNUMBER(G12),"Paid",IF(AsOfDate&gt;J12,"Overdue","Outstanding"))</f>
        <v>Paid</v>
      </c>
      <c r="L12" s="13" t="n">
        <f aca="false">IF(ISNUMBER(G12),G12-D12,AsOfDate-D12)</f>
        <v>40</v>
      </c>
      <c r="M12" s="13" t="n">
        <f aca="false">IF(K12="Overdue",AsOfDate-J12,0)</f>
        <v>0</v>
      </c>
      <c r="N12" s="12" t="str">
        <f aca="false">IF(K12="Paid","Paid",IF(M12=0,"Current",IF(M12&lt;=30,"1-30",IF(M12&lt;=60,"31-60","60+"))))</f>
        <v>Paid</v>
      </c>
    </row>
    <row r="13" customFormat="false" ht="15" hidden="false" customHeight="false" outlineLevel="0" collapsed="false">
      <c r="A13" s="18" t="s">
        <v>2596</v>
      </c>
      <c r="B13" s="18" t="s">
        <v>267</v>
      </c>
      <c r="C13" s="18"/>
      <c r="D13" s="19" t="n">
        <v>45966</v>
      </c>
      <c r="E13" s="18" t="s">
        <v>2597</v>
      </c>
      <c r="F13" s="28" t="n">
        <v>80555.56</v>
      </c>
      <c r="G13" s="19" t="n">
        <v>46006</v>
      </c>
      <c r="H13" s="21" t="str">
        <f aca="false">IFERROR(INDEX(Projects!$D$2:$D$500,MATCH(B13,Projects!$A$2:$A$500,0)),"")</f>
        <v>Harbourview Logistics</v>
      </c>
      <c r="I13" s="32" t="n">
        <f aca="false">IFERROR(INDEX(Clients!$G$2:$G$200,MATCH(INDEX(Projects!$C$2:$C$500,MATCH(B13,Projects!$A$2:$A$500,0)),Clients!$A$2:$A$200,0)),30)</f>
        <v>45</v>
      </c>
      <c r="J13" s="27" t="n">
        <f aca="false">D13+I13</f>
        <v>46011</v>
      </c>
      <c r="K13" s="12" t="str">
        <f aca="false">IF(ISNUMBER(G13),"Paid",IF(AsOfDate&gt;J13,"Overdue","Outstanding"))</f>
        <v>Paid</v>
      </c>
      <c r="L13" s="13" t="n">
        <f aca="false">IF(ISNUMBER(G13),G13-D13,AsOfDate-D13)</f>
        <v>40</v>
      </c>
      <c r="M13" s="13" t="n">
        <f aca="false">IF(K13="Overdue",AsOfDate-J13,0)</f>
        <v>0</v>
      </c>
      <c r="N13" s="12" t="str">
        <f aca="false">IF(K13="Paid","Paid",IF(M13=0,"Current",IF(M13&lt;=30,"1-30",IF(M13&lt;=60,"31-60","60+"))))</f>
        <v>Paid</v>
      </c>
    </row>
    <row r="14" customFormat="false" ht="15" hidden="false" customHeight="false" outlineLevel="0" collapsed="false">
      <c r="A14" s="18" t="s">
        <v>2598</v>
      </c>
      <c r="B14" s="18" t="s">
        <v>283</v>
      </c>
      <c r="C14" s="18"/>
      <c r="D14" s="19" t="n">
        <v>45966</v>
      </c>
      <c r="E14" s="18" t="s">
        <v>2595</v>
      </c>
      <c r="F14" s="28" t="n">
        <v>42424.04</v>
      </c>
      <c r="G14" s="19" t="n">
        <v>46007</v>
      </c>
      <c r="H14" s="21" t="str">
        <f aca="false">IFERROR(INDEX(Projects!$D$2:$D$500,MATCH(B14,Projects!$A$2:$A$500,0)),"")</f>
        <v>Granite Manufacturing</v>
      </c>
      <c r="I14" s="32" t="n">
        <f aca="false">IFERROR(INDEX(Clients!$G$2:$G$200,MATCH(INDEX(Projects!$C$2:$C$500,MATCH(B14,Projects!$A$2:$A$500,0)),Clients!$A$2:$A$200,0)),30)</f>
        <v>45</v>
      </c>
      <c r="J14" s="27" t="n">
        <f aca="false">D14+I14</f>
        <v>46011</v>
      </c>
      <c r="K14" s="12" t="str">
        <f aca="false">IF(ISNUMBER(G14),"Paid",IF(AsOfDate&gt;J14,"Overdue","Outstanding"))</f>
        <v>Paid</v>
      </c>
      <c r="L14" s="13" t="n">
        <f aca="false">IF(ISNUMBER(G14),G14-D14,AsOfDate-D14)</f>
        <v>41</v>
      </c>
      <c r="M14" s="13" t="n">
        <f aca="false">IF(K14="Overdue",AsOfDate-J14,0)</f>
        <v>0</v>
      </c>
      <c r="N14" s="12" t="str">
        <f aca="false">IF(K14="Paid","Paid",IF(M14=0,"Current",IF(M14&lt;=30,"1-30",IF(M14&lt;=60,"31-60","60+"))))</f>
        <v>Paid</v>
      </c>
    </row>
    <row r="15" customFormat="false" ht="15" hidden="false" customHeight="false" outlineLevel="0" collapsed="false">
      <c r="A15" s="18" t="s">
        <v>2599</v>
      </c>
      <c r="B15" s="18" t="s">
        <v>233</v>
      </c>
      <c r="C15" s="18" t="s">
        <v>2473</v>
      </c>
      <c r="D15" s="19" t="n">
        <v>45974</v>
      </c>
      <c r="E15" s="18" t="s">
        <v>2578</v>
      </c>
      <c r="F15" s="28" t="n">
        <v>94000</v>
      </c>
      <c r="G15" s="19" t="n">
        <v>46044</v>
      </c>
      <c r="H15" s="21" t="str">
        <f aca="false">IFERROR(INDEX(Projects!$D$2:$D$500,MATCH(B15,Projects!$A$2:$A$500,0)),"")</f>
        <v>Aurora Retail Group</v>
      </c>
      <c r="I15" s="32" t="n">
        <f aca="false">IFERROR(INDEX(Clients!$G$2:$G$200,MATCH(INDEX(Projects!$C$2:$C$500,MATCH(B15,Projects!$A$2:$A$500,0)),Clients!$A$2:$A$200,0)),30)</f>
        <v>60</v>
      </c>
      <c r="J15" s="27" t="n">
        <f aca="false">D15+I15</f>
        <v>46034</v>
      </c>
      <c r="K15" s="12" t="str">
        <f aca="false">IF(ISNUMBER(G15),"Paid",IF(AsOfDate&gt;J15,"Overdue","Outstanding"))</f>
        <v>Paid</v>
      </c>
      <c r="L15" s="13" t="n">
        <f aca="false">IF(ISNUMBER(G15),G15-D15,AsOfDate-D15)</f>
        <v>70</v>
      </c>
      <c r="M15" s="13" t="n">
        <f aca="false">IF(K15="Overdue",AsOfDate-J15,0)</f>
        <v>0</v>
      </c>
      <c r="N15" s="12" t="str">
        <f aca="false">IF(K15="Paid","Paid",IF(M15=0,"Current",IF(M15&lt;=30,"1-30",IF(M15&lt;=60,"31-60","60+"))))</f>
        <v>Paid</v>
      </c>
    </row>
    <row r="16" customFormat="false" ht="15" hidden="false" customHeight="false" outlineLevel="0" collapsed="false">
      <c r="A16" s="18" t="s">
        <v>2600</v>
      </c>
      <c r="B16" s="18" t="s">
        <v>277</v>
      </c>
      <c r="C16" s="18" t="s">
        <v>2536</v>
      </c>
      <c r="D16" s="19" t="n">
        <v>45992</v>
      </c>
      <c r="E16" s="18" t="s">
        <v>2601</v>
      </c>
      <c r="F16" s="28" t="n">
        <v>124000</v>
      </c>
      <c r="G16" s="19" t="n">
        <v>46036</v>
      </c>
      <c r="H16" s="21" t="str">
        <f aca="false">IFERROR(INDEX(Projects!$D$2:$D$500,MATCH(B16,Projects!$A$2:$A$500,0)),"")</f>
        <v>Summit Telecom</v>
      </c>
      <c r="I16" s="32" t="n">
        <f aca="false">IFERROR(INDEX(Clients!$G$2:$G$200,MATCH(INDEX(Projects!$C$2:$C$500,MATCH(B16,Projects!$A$2:$A$500,0)),Clients!$A$2:$A$200,0)),30)</f>
        <v>45</v>
      </c>
      <c r="J16" s="27" t="n">
        <f aca="false">D16+I16</f>
        <v>46037</v>
      </c>
      <c r="K16" s="12" t="str">
        <f aca="false">IF(ISNUMBER(G16),"Paid",IF(AsOfDate&gt;J16,"Overdue","Outstanding"))</f>
        <v>Paid</v>
      </c>
      <c r="L16" s="13" t="n">
        <f aca="false">IF(ISNUMBER(G16),G16-D16,AsOfDate-D16)</f>
        <v>44</v>
      </c>
      <c r="M16" s="13" t="n">
        <f aca="false">IF(K16="Overdue",AsOfDate-J16,0)</f>
        <v>0</v>
      </c>
      <c r="N16" s="12" t="str">
        <f aca="false">IF(K16="Paid","Paid",IF(M16=0,"Current",IF(M16&lt;=30,"1-30",IF(M16&lt;=60,"31-60","60+"))))</f>
        <v>Paid</v>
      </c>
    </row>
    <row r="17" customFormat="false" ht="15" hidden="false" customHeight="false" outlineLevel="0" collapsed="false">
      <c r="A17" s="18" t="s">
        <v>2602</v>
      </c>
      <c r="B17" s="18" t="s">
        <v>265</v>
      </c>
      <c r="C17" s="18" t="s">
        <v>2509</v>
      </c>
      <c r="D17" s="19" t="n">
        <v>45995</v>
      </c>
      <c r="E17" s="18" t="s">
        <v>2581</v>
      </c>
      <c r="F17" s="28" t="n">
        <v>283000</v>
      </c>
      <c r="G17" s="19" t="n">
        <v>46036</v>
      </c>
      <c r="H17" s="21" t="str">
        <f aca="false">IFERROR(INDEX(Projects!$D$2:$D$500,MATCH(B17,Projects!$A$2:$A$500,0)),"")</f>
        <v>Maple Ridge Financial</v>
      </c>
      <c r="I17" s="32" t="n">
        <f aca="false">IFERROR(INDEX(Clients!$G$2:$G$200,MATCH(INDEX(Projects!$C$2:$C$500,MATCH(B17,Projects!$A$2:$A$500,0)),Clients!$A$2:$A$200,0)),30)</f>
        <v>30</v>
      </c>
      <c r="J17" s="27" t="n">
        <f aca="false">D17+I17</f>
        <v>46025</v>
      </c>
      <c r="K17" s="12" t="str">
        <f aca="false">IF(ISNUMBER(G17),"Paid",IF(AsOfDate&gt;J17,"Overdue","Outstanding"))</f>
        <v>Paid</v>
      </c>
      <c r="L17" s="13" t="n">
        <f aca="false">IF(ISNUMBER(G17),G17-D17,AsOfDate-D17)</f>
        <v>41</v>
      </c>
      <c r="M17" s="13" t="n">
        <f aca="false">IF(K17="Overdue",AsOfDate-J17,0)</f>
        <v>0</v>
      </c>
      <c r="N17" s="12" t="str">
        <f aca="false">IF(K17="Paid","Paid",IF(M17=0,"Current",IF(M17&lt;=30,"1-30",IF(M17&lt;=60,"31-60","60+"))))</f>
        <v>Paid</v>
      </c>
    </row>
    <row r="18" customFormat="false" ht="15" hidden="false" customHeight="false" outlineLevel="0" collapsed="false">
      <c r="A18" s="18" t="s">
        <v>2603</v>
      </c>
      <c r="B18" s="18" t="s">
        <v>215</v>
      </c>
      <c r="C18" s="18"/>
      <c r="D18" s="19" t="n">
        <v>45996</v>
      </c>
      <c r="E18" s="18" t="s">
        <v>2604</v>
      </c>
      <c r="F18" s="28" t="n">
        <v>68573.23</v>
      </c>
      <c r="G18" s="19" t="n">
        <v>46019</v>
      </c>
      <c r="H18" s="21" t="str">
        <f aca="false">IFERROR(INDEX(Projects!$D$2:$D$500,MATCH(B18,Projects!$A$2:$A$500,0)),"")</f>
        <v>Maple Ridge Financial</v>
      </c>
      <c r="I18" s="32" t="n">
        <f aca="false">IFERROR(INDEX(Clients!$G$2:$G$200,MATCH(INDEX(Projects!$C$2:$C$500,MATCH(B18,Projects!$A$2:$A$500,0)),Clients!$A$2:$A$200,0)),30)</f>
        <v>30</v>
      </c>
      <c r="J18" s="27" t="n">
        <f aca="false">D18+I18</f>
        <v>46026</v>
      </c>
      <c r="K18" s="12" t="str">
        <f aca="false">IF(ISNUMBER(G18),"Paid",IF(AsOfDate&gt;J18,"Overdue","Outstanding"))</f>
        <v>Paid</v>
      </c>
      <c r="L18" s="13" t="n">
        <f aca="false">IF(ISNUMBER(G18),G18-D18,AsOfDate-D18)</f>
        <v>23</v>
      </c>
      <c r="M18" s="13" t="n">
        <f aca="false">IF(K18="Overdue",AsOfDate-J18,0)</f>
        <v>0</v>
      </c>
      <c r="N18" s="12" t="str">
        <f aca="false">IF(K18="Paid","Paid",IF(M18=0,"Current",IF(M18&lt;=30,"1-30",IF(M18&lt;=60,"31-60","60+"))))</f>
        <v>Paid</v>
      </c>
    </row>
    <row r="19" customFormat="false" ht="15" hidden="false" customHeight="false" outlineLevel="0" collapsed="false">
      <c r="A19" s="18" t="s">
        <v>2605</v>
      </c>
      <c r="B19" s="18" t="s">
        <v>267</v>
      </c>
      <c r="C19" s="18"/>
      <c r="D19" s="19" t="n">
        <v>45996</v>
      </c>
      <c r="E19" s="18" t="s">
        <v>2606</v>
      </c>
      <c r="F19" s="28" t="n">
        <v>80555.56</v>
      </c>
      <c r="G19" s="19" t="n">
        <v>46041</v>
      </c>
      <c r="H19" s="21" t="str">
        <f aca="false">IFERROR(INDEX(Projects!$D$2:$D$500,MATCH(B19,Projects!$A$2:$A$500,0)),"")</f>
        <v>Harbourview Logistics</v>
      </c>
      <c r="I19" s="32" t="n">
        <f aca="false">IFERROR(INDEX(Clients!$G$2:$G$200,MATCH(INDEX(Projects!$C$2:$C$500,MATCH(B19,Projects!$A$2:$A$500,0)),Clients!$A$2:$A$200,0)),30)</f>
        <v>45</v>
      </c>
      <c r="J19" s="27" t="n">
        <f aca="false">D19+I19</f>
        <v>46041</v>
      </c>
      <c r="K19" s="12" t="str">
        <f aca="false">IF(ISNUMBER(G19),"Paid",IF(AsOfDate&gt;J19,"Overdue","Outstanding"))</f>
        <v>Paid</v>
      </c>
      <c r="L19" s="13" t="n">
        <f aca="false">IF(ISNUMBER(G19),G19-D19,AsOfDate-D19)</f>
        <v>45</v>
      </c>
      <c r="M19" s="13" t="n">
        <f aca="false">IF(K19="Overdue",AsOfDate-J19,0)</f>
        <v>0</v>
      </c>
      <c r="N19" s="12" t="str">
        <f aca="false">IF(K19="Paid","Paid",IF(M19=0,"Current",IF(M19&lt;=30,"1-30",IF(M19&lt;=60,"31-60","60+"))))</f>
        <v>Paid</v>
      </c>
    </row>
    <row r="20" customFormat="false" ht="15" hidden="false" customHeight="false" outlineLevel="0" collapsed="false">
      <c r="A20" s="18" t="s">
        <v>2607</v>
      </c>
      <c r="B20" s="18" t="s">
        <v>283</v>
      </c>
      <c r="C20" s="18"/>
      <c r="D20" s="19" t="n">
        <v>45996</v>
      </c>
      <c r="E20" s="18" t="s">
        <v>2604</v>
      </c>
      <c r="F20" s="28" t="n">
        <v>57923.36</v>
      </c>
      <c r="G20" s="19" t="n">
        <v>46037</v>
      </c>
      <c r="H20" s="21" t="str">
        <f aca="false">IFERROR(INDEX(Projects!$D$2:$D$500,MATCH(B20,Projects!$A$2:$A$500,0)),"")</f>
        <v>Granite Manufacturing</v>
      </c>
      <c r="I20" s="32" t="n">
        <f aca="false">IFERROR(INDEX(Clients!$G$2:$G$200,MATCH(INDEX(Projects!$C$2:$C$500,MATCH(B20,Projects!$A$2:$A$500,0)),Clients!$A$2:$A$200,0)),30)</f>
        <v>45</v>
      </c>
      <c r="J20" s="27" t="n">
        <f aca="false">D20+I20</f>
        <v>46041</v>
      </c>
      <c r="K20" s="12" t="str">
        <f aca="false">IF(ISNUMBER(G20),"Paid",IF(AsOfDate&gt;J20,"Overdue","Outstanding"))</f>
        <v>Paid</v>
      </c>
      <c r="L20" s="13" t="n">
        <f aca="false">IF(ISNUMBER(G20),G20-D20,AsOfDate-D20)</f>
        <v>41</v>
      </c>
      <c r="M20" s="13" t="n">
        <f aca="false">IF(K20="Overdue",AsOfDate-J20,0)</f>
        <v>0</v>
      </c>
      <c r="N20" s="12" t="str">
        <f aca="false">IF(K20="Paid","Paid",IF(M20=0,"Current",IF(M20&lt;=30,"1-30",IF(M20&lt;=60,"31-60","60+"))))</f>
        <v>Paid</v>
      </c>
    </row>
    <row r="21" customFormat="false" ht="15" hidden="false" customHeight="false" outlineLevel="0" collapsed="false">
      <c r="A21" s="18" t="s">
        <v>2608</v>
      </c>
      <c r="B21" s="18" t="s">
        <v>197</v>
      </c>
      <c r="C21" s="18" t="s">
        <v>2443</v>
      </c>
      <c r="D21" s="19" t="n">
        <v>46003</v>
      </c>
      <c r="E21" s="18" t="s">
        <v>2578</v>
      </c>
      <c r="F21" s="28" t="n">
        <v>110000</v>
      </c>
      <c r="G21" s="19" t="n">
        <v>46044</v>
      </c>
      <c r="H21" s="21" t="str">
        <f aca="false">IFERROR(INDEX(Projects!$D$2:$D$500,MATCH(B21,Projects!$A$2:$A$500,0)),"")</f>
        <v>Northgate Health Network</v>
      </c>
      <c r="I21" s="32" t="n">
        <f aca="false">IFERROR(INDEX(Clients!$G$2:$G$200,MATCH(INDEX(Projects!$C$2:$C$500,MATCH(B21,Projects!$A$2:$A$500,0)),Clients!$A$2:$A$200,0)),30)</f>
        <v>45</v>
      </c>
      <c r="J21" s="27" t="n">
        <f aca="false">D21+I21</f>
        <v>46048</v>
      </c>
      <c r="K21" s="12" t="str">
        <f aca="false">IF(ISNUMBER(G21),"Paid",IF(AsOfDate&gt;J21,"Overdue","Outstanding"))</f>
        <v>Paid</v>
      </c>
      <c r="L21" s="13" t="n">
        <f aca="false">IF(ISNUMBER(G21),G21-D21,AsOfDate-D21)</f>
        <v>41</v>
      </c>
      <c r="M21" s="13" t="n">
        <f aca="false">IF(K21="Overdue",AsOfDate-J21,0)</f>
        <v>0</v>
      </c>
      <c r="N21" s="12" t="str">
        <f aca="false">IF(K21="Paid","Paid",IF(M21=0,"Current",IF(M21&lt;=30,"1-30",IF(M21&lt;=60,"31-60","60+"))))</f>
        <v>Paid</v>
      </c>
    </row>
    <row r="22" customFormat="false" ht="15" hidden="false" customHeight="false" outlineLevel="0" collapsed="false">
      <c r="A22" s="18" t="s">
        <v>2609</v>
      </c>
      <c r="B22" s="18" t="s">
        <v>277</v>
      </c>
      <c r="C22" s="18" t="s">
        <v>2537</v>
      </c>
      <c r="D22" s="19" t="n">
        <v>46013</v>
      </c>
      <c r="E22" s="18" t="s">
        <v>2610</v>
      </c>
      <c r="F22" s="28" t="n">
        <v>124000</v>
      </c>
      <c r="G22" s="19" t="n">
        <v>46066</v>
      </c>
      <c r="H22" s="21" t="str">
        <f aca="false">IFERROR(INDEX(Projects!$D$2:$D$500,MATCH(B22,Projects!$A$2:$A$500,0)),"")</f>
        <v>Summit Telecom</v>
      </c>
      <c r="I22" s="32" t="n">
        <f aca="false">IFERROR(INDEX(Clients!$G$2:$G$200,MATCH(INDEX(Projects!$C$2:$C$500,MATCH(B22,Projects!$A$2:$A$500,0)),Clients!$A$2:$A$200,0)),30)</f>
        <v>45</v>
      </c>
      <c r="J22" s="27" t="n">
        <f aca="false">D22+I22</f>
        <v>46058</v>
      </c>
      <c r="K22" s="12" t="str">
        <f aca="false">IF(ISNUMBER(G22),"Paid",IF(AsOfDate&gt;J22,"Overdue","Outstanding"))</f>
        <v>Paid</v>
      </c>
      <c r="L22" s="13" t="n">
        <f aca="false">IF(ISNUMBER(G22),G22-D22,AsOfDate-D22)</f>
        <v>53</v>
      </c>
      <c r="M22" s="13" t="n">
        <f aca="false">IF(K22="Overdue",AsOfDate-J22,0)</f>
        <v>0</v>
      </c>
      <c r="N22" s="12" t="str">
        <f aca="false">IF(K22="Paid","Paid",IF(M22=0,"Current",IF(M22&lt;=30,"1-30",IF(M22&lt;=60,"31-60","60+"))))</f>
        <v>Paid</v>
      </c>
    </row>
    <row r="23" customFormat="false" ht="15" hidden="false" customHeight="false" outlineLevel="0" collapsed="false">
      <c r="A23" s="18" t="s">
        <v>2611</v>
      </c>
      <c r="B23" s="18" t="s">
        <v>281</v>
      </c>
      <c r="C23" s="18" t="s">
        <v>2540</v>
      </c>
      <c r="D23" s="19" t="n">
        <v>46020</v>
      </c>
      <c r="E23" s="18" t="s">
        <v>2593</v>
      </c>
      <c r="F23" s="28" t="n">
        <v>295500</v>
      </c>
      <c r="G23" s="19" t="n">
        <v>46073</v>
      </c>
      <c r="H23" s="21" t="str">
        <f aca="false">IFERROR(INDEX(Projects!$D$2:$D$500,MATCH(B23,Projects!$A$2:$A$500,0)),"")</f>
        <v>Pinecrest University</v>
      </c>
      <c r="I23" s="32" t="n">
        <f aca="false">IFERROR(INDEX(Clients!$G$2:$G$200,MATCH(INDEX(Projects!$C$2:$C$500,MATCH(B23,Projects!$A$2:$A$500,0)),Clients!$A$2:$A$200,0)),30)</f>
        <v>60</v>
      </c>
      <c r="J23" s="27" t="n">
        <f aca="false">D23+I23</f>
        <v>46080</v>
      </c>
      <c r="K23" s="12" t="str">
        <f aca="false">IF(ISNUMBER(G23),"Paid",IF(AsOfDate&gt;J23,"Overdue","Outstanding"))</f>
        <v>Paid</v>
      </c>
      <c r="L23" s="13" t="n">
        <f aca="false">IF(ISNUMBER(G23),G23-D23,AsOfDate-D23)</f>
        <v>53</v>
      </c>
      <c r="M23" s="13" t="n">
        <f aca="false">IF(K23="Overdue",AsOfDate-J23,0)</f>
        <v>0</v>
      </c>
      <c r="N23" s="12" t="str">
        <f aca="false">IF(K23="Paid","Paid",IF(M23=0,"Current",IF(M23&lt;=30,"1-30",IF(M23&lt;=60,"31-60","60+"))))</f>
        <v>Paid</v>
      </c>
    </row>
    <row r="24" customFormat="false" ht="15" hidden="false" customHeight="false" outlineLevel="0" collapsed="false">
      <c r="A24" s="18" t="s">
        <v>2612</v>
      </c>
      <c r="B24" s="18" t="s">
        <v>253</v>
      </c>
      <c r="C24" s="18" t="s">
        <v>2493</v>
      </c>
      <c r="D24" s="19" t="n">
        <v>46023</v>
      </c>
      <c r="E24" s="18" t="s">
        <v>2578</v>
      </c>
      <c r="F24" s="28" t="n">
        <v>73500</v>
      </c>
      <c r="G24" s="19" t="n">
        <v>46085</v>
      </c>
      <c r="H24" s="21" t="str">
        <f aca="false">IFERROR(INDEX(Projects!$D$2:$D$500,MATCH(B24,Projects!$A$2:$A$500,0)),"")</f>
        <v>Bluewater Municipal Services</v>
      </c>
      <c r="I24" s="32" t="n">
        <f aca="false">IFERROR(INDEX(Clients!$G$2:$G$200,MATCH(INDEX(Projects!$C$2:$C$500,MATCH(B24,Projects!$A$2:$A$500,0)),Clients!$A$2:$A$200,0)),30)</f>
        <v>60</v>
      </c>
      <c r="J24" s="27" t="n">
        <f aca="false">D24+I24</f>
        <v>46083</v>
      </c>
      <c r="K24" s="12" t="str">
        <f aca="false">IF(ISNUMBER(G24),"Paid",IF(AsOfDate&gt;J24,"Overdue","Outstanding"))</f>
        <v>Paid</v>
      </c>
      <c r="L24" s="13" t="n">
        <f aca="false">IF(ISNUMBER(G24),G24-D24,AsOfDate-D24)</f>
        <v>62</v>
      </c>
      <c r="M24" s="13" t="n">
        <f aca="false">IF(K24="Overdue",AsOfDate-J24,0)</f>
        <v>0</v>
      </c>
      <c r="N24" s="12" t="str">
        <f aca="false">IF(K24="Paid","Paid",IF(M24=0,"Current",IF(M24&lt;=30,"1-30",IF(M24&lt;=60,"31-60","60+"))))</f>
        <v>Paid</v>
      </c>
    </row>
    <row r="25" customFormat="false" ht="15" hidden="false" customHeight="false" outlineLevel="0" collapsed="false">
      <c r="A25" s="18" t="s">
        <v>2613</v>
      </c>
      <c r="B25" s="18" t="s">
        <v>215</v>
      </c>
      <c r="C25" s="18"/>
      <c r="D25" s="19" t="n">
        <v>46027</v>
      </c>
      <c r="E25" s="18" t="s">
        <v>2614</v>
      </c>
      <c r="F25" s="28" t="n">
        <v>99312.28</v>
      </c>
      <c r="G25" s="19" t="n">
        <v>46048</v>
      </c>
      <c r="H25" s="21" t="str">
        <f aca="false">IFERROR(INDEX(Projects!$D$2:$D$500,MATCH(B25,Projects!$A$2:$A$500,0)),"")</f>
        <v>Maple Ridge Financial</v>
      </c>
      <c r="I25" s="32" t="n">
        <f aca="false">IFERROR(INDEX(Clients!$G$2:$G$200,MATCH(INDEX(Projects!$C$2:$C$500,MATCH(B25,Projects!$A$2:$A$500,0)),Clients!$A$2:$A$200,0)),30)</f>
        <v>30</v>
      </c>
      <c r="J25" s="27" t="n">
        <f aca="false">D25+I25</f>
        <v>46057</v>
      </c>
      <c r="K25" s="12" t="str">
        <f aca="false">IF(ISNUMBER(G25),"Paid",IF(AsOfDate&gt;J25,"Overdue","Outstanding"))</f>
        <v>Paid</v>
      </c>
      <c r="L25" s="13" t="n">
        <f aca="false">IF(ISNUMBER(G25),G25-D25,AsOfDate-D25)</f>
        <v>21</v>
      </c>
      <c r="M25" s="13" t="n">
        <f aca="false">IF(K25="Overdue",AsOfDate-J25,0)</f>
        <v>0</v>
      </c>
      <c r="N25" s="12" t="str">
        <f aca="false">IF(K25="Paid","Paid",IF(M25=0,"Current",IF(M25&lt;=30,"1-30",IF(M25&lt;=60,"31-60","60+"))))</f>
        <v>Paid</v>
      </c>
    </row>
    <row r="26" customFormat="false" ht="15" hidden="false" customHeight="false" outlineLevel="0" collapsed="false">
      <c r="A26" s="18" t="s">
        <v>2615</v>
      </c>
      <c r="B26" s="18" t="s">
        <v>267</v>
      </c>
      <c r="C26" s="18"/>
      <c r="D26" s="19" t="n">
        <v>46027</v>
      </c>
      <c r="E26" s="18" t="s">
        <v>2616</v>
      </c>
      <c r="F26" s="28" t="n">
        <v>80555.56</v>
      </c>
      <c r="G26" s="19" t="n">
        <v>46082</v>
      </c>
      <c r="H26" s="21" t="str">
        <f aca="false">IFERROR(INDEX(Projects!$D$2:$D$500,MATCH(B26,Projects!$A$2:$A$500,0)),"")</f>
        <v>Harbourview Logistics</v>
      </c>
      <c r="I26" s="32" t="n">
        <f aca="false">IFERROR(INDEX(Clients!$G$2:$G$200,MATCH(INDEX(Projects!$C$2:$C$500,MATCH(B26,Projects!$A$2:$A$500,0)),Clients!$A$2:$A$200,0)),30)</f>
        <v>45</v>
      </c>
      <c r="J26" s="27" t="n">
        <f aca="false">D26+I26</f>
        <v>46072</v>
      </c>
      <c r="K26" s="12" t="str">
        <f aca="false">IF(ISNUMBER(G26),"Paid",IF(AsOfDate&gt;J26,"Overdue","Outstanding"))</f>
        <v>Paid</v>
      </c>
      <c r="L26" s="13" t="n">
        <f aca="false">IF(ISNUMBER(G26),G26-D26,AsOfDate-D26)</f>
        <v>55</v>
      </c>
      <c r="M26" s="13" t="n">
        <f aca="false">IF(K26="Overdue",AsOfDate-J26,0)</f>
        <v>0</v>
      </c>
      <c r="N26" s="12" t="str">
        <f aca="false">IF(K26="Paid","Paid",IF(M26=0,"Current",IF(M26&lt;=30,"1-30",IF(M26&lt;=60,"31-60","60+"))))</f>
        <v>Paid</v>
      </c>
    </row>
    <row r="27" customFormat="false" ht="15" hidden="false" customHeight="false" outlineLevel="0" collapsed="false">
      <c r="A27" s="18" t="s">
        <v>2617</v>
      </c>
      <c r="B27" s="18" t="s">
        <v>283</v>
      </c>
      <c r="C27" s="18"/>
      <c r="D27" s="19" t="n">
        <v>46027</v>
      </c>
      <c r="E27" s="18" t="s">
        <v>2614</v>
      </c>
      <c r="F27" s="28" t="n">
        <v>89213.9</v>
      </c>
      <c r="G27" s="19" t="n">
        <v>46077</v>
      </c>
      <c r="H27" s="21" t="str">
        <f aca="false">IFERROR(INDEX(Projects!$D$2:$D$500,MATCH(B27,Projects!$A$2:$A$500,0)),"")</f>
        <v>Granite Manufacturing</v>
      </c>
      <c r="I27" s="32" t="n">
        <f aca="false">IFERROR(INDEX(Clients!$G$2:$G$200,MATCH(INDEX(Projects!$C$2:$C$500,MATCH(B27,Projects!$A$2:$A$500,0)),Clients!$A$2:$A$200,0)),30)</f>
        <v>45</v>
      </c>
      <c r="J27" s="27" t="n">
        <f aca="false">D27+I27</f>
        <v>46072</v>
      </c>
      <c r="K27" s="12" t="str">
        <f aca="false">IF(ISNUMBER(G27),"Paid",IF(AsOfDate&gt;J27,"Overdue","Outstanding"))</f>
        <v>Paid</v>
      </c>
      <c r="L27" s="13" t="n">
        <f aca="false">IF(ISNUMBER(G27),G27-D27,AsOfDate-D27)</f>
        <v>50</v>
      </c>
      <c r="M27" s="13" t="n">
        <f aca="false">IF(K27="Overdue",AsOfDate-J27,0)</f>
        <v>0</v>
      </c>
      <c r="N27" s="12" t="str">
        <f aca="false">IF(K27="Paid","Paid",IF(M27=0,"Current",IF(M27&lt;=30,"1-30",IF(M27&lt;=60,"31-60","60+"))))</f>
        <v>Paid</v>
      </c>
    </row>
    <row r="28" customFormat="false" ht="15" hidden="false" customHeight="false" outlineLevel="0" collapsed="false">
      <c r="A28" s="18" t="s">
        <v>2618</v>
      </c>
      <c r="B28" s="18" t="s">
        <v>233</v>
      </c>
      <c r="C28" s="18" t="s">
        <v>2474</v>
      </c>
      <c r="D28" s="19" t="n">
        <v>46034</v>
      </c>
      <c r="E28" s="18" t="s">
        <v>2581</v>
      </c>
      <c r="F28" s="28" t="n">
        <v>188000</v>
      </c>
      <c r="G28" s="19" t="n">
        <v>46092</v>
      </c>
      <c r="H28" s="21" t="str">
        <f aca="false">IFERROR(INDEX(Projects!$D$2:$D$500,MATCH(B28,Projects!$A$2:$A$500,0)),"")</f>
        <v>Aurora Retail Group</v>
      </c>
      <c r="I28" s="32" t="n">
        <f aca="false">IFERROR(INDEX(Clients!$G$2:$G$200,MATCH(INDEX(Projects!$C$2:$C$500,MATCH(B28,Projects!$A$2:$A$500,0)),Clients!$A$2:$A$200,0)),30)</f>
        <v>60</v>
      </c>
      <c r="J28" s="27" t="n">
        <f aca="false">D28+I28</f>
        <v>46094</v>
      </c>
      <c r="K28" s="12" t="str">
        <f aca="false">IF(ISNUMBER(G28),"Paid",IF(AsOfDate&gt;J28,"Overdue","Outstanding"))</f>
        <v>Paid</v>
      </c>
      <c r="L28" s="13" t="n">
        <f aca="false">IF(ISNUMBER(G28),G28-D28,AsOfDate-D28)</f>
        <v>58</v>
      </c>
      <c r="M28" s="13" t="n">
        <f aca="false">IF(K28="Overdue",AsOfDate-J28,0)</f>
        <v>0</v>
      </c>
      <c r="N28" s="12" t="str">
        <f aca="false">IF(K28="Paid","Paid",IF(M28=0,"Current",IF(M28&lt;=30,"1-30",IF(M28&lt;=60,"31-60","60+"))))</f>
        <v>Paid</v>
      </c>
    </row>
    <row r="29" customFormat="false" ht="15" hidden="false" customHeight="false" outlineLevel="0" collapsed="false">
      <c r="A29" s="18" t="s">
        <v>2619</v>
      </c>
      <c r="B29" s="18" t="s">
        <v>215</v>
      </c>
      <c r="C29" s="18"/>
      <c r="D29" s="19" t="n">
        <v>46058</v>
      </c>
      <c r="E29" s="18" t="s">
        <v>2620</v>
      </c>
      <c r="F29" s="28" t="n">
        <v>92039.18</v>
      </c>
      <c r="G29" s="19" t="n">
        <v>46081</v>
      </c>
      <c r="H29" s="21" t="str">
        <f aca="false">IFERROR(INDEX(Projects!$D$2:$D$500,MATCH(B29,Projects!$A$2:$A$500,0)),"")</f>
        <v>Maple Ridge Financial</v>
      </c>
      <c r="I29" s="32" t="n">
        <f aca="false">IFERROR(INDEX(Clients!$G$2:$G$200,MATCH(INDEX(Projects!$C$2:$C$500,MATCH(B29,Projects!$A$2:$A$500,0)),Clients!$A$2:$A$200,0)),30)</f>
        <v>30</v>
      </c>
      <c r="J29" s="27" t="n">
        <f aca="false">D29+I29</f>
        <v>46088</v>
      </c>
      <c r="K29" s="12" t="str">
        <f aca="false">IF(ISNUMBER(G29),"Paid",IF(AsOfDate&gt;J29,"Overdue","Outstanding"))</f>
        <v>Paid</v>
      </c>
      <c r="L29" s="13" t="n">
        <f aca="false">IF(ISNUMBER(G29),G29-D29,AsOfDate-D29)</f>
        <v>23</v>
      </c>
      <c r="M29" s="13" t="n">
        <f aca="false">IF(K29="Overdue",AsOfDate-J29,0)</f>
        <v>0</v>
      </c>
      <c r="N29" s="12" t="str">
        <f aca="false">IF(K29="Paid","Paid",IF(M29=0,"Current",IF(M29&lt;=30,"1-30",IF(M29&lt;=60,"31-60","60+"))))</f>
        <v>Paid</v>
      </c>
    </row>
    <row r="30" customFormat="false" ht="15" hidden="false" customHeight="false" outlineLevel="0" collapsed="false">
      <c r="A30" s="18" t="s">
        <v>2621</v>
      </c>
      <c r="B30" s="18" t="s">
        <v>244</v>
      </c>
      <c r="C30" s="18"/>
      <c r="D30" s="19" t="n">
        <v>46058</v>
      </c>
      <c r="E30" s="18" t="s">
        <v>2620</v>
      </c>
      <c r="F30" s="28" t="n">
        <v>82799.25</v>
      </c>
      <c r="G30" s="19" t="n">
        <v>46109</v>
      </c>
      <c r="H30" s="21" t="str">
        <f aca="false">IFERROR(INDEX(Projects!$D$2:$D$500,MATCH(B30,Projects!$A$2:$A$500,0)),"")</f>
        <v>Summit Telecom</v>
      </c>
      <c r="I30" s="32" t="n">
        <f aca="false">IFERROR(INDEX(Clients!$G$2:$G$200,MATCH(INDEX(Projects!$C$2:$C$500,MATCH(B30,Projects!$A$2:$A$500,0)),Clients!$A$2:$A$200,0)),30)</f>
        <v>45</v>
      </c>
      <c r="J30" s="27" t="n">
        <f aca="false">D30+I30</f>
        <v>46103</v>
      </c>
      <c r="K30" s="12" t="str">
        <f aca="false">IF(ISNUMBER(G30),"Paid",IF(AsOfDate&gt;J30,"Overdue","Outstanding"))</f>
        <v>Paid</v>
      </c>
      <c r="L30" s="13" t="n">
        <f aca="false">IF(ISNUMBER(G30),G30-D30,AsOfDate-D30)</f>
        <v>51</v>
      </c>
      <c r="M30" s="13" t="n">
        <f aca="false">IF(K30="Overdue",AsOfDate-J30,0)</f>
        <v>0</v>
      </c>
      <c r="N30" s="12" t="str">
        <f aca="false">IF(K30="Paid","Paid",IF(M30=0,"Current",IF(M30&lt;=30,"1-30",IF(M30&lt;=60,"31-60","60+"))))</f>
        <v>Paid</v>
      </c>
    </row>
    <row r="31" customFormat="false" ht="15" hidden="false" customHeight="false" outlineLevel="0" collapsed="false">
      <c r="A31" s="18" t="s">
        <v>2622</v>
      </c>
      <c r="B31" s="18" t="s">
        <v>267</v>
      </c>
      <c r="C31" s="18"/>
      <c r="D31" s="19" t="n">
        <v>46058</v>
      </c>
      <c r="E31" s="18" t="s">
        <v>2623</v>
      </c>
      <c r="F31" s="28" t="n">
        <v>80555.56</v>
      </c>
      <c r="G31" s="19" t="n">
        <v>46113</v>
      </c>
      <c r="H31" s="21" t="str">
        <f aca="false">IFERROR(INDEX(Projects!$D$2:$D$500,MATCH(B31,Projects!$A$2:$A$500,0)),"")</f>
        <v>Harbourview Logistics</v>
      </c>
      <c r="I31" s="32" t="n">
        <f aca="false">IFERROR(INDEX(Clients!$G$2:$G$200,MATCH(INDEX(Projects!$C$2:$C$500,MATCH(B31,Projects!$A$2:$A$500,0)),Clients!$A$2:$A$200,0)),30)</f>
        <v>45</v>
      </c>
      <c r="J31" s="27" t="n">
        <f aca="false">D31+I31</f>
        <v>46103</v>
      </c>
      <c r="K31" s="12" t="str">
        <f aca="false">IF(ISNUMBER(G31),"Paid",IF(AsOfDate&gt;J31,"Overdue","Outstanding"))</f>
        <v>Paid</v>
      </c>
      <c r="L31" s="13" t="n">
        <f aca="false">IF(ISNUMBER(G31),G31-D31,AsOfDate-D31)</f>
        <v>55</v>
      </c>
      <c r="M31" s="13" t="n">
        <f aca="false">IF(K31="Overdue",AsOfDate-J31,0)</f>
        <v>0</v>
      </c>
      <c r="N31" s="12" t="str">
        <f aca="false">IF(K31="Paid","Paid",IF(M31=0,"Current",IF(M31&lt;=30,"1-30",IF(M31&lt;=60,"31-60","60+"))))</f>
        <v>Paid</v>
      </c>
    </row>
    <row r="32" customFormat="false" ht="15" hidden="false" customHeight="false" outlineLevel="0" collapsed="false">
      <c r="A32" s="18" t="s">
        <v>2624</v>
      </c>
      <c r="B32" s="18" t="s">
        <v>283</v>
      </c>
      <c r="C32" s="18"/>
      <c r="D32" s="19" t="n">
        <v>46058</v>
      </c>
      <c r="E32" s="18" t="s">
        <v>2620</v>
      </c>
      <c r="F32" s="28" t="n">
        <v>86768.78</v>
      </c>
      <c r="G32" s="19" t="n">
        <v>46094</v>
      </c>
      <c r="H32" s="21" t="str">
        <f aca="false">IFERROR(INDEX(Projects!$D$2:$D$500,MATCH(B32,Projects!$A$2:$A$500,0)),"")</f>
        <v>Granite Manufacturing</v>
      </c>
      <c r="I32" s="32" t="n">
        <f aca="false">IFERROR(INDEX(Clients!$G$2:$G$200,MATCH(INDEX(Projects!$C$2:$C$500,MATCH(B32,Projects!$A$2:$A$500,0)),Clients!$A$2:$A$200,0)),30)</f>
        <v>45</v>
      </c>
      <c r="J32" s="27" t="n">
        <f aca="false">D32+I32</f>
        <v>46103</v>
      </c>
      <c r="K32" s="12" t="str">
        <f aca="false">IF(ISNUMBER(G32),"Paid",IF(AsOfDate&gt;J32,"Overdue","Outstanding"))</f>
        <v>Paid</v>
      </c>
      <c r="L32" s="13" t="n">
        <f aca="false">IF(ISNUMBER(G32),G32-D32,AsOfDate-D32)</f>
        <v>36</v>
      </c>
      <c r="M32" s="13" t="n">
        <f aca="false">IF(K32="Overdue",AsOfDate-J32,0)</f>
        <v>0</v>
      </c>
      <c r="N32" s="12" t="str">
        <f aca="false">IF(K32="Paid","Paid",IF(M32=0,"Current",IF(M32&lt;=30,"1-30",IF(M32&lt;=60,"31-60","60+"))))</f>
        <v>Paid</v>
      </c>
    </row>
    <row r="33" customFormat="false" ht="15" hidden="false" customHeight="false" outlineLevel="0" collapsed="false">
      <c r="A33" s="18" t="s">
        <v>2625</v>
      </c>
      <c r="B33" s="18" t="s">
        <v>197</v>
      </c>
      <c r="C33" s="18" t="s">
        <v>2445</v>
      </c>
      <c r="D33" s="19" t="n">
        <v>46062</v>
      </c>
      <c r="E33" s="18" t="s">
        <v>2581</v>
      </c>
      <c r="F33" s="28" t="n">
        <v>220000</v>
      </c>
      <c r="G33" s="19" t="n">
        <v>46108</v>
      </c>
      <c r="H33" s="21" t="str">
        <f aca="false">IFERROR(INDEX(Projects!$D$2:$D$500,MATCH(B33,Projects!$A$2:$A$500,0)),"")</f>
        <v>Northgate Health Network</v>
      </c>
      <c r="I33" s="32" t="n">
        <f aca="false">IFERROR(INDEX(Clients!$G$2:$G$200,MATCH(INDEX(Projects!$C$2:$C$500,MATCH(B33,Projects!$A$2:$A$500,0)),Clients!$A$2:$A$200,0)),30)</f>
        <v>45</v>
      </c>
      <c r="J33" s="27" t="n">
        <f aca="false">D33+I33</f>
        <v>46107</v>
      </c>
      <c r="K33" s="12" t="str">
        <f aca="false">IF(ISNUMBER(G33),"Paid",IF(AsOfDate&gt;J33,"Overdue","Outstanding"))</f>
        <v>Paid</v>
      </c>
      <c r="L33" s="13" t="n">
        <f aca="false">IF(ISNUMBER(G33),G33-D33,AsOfDate-D33)</f>
        <v>46</v>
      </c>
      <c r="M33" s="13" t="n">
        <f aca="false">IF(K33="Overdue",AsOfDate-J33,0)</f>
        <v>0</v>
      </c>
      <c r="N33" s="12" t="str">
        <f aca="false">IF(K33="Paid","Paid",IF(M33=0,"Current",IF(M33&lt;=30,"1-30",IF(M33&lt;=60,"31-60","60+"))))</f>
        <v>Paid</v>
      </c>
    </row>
    <row r="34" customFormat="false" ht="15" hidden="false" customHeight="false" outlineLevel="0" collapsed="false">
      <c r="A34" s="18" t="s">
        <v>2626</v>
      </c>
      <c r="B34" s="18" t="s">
        <v>207</v>
      </c>
      <c r="C34" s="18" t="s">
        <v>2453</v>
      </c>
      <c r="D34" s="19" t="n">
        <v>46069</v>
      </c>
      <c r="E34" s="18" t="s">
        <v>2578</v>
      </c>
      <c r="F34" s="28" t="n">
        <v>68500</v>
      </c>
      <c r="G34" s="19" t="n">
        <v>46102</v>
      </c>
      <c r="H34" s="21" t="str">
        <f aca="false">IFERROR(INDEX(Projects!$D$2:$D$500,MATCH(B34,Projects!$A$2:$A$500,0)),"")</f>
        <v>Crestline Insurance</v>
      </c>
      <c r="I34" s="32" t="n">
        <f aca="false">IFERROR(INDEX(Clients!$G$2:$G$200,MATCH(INDEX(Projects!$C$2:$C$500,MATCH(B34,Projects!$A$2:$A$500,0)),Clients!$A$2:$A$200,0)),30)</f>
        <v>30</v>
      </c>
      <c r="J34" s="27" t="n">
        <f aca="false">D34+I34</f>
        <v>46099</v>
      </c>
      <c r="K34" s="12" t="str">
        <f aca="false">IF(ISNUMBER(G34),"Paid",IF(AsOfDate&gt;J34,"Overdue","Outstanding"))</f>
        <v>Paid</v>
      </c>
      <c r="L34" s="13" t="n">
        <f aca="false">IF(ISNUMBER(G34),G34-D34,AsOfDate-D34)</f>
        <v>33</v>
      </c>
      <c r="M34" s="13" t="n">
        <f aca="false">IF(K34="Overdue",AsOfDate-J34,0)</f>
        <v>0</v>
      </c>
      <c r="N34" s="12" t="str">
        <f aca="false">IF(K34="Paid","Paid",IF(M34=0,"Current",IF(M34&lt;=30,"1-30",IF(M34&lt;=60,"31-60","60+"))))</f>
        <v>Paid</v>
      </c>
    </row>
    <row r="35" customFormat="false" ht="15" hidden="false" customHeight="false" outlineLevel="0" collapsed="false">
      <c r="A35" s="18" t="s">
        <v>2627</v>
      </c>
      <c r="B35" s="18" t="s">
        <v>275</v>
      </c>
      <c r="C35" s="18" t="s">
        <v>2528</v>
      </c>
      <c r="D35" s="19" t="n">
        <v>46072</v>
      </c>
      <c r="E35" s="18" t="s">
        <v>2578</v>
      </c>
      <c r="F35" s="28" t="n">
        <v>46500</v>
      </c>
      <c r="G35" s="19" t="n">
        <v>46157</v>
      </c>
      <c r="H35" s="21" t="str">
        <f aca="false">IFERROR(INDEX(Projects!$D$2:$D$500,MATCH(B35,Projects!$A$2:$A$500,0)),"")</f>
        <v>Aurora Retail Group</v>
      </c>
      <c r="I35" s="32" t="n">
        <f aca="false">IFERROR(INDEX(Clients!$G$2:$G$200,MATCH(INDEX(Projects!$C$2:$C$500,MATCH(B35,Projects!$A$2:$A$500,0)),Clients!$A$2:$A$200,0)),30)</f>
        <v>60</v>
      </c>
      <c r="J35" s="27" t="n">
        <f aca="false">D35+I35</f>
        <v>46132</v>
      </c>
      <c r="K35" s="12" t="str">
        <f aca="false">IF(ISNUMBER(G35),"Paid",IF(AsOfDate&gt;J35,"Overdue","Outstanding"))</f>
        <v>Paid</v>
      </c>
      <c r="L35" s="13" t="n">
        <f aca="false">IF(ISNUMBER(G35),G35-D35,AsOfDate-D35)</f>
        <v>85</v>
      </c>
      <c r="M35" s="13" t="n">
        <f aca="false">IF(K35="Overdue",AsOfDate-J35,0)</f>
        <v>0</v>
      </c>
      <c r="N35" s="12" t="str">
        <f aca="false">IF(K35="Paid","Paid",IF(M35=0,"Current",IF(M35&lt;=30,"1-30",IF(M35&lt;=60,"31-60","60+"))))</f>
        <v>Paid</v>
      </c>
    </row>
    <row r="36" customFormat="false" ht="15" hidden="false" customHeight="false" outlineLevel="0" collapsed="false">
      <c r="A36" s="18" t="s">
        <v>2628</v>
      </c>
      <c r="B36" s="18" t="s">
        <v>253</v>
      </c>
      <c r="C36" s="18" t="s">
        <v>2494</v>
      </c>
      <c r="D36" s="19" t="n">
        <v>46073</v>
      </c>
      <c r="E36" s="18" t="s">
        <v>2581</v>
      </c>
      <c r="F36" s="28" t="n">
        <v>147000</v>
      </c>
      <c r="G36" s="19" t="n">
        <v>46158</v>
      </c>
      <c r="H36" s="21" t="str">
        <f aca="false">IFERROR(INDEX(Projects!$D$2:$D$500,MATCH(B36,Projects!$A$2:$A$500,0)),"")</f>
        <v>Bluewater Municipal Services</v>
      </c>
      <c r="I36" s="32" t="n">
        <f aca="false">IFERROR(INDEX(Clients!$G$2:$G$200,MATCH(INDEX(Projects!$C$2:$C$500,MATCH(B36,Projects!$A$2:$A$500,0)),Clients!$A$2:$A$200,0)),30)</f>
        <v>60</v>
      </c>
      <c r="J36" s="27" t="n">
        <f aca="false">D36+I36</f>
        <v>46133</v>
      </c>
      <c r="K36" s="12" t="str">
        <f aca="false">IF(ISNUMBER(G36),"Paid",IF(AsOfDate&gt;J36,"Overdue","Outstanding"))</f>
        <v>Paid</v>
      </c>
      <c r="L36" s="13" t="n">
        <f aca="false">IF(ISNUMBER(G36),G36-D36,AsOfDate-D36)</f>
        <v>85</v>
      </c>
      <c r="M36" s="13" t="n">
        <f aca="false">IF(K36="Overdue",AsOfDate-J36,0)</f>
        <v>0</v>
      </c>
      <c r="N36" s="12" t="str">
        <f aca="false">IF(K36="Paid","Paid",IF(M36=0,"Current",IF(M36&lt;=30,"1-30",IF(M36&lt;=60,"31-60","60+"))))</f>
        <v>Paid</v>
      </c>
    </row>
    <row r="37" customFormat="false" ht="15" hidden="false" customHeight="false" outlineLevel="0" collapsed="false">
      <c r="A37" s="18" t="s">
        <v>2629</v>
      </c>
      <c r="B37" s="18" t="s">
        <v>215</v>
      </c>
      <c r="C37" s="18"/>
      <c r="D37" s="19" t="n">
        <v>46086</v>
      </c>
      <c r="E37" s="18" t="s">
        <v>2630</v>
      </c>
      <c r="F37" s="28" t="n">
        <v>90055.45</v>
      </c>
      <c r="G37" s="19" t="n">
        <v>46110</v>
      </c>
      <c r="H37" s="21" t="str">
        <f aca="false">IFERROR(INDEX(Projects!$D$2:$D$500,MATCH(B37,Projects!$A$2:$A$500,0)),"")</f>
        <v>Maple Ridge Financial</v>
      </c>
      <c r="I37" s="32" t="n">
        <f aca="false">IFERROR(INDEX(Clients!$G$2:$G$200,MATCH(INDEX(Projects!$C$2:$C$500,MATCH(B37,Projects!$A$2:$A$500,0)),Clients!$A$2:$A$200,0)),30)</f>
        <v>30</v>
      </c>
      <c r="J37" s="27" t="n">
        <f aca="false">D37+I37</f>
        <v>46116</v>
      </c>
      <c r="K37" s="12" t="str">
        <f aca="false">IF(ISNUMBER(G37),"Paid",IF(AsOfDate&gt;J37,"Overdue","Outstanding"))</f>
        <v>Paid</v>
      </c>
      <c r="L37" s="13" t="n">
        <f aca="false">IF(ISNUMBER(G37),G37-D37,AsOfDate-D37)</f>
        <v>24</v>
      </c>
      <c r="M37" s="13" t="n">
        <f aca="false">IF(K37="Overdue",AsOfDate-J37,0)</f>
        <v>0</v>
      </c>
      <c r="N37" s="12" t="str">
        <f aca="false">IF(K37="Paid","Paid",IF(M37=0,"Current",IF(M37&lt;=30,"1-30",IF(M37&lt;=60,"31-60","60+"))))</f>
        <v>Paid</v>
      </c>
    </row>
    <row r="38" customFormat="false" ht="15" hidden="false" customHeight="false" outlineLevel="0" collapsed="false">
      <c r="A38" s="18" t="s">
        <v>2631</v>
      </c>
      <c r="B38" s="18" t="s">
        <v>244</v>
      </c>
      <c r="C38" s="18"/>
      <c r="D38" s="19" t="n">
        <v>46086</v>
      </c>
      <c r="E38" s="18" t="s">
        <v>2630</v>
      </c>
      <c r="F38" s="28" t="n">
        <v>83036.53</v>
      </c>
      <c r="G38" s="19" t="n">
        <v>46129</v>
      </c>
      <c r="H38" s="21" t="str">
        <f aca="false">IFERROR(INDEX(Projects!$D$2:$D$500,MATCH(B38,Projects!$A$2:$A$500,0)),"")</f>
        <v>Summit Telecom</v>
      </c>
      <c r="I38" s="32" t="n">
        <f aca="false">IFERROR(INDEX(Clients!$G$2:$G$200,MATCH(INDEX(Projects!$C$2:$C$500,MATCH(B38,Projects!$A$2:$A$500,0)),Clients!$A$2:$A$200,0)),30)</f>
        <v>45</v>
      </c>
      <c r="J38" s="27" t="n">
        <f aca="false">D38+I38</f>
        <v>46131</v>
      </c>
      <c r="K38" s="12" t="str">
        <f aca="false">IF(ISNUMBER(G38),"Paid",IF(AsOfDate&gt;J38,"Overdue","Outstanding"))</f>
        <v>Paid</v>
      </c>
      <c r="L38" s="13" t="n">
        <f aca="false">IF(ISNUMBER(G38),G38-D38,AsOfDate-D38)</f>
        <v>43</v>
      </c>
      <c r="M38" s="13" t="n">
        <f aca="false">IF(K38="Overdue",AsOfDate-J38,0)</f>
        <v>0</v>
      </c>
      <c r="N38" s="12" t="str">
        <f aca="false">IF(K38="Paid","Paid",IF(M38=0,"Current",IF(M38&lt;=30,"1-30",IF(M38&lt;=60,"31-60","60+"))))</f>
        <v>Paid</v>
      </c>
    </row>
    <row r="39" customFormat="false" ht="15" hidden="false" customHeight="false" outlineLevel="0" collapsed="false">
      <c r="A39" s="18" t="s">
        <v>2632</v>
      </c>
      <c r="B39" s="18" t="s">
        <v>257</v>
      </c>
      <c r="C39" s="18"/>
      <c r="D39" s="19" t="n">
        <v>46086</v>
      </c>
      <c r="E39" s="18" t="s">
        <v>2630</v>
      </c>
      <c r="F39" s="28" t="n">
        <v>25018.08</v>
      </c>
      <c r="G39" s="19" t="n">
        <v>46125</v>
      </c>
      <c r="H39" s="21" t="str">
        <f aca="false">IFERROR(INDEX(Projects!$D$2:$D$500,MATCH(B39,Projects!$A$2:$A$500,0)),"")</f>
        <v>Evergreen Pharma</v>
      </c>
      <c r="I39" s="32" t="n">
        <f aca="false">IFERROR(INDEX(Clients!$G$2:$G$200,MATCH(INDEX(Projects!$C$2:$C$500,MATCH(B39,Projects!$A$2:$A$500,0)),Clients!$A$2:$A$200,0)),30)</f>
        <v>45</v>
      </c>
      <c r="J39" s="27" t="n">
        <f aca="false">D39+I39</f>
        <v>46131</v>
      </c>
      <c r="K39" s="12" t="str">
        <f aca="false">IF(ISNUMBER(G39),"Paid",IF(AsOfDate&gt;J39,"Overdue","Outstanding"))</f>
        <v>Paid</v>
      </c>
      <c r="L39" s="13" t="n">
        <f aca="false">IF(ISNUMBER(G39),G39-D39,AsOfDate-D39)</f>
        <v>39</v>
      </c>
      <c r="M39" s="13" t="n">
        <f aca="false">IF(K39="Overdue",AsOfDate-J39,0)</f>
        <v>0</v>
      </c>
      <c r="N39" s="12" t="str">
        <f aca="false">IF(K39="Paid","Paid",IF(M39=0,"Current",IF(M39&lt;=30,"1-30",IF(M39&lt;=60,"31-60","60+"))))</f>
        <v>Paid</v>
      </c>
    </row>
    <row r="40" customFormat="false" ht="15" hidden="false" customHeight="false" outlineLevel="0" collapsed="false">
      <c r="A40" s="18" t="s">
        <v>2633</v>
      </c>
      <c r="B40" s="18" t="s">
        <v>267</v>
      </c>
      <c r="C40" s="18"/>
      <c r="D40" s="19" t="n">
        <v>46086</v>
      </c>
      <c r="E40" s="18" t="s">
        <v>2634</v>
      </c>
      <c r="F40" s="28" t="n">
        <v>80555.56</v>
      </c>
      <c r="G40" s="19" t="n">
        <v>46123</v>
      </c>
      <c r="H40" s="21" t="str">
        <f aca="false">IFERROR(INDEX(Projects!$D$2:$D$500,MATCH(B40,Projects!$A$2:$A$500,0)),"")</f>
        <v>Harbourview Logistics</v>
      </c>
      <c r="I40" s="32" t="n">
        <f aca="false">IFERROR(INDEX(Clients!$G$2:$G$200,MATCH(INDEX(Projects!$C$2:$C$500,MATCH(B40,Projects!$A$2:$A$500,0)),Clients!$A$2:$A$200,0)),30)</f>
        <v>45</v>
      </c>
      <c r="J40" s="27" t="n">
        <f aca="false">D40+I40</f>
        <v>46131</v>
      </c>
      <c r="K40" s="12" t="str">
        <f aca="false">IF(ISNUMBER(G40),"Paid",IF(AsOfDate&gt;J40,"Overdue","Outstanding"))</f>
        <v>Paid</v>
      </c>
      <c r="L40" s="13" t="n">
        <f aca="false">IF(ISNUMBER(G40),G40-D40,AsOfDate-D40)</f>
        <v>37</v>
      </c>
      <c r="M40" s="13" t="n">
        <f aca="false">IF(K40="Overdue",AsOfDate-J40,0)</f>
        <v>0</v>
      </c>
      <c r="N40" s="12" t="str">
        <f aca="false">IF(K40="Paid","Paid",IF(M40=0,"Current",IF(M40&lt;=30,"1-30",IF(M40&lt;=60,"31-60","60+"))))</f>
        <v>Paid</v>
      </c>
    </row>
    <row r="41" customFormat="false" ht="15" hidden="false" customHeight="false" outlineLevel="0" collapsed="false">
      <c r="A41" s="18" t="s">
        <v>2635</v>
      </c>
      <c r="B41" s="18" t="s">
        <v>283</v>
      </c>
      <c r="C41" s="18"/>
      <c r="D41" s="19" t="n">
        <v>46086</v>
      </c>
      <c r="E41" s="18" t="s">
        <v>2630</v>
      </c>
      <c r="F41" s="28" t="n">
        <v>81169.46</v>
      </c>
      <c r="G41" s="19" t="n">
        <v>46125</v>
      </c>
      <c r="H41" s="21" t="str">
        <f aca="false">IFERROR(INDEX(Projects!$D$2:$D$500,MATCH(B41,Projects!$A$2:$A$500,0)),"")</f>
        <v>Granite Manufacturing</v>
      </c>
      <c r="I41" s="32" t="n">
        <f aca="false">IFERROR(INDEX(Clients!$G$2:$G$200,MATCH(INDEX(Projects!$C$2:$C$500,MATCH(B41,Projects!$A$2:$A$500,0)),Clients!$A$2:$A$200,0)),30)</f>
        <v>45</v>
      </c>
      <c r="J41" s="27" t="n">
        <f aca="false">D41+I41</f>
        <v>46131</v>
      </c>
      <c r="K41" s="12" t="str">
        <f aca="false">IF(ISNUMBER(G41),"Paid",IF(AsOfDate&gt;J41,"Overdue","Outstanding"))</f>
        <v>Paid</v>
      </c>
      <c r="L41" s="13" t="n">
        <f aca="false">IF(ISNUMBER(G41),G41-D41,AsOfDate-D41)</f>
        <v>39</v>
      </c>
      <c r="M41" s="13" t="n">
        <f aca="false">IF(K41="Overdue",AsOfDate-J41,0)</f>
        <v>0</v>
      </c>
      <c r="N41" s="12" t="str">
        <f aca="false">IF(K41="Paid","Paid",IF(M41=0,"Current",IF(M41&lt;=30,"1-30",IF(M41&lt;=60,"31-60","60+"))))</f>
        <v>Paid</v>
      </c>
    </row>
    <row r="42" customFormat="false" ht="15" hidden="false" customHeight="false" outlineLevel="0" collapsed="false">
      <c r="A42" s="18" t="s">
        <v>2636</v>
      </c>
      <c r="B42" s="18" t="s">
        <v>281</v>
      </c>
      <c r="C42" s="18" t="s">
        <v>2541</v>
      </c>
      <c r="D42" s="19" t="n">
        <v>46090</v>
      </c>
      <c r="E42" s="18" t="s">
        <v>2601</v>
      </c>
      <c r="F42" s="28" t="n">
        <v>197000</v>
      </c>
      <c r="G42" s="19" t="n">
        <v>46145</v>
      </c>
      <c r="H42" s="21" t="str">
        <f aca="false">IFERROR(INDEX(Projects!$D$2:$D$500,MATCH(B42,Projects!$A$2:$A$500,0)),"")</f>
        <v>Pinecrest University</v>
      </c>
      <c r="I42" s="32" t="n">
        <f aca="false">IFERROR(INDEX(Clients!$G$2:$G$200,MATCH(INDEX(Projects!$C$2:$C$500,MATCH(B42,Projects!$A$2:$A$500,0)),Clients!$A$2:$A$200,0)),30)</f>
        <v>60</v>
      </c>
      <c r="J42" s="27" t="n">
        <f aca="false">D42+I42</f>
        <v>46150</v>
      </c>
      <c r="K42" s="12" t="str">
        <f aca="false">IF(ISNUMBER(G42),"Paid",IF(AsOfDate&gt;J42,"Overdue","Outstanding"))</f>
        <v>Paid</v>
      </c>
      <c r="L42" s="13" t="n">
        <f aca="false">IF(ISNUMBER(G42),G42-D42,AsOfDate-D42)</f>
        <v>55</v>
      </c>
      <c r="M42" s="13" t="n">
        <f aca="false">IF(K42="Overdue",AsOfDate-J42,0)</f>
        <v>0</v>
      </c>
      <c r="N42" s="12" t="str">
        <f aca="false">IF(K42="Paid","Paid",IF(M42=0,"Current",IF(M42&lt;=30,"1-30",IF(M42&lt;=60,"31-60","60+"))))</f>
        <v>Paid</v>
      </c>
    </row>
    <row r="43" customFormat="false" ht="15" hidden="false" customHeight="false" outlineLevel="0" collapsed="false">
      <c r="A43" s="18" t="s">
        <v>2637</v>
      </c>
      <c r="B43" s="18" t="s">
        <v>222</v>
      </c>
      <c r="C43" s="18" t="s">
        <v>2463</v>
      </c>
      <c r="D43" s="19" t="n">
        <v>46094</v>
      </c>
      <c r="E43" s="18" t="s">
        <v>2578</v>
      </c>
      <c r="F43" s="28" t="n">
        <v>115500</v>
      </c>
      <c r="G43" s="19" t="n">
        <v>46143</v>
      </c>
      <c r="H43" s="21" t="str">
        <f aca="false">IFERROR(INDEX(Projects!$D$2:$D$500,MATCH(B43,Projects!$A$2:$A$500,0)),"")</f>
        <v>Harbourview Logistics</v>
      </c>
      <c r="I43" s="32" t="n">
        <f aca="false">IFERROR(INDEX(Clients!$G$2:$G$200,MATCH(INDEX(Projects!$C$2:$C$500,MATCH(B43,Projects!$A$2:$A$500,0)),Clients!$A$2:$A$200,0)),30)</f>
        <v>45</v>
      </c>
      <c r="J43" s="27" t="n">
        <f aca="false">D43+I43</f>
        <v>46139</v>
      </c>
      <c r="K43" s="12" t="str">
        <f aca="false">IF(ISNUMBER(G43),"Paid",IF(AsOfDate&gt;J43,"Overdue","Outstanding"))</f>
        <v>Paid</v>
      </c>
      <c r="L43" s="13" t="n">
        <f aca="false">IF(ISNUMBER(G43),G43-D43,AsOfDate-D43)</f>
        <v>49</v>
      </c>
      <c r="M43" s="13" t="n">
        <f aca="false">IF(K43="Overdue",AsOfDate-J43,0)</f>
        <v>0</v>
      </c>
      <c r="N43" s="12" t="str">
        <f aca="false">IF(K43="Paid","Paid",IF(M43=0,"Current",IF(M43&lt;=30,"1-30",IF(M43&lt;=60,"31-60","60+"))))</f>
        <v>Paid</v>
      </c>
    </row>
    <row r="44" customFormat="false" ht="15" hidden="false" customHeight="false" outlineLevel="0" collapsed="false">
      <c r="A44" s="18" t="s">
        <v>2638</v>
      </c>
      <c r="B44" s="18" t="s">
        <v>285</v>
      </c>
      <c r="C44" s="18" t="s">
        <v>2548</v>
      </c>
      <c r="D44" s="19" t="n">
        <v>46100</v>
      </c>
      <c r="E44" s="18" t="s">
        <v>2578</v>
      </c>
      <c r="F44" s="28" t="n">
        <v>62500</v>
      </c>
      <c r="G44" s="19" t="n">
        <v>46128</v>
      </c>
      <c r="H44" s="21" t="str">
        <f aca="false">IFERROR(INDEX(Projects!$D$2:$D$500,MATCH(B44,Projects!$A$2:$A$500,0)),"")</f>
        <v>Lakeshore Energy</v>
      </c>
      <c r="I44" s="32" t="n">
        <f aca="false">IFERROR(INDEX(Clients!$G$2:$G$200,MATCH(INDEX(Projects!$C$2:$C$500,MATCH(B44,Projects!$A$2:$A$500,0)),Clients!$A$2:$A$200,0)),30)</f>
        <v>30</v>
      </c>
      <c r="J44" s="27" t="n">
        <f aca="false">D44+I44</f>
        <v>46130</v>
      </c>
      <c r="K44" s="12" t="str">
        <f aca="false">IF(ISNUMBER(G44),"Paid",IF(AsOfDate&gt;J44,"Overdue","Outstanding"))</f>
        <v>Paid</v>
      </c>
      <c r="L44" s="13" t="n">
        <f aca="false">IF(ISNUMBER(G44),G44-D44,AsOfDate-D44)</f>
        <v>28</v>
      </c>
      <c r="M44" s="13" t="n">
        <f aca="false">IF(K44="Overdue",AsOfDate-J44,0)</f>
        <v>0</v>
      </c>
      <c r="N44" s="12" t="str">
        <f aca="false">IF(K44="Paid","Paid",IF(M44=0,"Current",IF(M44&lt;=30,"1-30",IF(M44&lt;=60,"31-60","60+"))))</f>
        <v>Paid</v>
      </c>
    </row>
    <row r="45" customFormat="false" ht="15" hidden="false" customHeight="false" outlineLevel="0" collapsed="false">
      <c r="A45" s="18" t="s">
        <v>2639</v>
      </c>
      <c r="B45" s="18" t="s">
        <v>215</v>
      </c>
      <c r="C45" s="18"/>
      <c r="D45" s="19" t="n">
        <v>46118</v>
      </c>
      <c r="E45" s="18" t="s">
        <v>2640</v>
      </c>
      <c r="F45" s="28" t="n">
        <v>93591.54</v>
      </c>
      <c r="G45" s="19" t="n">
        <v>46148</v>
      </c>
      <c r="H45" s="21" t="str">
        <f aca="false">IFERROR(INDEX(Projects!$D$2:$D$500,MATCH(B45,Projects!$A$2:$A$500,0)),"")</f>
        <v>Maple Ridge Financial</v>
      </c>
      <c r="I45" s="32" t="n">
        <f aca="false">IFERROR(INDEX(Clients!$G$2:$G$200,MATCH(INDEX(Projects!$C$2:$C$500,MATCH(B45,Projects!$A$2:$A$500,0)),Clients!$A$2:$A$200,0)),30)</f>
        <v>30</v>
      </c>
      <c r="J45" s="27" t="n">
        <f aca="false">D45+I45</f>
        <v>46148</v>
      </c>
      <c r="K45" s="12" t="str">
        <f aca="false">IF(ISNUMBER(G45),"Paid",IF(AsOfDate&gt;J45,"Overdue","Outstanding"))</f>
        <v>Paid</v>
      </c>
      <c r="L45" s="13" t="n">
        <f aca="false">IF(ISNUMBER(G45),G45-D45,AsOfDate-D45)</f>
        <v>30</v>
      </c>
      <c r="M45" s="13" t="n">
        <f aca="false">IF(K45="Overdue",AsOfDate-J45,0)</f>
        <v>0</v>
      </c>
      <c r="N45" s="12" t="str">
        <f aca="false">IF(K45="Paid","Paid",IF(M45=0,"Current",IF(M45&lt;=30,"1-30",IF(M45&lt;=60,"31-60","60+"))))</f>
        <v>Paid</v>
      </c>
    </row>
    <row r="46" customFormat="false" ht="15" hidden="false" customHeight="false" outlineLevel="0" collapsed="false">
      <c r="A46" s="18" t="s">
        <v>2641</v>
      </c>
      <c r="B46" s="18" t="s">
        <v>244</v>
      </c>
      <c r="C46" s="18"/>
      <c r="D46" s="19" t="n">
        <v>46118</v>
      </c>
      <c r="E46" s="18" t="s">
        <v>2640</v>
      </c>
      <c r="F46" s="28" t="n">
        <v>115575.99</v>
      </c>
      <c r="G46" s="19" t="n">
        <v>46173</v>
      </c>
      <c r="H46" s="21" t="str">
        <f aca="false">IFERROR(INDEX(Projects!$D$2:$D$500,MATCH(B46,Projects!$A$2:$A$500,0)),"")</f>
        <v>Summit Telecom</v>
      </c>
      <c r="I46" s="32" t="n">
        <f aca="false">IFERROR(INDEX(Clients!$G$2:$G$200,MATCH(INDEX(Projects!$C$2:$C$500,MATCH(B46,Projects!$A$2:$A$500,0)),Clients!$A$2:$A$200,0)),30)</f>
        <v>45</v>
      </c>
      <c r="J46" s="27" t="n">
        <f aca="false">D46+I46</f>
        <v>46163</v>
      </c>
      <c r="K46" s="12" t="str">
        <f aca="false">IF(ISNUMBER(G46),"Paid",IF(AsOfDate&gt;J46,"Overdue","Outstanding"))</f>
        <v>Paid</v>
      </c>
      <c r="L46" s="13" t="n">
        <f aca="false">IF(ISNUMBER(G46),G46-D46,AsOfDate-D46)</f>
        <v>55</v>
      </c>
      <c r="M46" s="13" t="n">
        <f aca="false">IF(K46="Overdue",AsOfDate-J46,0)</f>
        <v>0</v>
      </c>
      <c r="N46" s="12" t="str">
        <f aca="false">IF(K46="Paid","Paid",IF(M46=0,"Current",IF(M46&lt;=30,"1-30",IF(M46&lt;=60,"31-60","60+"))))</f>
        <v>Paid</v>
      </c>
    </row>
    <row r="47" customFormat="false" ht="15" hidden="false" customHeight="false" outlineLevel="0" collapsed="false">
      <c r="A47" s="18" t="s">
        <v>2642</v>
      </c>
      <c r="B47" s="18" t="s">
        <v>257</v>
      </c>
      <c r="C47" s="18"/>
      <c r="D47" s="19" t="n">
        <v>46118</v>
      </c>
      <c r="E47" s="18" t="s">
        <v>2640</v>
      </c>
      <c r="F47" s="28" t="n">
        <v>46269.28</v>
      </c>
      <c r="G47" s="19" t="n">
        <v>46167</v>
      </c>
      <c r="H47" s="21" t="str">
        <f aca="false">IFERROR(INDEX(Projects!$D$2:$D$500,MATCH(B47,Projects!$A$2:$A$500,0)),"")</f>
        <v>Evergreen Pharma</v>
      </c>
      <c r="I47" s="32" t="n">
        <f aca="false">IFERROR(INDEX(Clients!$G$2:$G$200,MATCH(INDEX(Projects!$C$2:$C$500,MATCH(B47,Projects!$A$2:$A$500,0)),Clients!$A$2:$A$200,0)),30)</f>
        <v>45</v>
      </c>
      <c r="J47" s="27" t="n">
        <f aca="false">D47+I47</f>
        <v>46163</v>
      </c>
      <c r="K47" s="12" t="str">
        <f aca="false">IF(ISNUMBER(G47),"Paid",IF(AsOfDate&gt;J47,"Overdue","Outstanding"))</f>
        <v>Paid</v>
      </c>
      <c r="L47" s="13" t="n">
        <f aca="false">IF(ISNUMBER(G47),G47-D47,AsOfDate-D47)</f>
        <v>49</v>
      </c>
      <c r="M47" s="13" t="n">
        <f aca="false">IF(K47="Overdue",AsOfDate-J47,0)</f>
        <v>0</v>
      </c>
      <c r="N47" s="12" t="str">
        <f aca="false">IF(K47="Paid","Paid",IF(M47=0,"Current",IF(M47&lt;=30,"1-30",IF(M47&lt;=60,"31-60","60+"))))</f>
        <v>Paid</v>
      </c>
    </row>
    <row r="48" customFormat="false" ht="15" hidden="false" customHeight="false" outlineLevel="0" collapsed="false">
      <c r="A48" s="18" t="s">
        <v>2643</v>
      </c>
      <c r="B48" s="18" t="s">
        <v>267</v>
      </c>
      <c r="C48" s="18"/>
      <c r="D48" s="19" t="n">
        <v>46118</v>
      </c>
      <c r="E48" s="18" t="s">
        <v>2644</v>
      </c>
      <c r="F48" s="28" t="n">
        <v>80555.56</v>
      </c>
      <c r="G48" s="19" t="n">
        <v>46168</v>
      </c>
      <c r="H48" s="21" t="str">
        <f aca="false">IFERROR(INDEX(Projects!$D$2:$D$500,MATCH(B48,Projects!$A$2:$A$500,0)),"")</f>
        <v>Harbourview Logistics</v>
      </c>
      <c r="I48" s="32" t="n">
        <f aca="false">IFERROR(INDEX(Clients!$G$2:$G$200,MATCH(INDEX(Projects!$C$2:$C$500,MATCH(B48,Projects!$A$2:$A$500,0)),Clients!$A$2:$A$200,0)),30)</f>
        <v>45</v>
      </c>
      <c r="J48" s="27" t="n">
        <f aca="false">D48+I48</f>
        <v>46163</v>
      </c>
      <c r="K48" s="12" t="str">
        <f aca="false">IF(ISNUMBER(G48),"Paid",IF(AsOfDate&gt;J48,"Overdue","Outstanding"))</f>
        <v>Paid</v>
      </c>
      <c r="L48" s="13" t="n">
        <f aca="false">IF(ISNUMBER(G48),G48-D48,AsOfDate-D48)</f>
        <v>50</v>
      </c>
      <c r="M48" s="13" t="n">
        <f aca="false">IF(K48="Overdue",AsOfDate-J48,0)</f>
        <v>0</v>
      </c>
      <c r="N48" s="12" t="str">
        <f aca="false">IF(K48="Paid","Paid",IF(M48=0,"Current",IF(M48&lt;=30,"1-30",IF(M48&lt;=60,"31-60","60+"))))</f>
        <v>Paid</v>
      </c>
    </row>
    <row r="49" customFormat="false" ht="15" hidden="false" customHeight="false" outlineLevel="0" collapsed="false">
      <c r="A49" s="18" t="s">
        <v>2645</v>
      </c>
      <c r="B49" s="18" t="s">
        <v>283</v>
      </c>
      <c r="C49" s="18"/>
      <c r="D49" s="19" t="n">
        <v>46118</v>
      </c>
      <c r="E49" s="18" t="s">
        <v>2640</v>
      </c>
      <c r="F49" s="28" t="n">
        <v>85909.09</v>
      </c>
      <c r="G49" s="19" t="n">
        <v>46165</v>
      </c>
      <c r="H49" s="21" t="str">
        <f aca="false">IFERROR(INDEX(Projects!$D$2:$D$500,MATCH(B49,Projects!$A$2:$A$500,0)),"")</f>
        <v>Granite Manufacturing</v>
      </c>
      <c r="I49" s="32" t="n">
        <f aca="false">IFERROR(INDEX(Clients!$G$2:$G$200,MATCH(INDEX(Projects!$C$2:$C$500,MATCH(B49,Projects!$A$2:$A$500,0)),Clients!$A$2:$A$200,0)),30)</f>
        <v>45</v>
      </c>
      <c r="J49" s="27" t="n">
        <f aca="false">D49+I49</f>
        <v>46163</v>
      </c>
      <c r="K49" s="12" t="str">
        <f aca="false">IF(ISNUMBER(G49),"Paid",IF(AsOfDate&gt;J49,"Overdue","Outstanding"))</f>
        <v>Paid</v>
      </c>
      <c r="L49" s="13" t="n">
        <f aca="false">IF(ISNUMBER(G49),G49-D49,AsOfDate-D49)</f>
        <v>47</v>
      </c>
      <c r="M49" s="13" t="n">
        <f aca="false">IF(K49="Overdue",AsOfDate-J49,0)</f>
        <v>0</v>
      </c>
      <c r="N49" s="12" t="str">
        <f aca="false">IF(K49="Paid","Paid",IF(M49=0,"Current",IF(M49&lt;=30,"1-30",IF(M49&lt;=60,"31-60","60+"))))</f>
        <v>Paid</v>
      </c>
    </row>
    <row r="50" customFormat="false" ht="15" hidden="false" customHeight="false" outlineLevel="0" collapsed="false">
      <c r="A50" s="18" t="s">
        <v>2646</v>
      </c>
      <c r="B50" s="18" t="s">
        <v>275</v>
      </c>
      <c r="C50" s="18" t="s">
        <v>2529</v>
      </c>
      <c r="D50" s="19" t="n">
        <v>46121</v>
      </c>
      <c r="E50" s="18" t="s">
        <v>2647</v>
      </c>
      <c r="F50" s="28" t="n">
        <v>93000</v>
      </c>
      <c r="G50" s="19"/>
      <c r="H50" s="21" t="str">
        <f aca="false">IFERROR(INDEX(Projects!$D$2:$D$500,MATCH(B50,Projects!$A$2:$A$500,0)),"")</f>
        <v>Aurora Retail Group</v>
      </c>
      <c r="I50" s="32" t="n">
        <f aca="false">IFERROR(INDEX(Clients!$G$2:$G$200,MATCH(INDEX(Projects!$C$2:$C$500,MATCH(B50,Projects!$A$2:$A$500,0)),Clients!$A$2:$A$200,0)),30)</f>
        <v>60</v>
      </c>
      <c r="J50" s="27" t="n">
        <f aca="false">D50+I50</f>
        <v>46181</v>
      </c>
      <c r="K50" s="12" t="str">
        <f aca="false">IF(ISNUMBER(G50),"Paid",IF(AsOfDate&gt;J50,"Overdue","Outstanding"))</f>
        <v>Overdue</v>
      </c>
      <c r="L50" s="13" t="n">
        <f aca="false">IF(ISNUMBER(G50),G50-D50,AsOfDate-D50)</f>
        <v>155</v>
      </c>
      <c r="M50" s="13" t="n">
        <f aca="false">IF(K50="Overdue",AsOfDate-J50,0)</f>
        <v>95</v>
      </c>
      <c r="N50" s="12" t="str">
        <f aca="false">IF(K50="Paid","Paid",IF(M50=0,"Current",IF(M50&lt;=30,"1-30",IF(M50&lt;=60,"31-60","60+"))))</f>
        <v>60+</v>
      </c>
    </row>
    <row r="51" customFormat="false" ht="15" hidden="false" customHeight="false" outlineLevel="0" collapsed="false">
      <c r="A51" s="18" t="s">
        <v>2648</v>
      </c>
      <c r="B51" s="18" t="s">
        <v>228</v>
      </c>
      <c r="C51" s="18" t="s">
        <v>2468</v>
      </c>
      <c r="D51" s="19" t="n">
        <v>46125</v>
      </c>
      <c r="E51" s="18" t="s">
        <v>2578</v>
      </c>
      <c r="F51" s="28" t="n">
        <v>74000</v>
      </c>
      <c r="G51" s="19" t="n">
        <v>46164</v>
      </c>
      <c r="H51" s="21" t="str">
        <f aca="false">IFERROR(INDEX(Projects!$D$2:$D$500,MATCH(B51,Projects!$A$2:$A$500,0)),"")</f>
        <v>Ironbridge Capital</v>
      </c>
      <c r="I51" s="32" t="n">
        <f aca="false">IFERROR(INDEX(Clients!$G$2:$G$200,MATCH(INDEX(Projects!$C$2:$C$500,MATCH(B51,Projects!$A$2:$A$500,0)),Clients!$A$2:$A$200,0)),30)</f>
        <v>30</v>
      </c>
      <c r="J51" s="27" t="n">
        <f aca="false">D51+I51</f>
        <v>46155</v>
      </c>
      <c r="K51" s="12" t="str">
        <f aca="false">IF(ISNUMBER(G51),"Paid",IF(AsOfDate&gt;J51,"Overdue","Outstanding"))</f>
        <v>Paid</v>
      </c>
      <c r="L51" s="13" t="n">
        <f aca="false">IF(ISNUMBER(G51),G51-D51,AsOfDate-D51)</f>
        <v>39</v>
      </c>
      <c r="M51" s="13" t="n">
        <f aca="false">IF(K51="Overdue",AsOfDate-J51,0)</f>
        <v>0</v>
      </c>
      <c r="N51" s="12" t="str">
        <f aca="false">IF(K51="Paid","Paid",IF(M51=0,"Current",IF(M51&lt;=30,"1-30",IF(M51&lt;=60,"31-60","60+"))))</f>
        <v>Paid</v>
      </c>
    </row>
    <row r="52" customFormat="false" ht="15" hidden="false" customHeight="false" outlineLevel="0" collapsed="false">
      <c r="A52" s="18" t="s">
        <v>2649</v>
      </c>
      <c r="B52" s="18" t="s">
        <v>281</v>
      </c>
      <c r="C52" s="18" t="s">
        <v>2542</v>
      </c>
      <c r="D52" s="19" t="n">
        <v>46125</v>
      </c>
      <c r="E52" s="18" t="s">
        <v>2610</v>
      </c>
      <c r="F52" s="28" t="n">
        <v>197000</v>
      </c>
      <c r="G52" s="19" t="n">
        <v>46178</v>
      </c>
      <c r="H52" s="21" t="str">
        <f aca="false">IFERROR(INDEX(Projects!$D$2:$D$500,MATCH(B52,Projects!$A$2:$A$500,0)),"")</f>
        <v>Pinecrest University</v>
      </c>
      <c r="I52" s="32" t="n">
        <f aca="false">IFERROR(INDEX(Clients!$G$2:$G$200,MATCH(INDEX(Projects!$C$2:$C$500,MATCH(B52,Projects!$A$2:$A$500,0)),Clients!$A$2:$A$200,0)),30)</f>
        <v>60</v>
      </c>
      <c r="J52" s="27" t="n">
        <f aca="false">D52+I52</f>
        <v>46185</v>
      </c>
      <c r="K52" s="12" t="str">
        <f aca="false">IF(ISNUMBER(G52),"Paid",IF(AsOfDate&gt;J52,"Overdue","Outstanding"))</f>
        <v>Paid</v>
      </c>
      <c r="L52" s="13" t="n">
        <f aca="false">IF(ISNUMBER(G52),G52-D52,AsOfDate-D52)</f>
        <v>53</v>
      </c>
      <c r="M52" s="13" t="n">
        <f aca="false">IF(K52="Overdue",AsOfDate-J52,0)</f>
        <v>0</v>
      </c>
      <c r="N52" s="12" t="str">
        <f aca="false">IF(K52="Paid","Paid",IF(M52=0,"Current",IF(M52&lt;=30,"1-30",IF(M52&lt;=60,"31-60","60+"))))</f>
        <v>Paid</v>
      </c>
    </row>
    <row r="53" customFormat="false" ht="15" hidden="false" customHeight="false" outlineLevel="0" collapsed="false">
      <c r="A53" s="18" t="s">
        <v>2650</v>
      </c>
      <c r="B53" s="18" t="s">
        <v>207</v>
      </c>
      <c r="C53" s="18" t="s">
        <v>2454</v>
      </c>
      <c r="D53" s="19" t="n">
        <v>46128</v>
      </c>
      <c r="E53" s="18" t="s">
        <v>2581</v>
      </c>
      <c r="F53" s="28" t="n">
        <v>137000</v>
      </c>
      <c r="G53" s="19" t="n">
        <v>46156</v>
      </c>
      <c r="H53" s="21" t="str">
        <f aca="false">IFERROR(INDEX(Projects!$D$2:$D$500,MATCH(B53,Projects!$A$2:$A$500,0)),"")</f>
        <v>Crestline Insurance</v>
      </c>
      <c r="I53" s="32" t="n">
        <f aca="false">IFERROR(INDEX(Clients!$G$2:$G$200,MATCH(INDEX(Projects!$C$2:$C$500,MATCH(B53,Projects!$A$2:$A$500,0)),Clients!$A$2:$A$200,0)),30)</f>
        <v>30</v>
      </c>
      <c r="J53" s="27" t="n">
        <f aca="false">D53+I53</f>
        <v>46158</v>
      </c>
      <c r="K53" s="12" t="str">
        <f aca="false">IF(ISNUMBER(G53),"Paid",IF(AsOfDate&gt;J53,"Overdue","Outstanding"))</f>
        <v>Paid</v>
      </c>
      <c r="L53" s="13" t="n">
        <f aca="false">IF(ISNUMBER(G53),G53-D53,AsOfDate-D53)</f>
        <v>28</v>
      </c>
      <c r="M53" s="13" t="n">
        <f aca="false">IF(K53="Overdue",AsOfDate-J53,0)</f>
        <v>0</v>
      </c>
      <c r="N53" s="12" t="str">
        <f aca="false">IF(K53="Paid","Paid",IF(M53=0,"Current",IF(M53&lt;=30,"1-30",IF(M53&lt;=60,"31-60","60+"))))</f>
        <v>Paid</v>
      </c>
    </row>
    <row r="54" customFormat="false" ht="15" hidden="false" customHeight="false" outlineLevel="0" collapsed="false">
      <c r="A54" s="18" t="s">
        <v>2651</v>
      </c>
      <c r="B54" s="18" t="s">
        <v>270</v>
      </c>
      <c r="C54" s="18" t="s">
        <v>2518</v>
      </c>
      <c r="D54" s="19" t="n">
        <v>46146</v>
      </c>
      <c r="E54" s="18" t="s">
        <v>2578</v>
      </c>
      <c r="F54" s="28" t="n">
        <v>131500</v>
      </c>
      <c r="G54" s="19" t="n">
        <v>46171</v>
      </c>
      <c r="H54" s="21" t="str">
        <f aca="false">IFERROR(INDEX(Projects!$D$2:$D$500,MATCH(B54,Projects!$A$2:$A$500,0)),"")</f>
        <v>Crestline Insurance</v>
      </c>
      <c r="I54" s="32" t="n">
        <f aca="false">IFERROR(INDEX(Clients!$G$2:$G$200,MATCH(INDEX(Projects!$C$2:$C$500,MATCH(B54,Projects!$A$2:$A$500,0)),Clients!$A$2:$A$200,0)),30)</f>
        <v>30</v>
      </c>
      <c r="J54" s="27" t="n">
        <f aca="false">D54+I54</f>
        <v>46176</v>
      </c>
      <c r="K54" s="12" t="str">
        <f aca="false">IF(ISNUMBER(G54),"Paid",IF(AsOfDate&gt;J54,"Overdue","Outstanding"))</f>
        <v>Paid</v>
      </c>
      <c r="L54" s="13" t="n">
        <f aca="false">IF(ISNUMBER(G54),G54-D54,AsOfDate-D54)</f>
        <v>25</v>
      </c>
      <c r="M54" s="13" t="n">
        <f aca="false">IF(K54="Overdue",AsOfDate-J54,0)</f>
        <v>0</v>
      </c>
      <c r="N54" s="12" t="str">
        <f aca="false">IF(K54="Paid","Paid",IF(M54=0,"Current",IF(M54&lt;=30,"1-30",IF(M54&lt;=60,"31-60","60+"))))</f>
        <v>Paid</v>
      </c>
    </row>
    <row r="55" customFormat="false" ht="15" hidden="false" customHeight="false" outlineLevel="0" collapsed="false">
      <c r="A55" s="18" t="s">
        <v>2652</v>
      </c>
      <c r="B55" s="18" t="s">
        <v>215</v>
      </c>
      <c r="C55" s="18"/>
      <c r="D55" s="19" t="n">
        <v>46147</v>
      </c>
      <c r="E55" s="18" t="s">
        <v>2653</v>
      </c>
      <c r="F55" s="28" t="n">
        <v>107584.78</v>
      </c>
      <c r="G55" s="19" t="n">
        <v>46183</v>
      </c>
      <c r="H55" s="21" t="str">
        <f aca="false">IFERROR(INDEX(Projects!$D$2:$D$500,MATCH(B55,Projects!$A$2:$A$500,0)),"")</f>
        <v>Maple Ridge Financial</v>
      </c>
      <c r="I55" s="32" t="n">
        <f aca="false">IFERROR(INDEX(Clients!$G$2:$G$200,MATCH(INDEX(Projects!$C$2:$C$500,MATCH(B55,Projects!$A$2:$A$500,0)),Clients!$A$2:$A$200,0)),30)</f>
        <v>30</v>
      </c>
      <c r="J55" s="27" t="n">
        <f aca="false">D55+I55</f>
        <v>46177</v>
      </c>
      <c r="K55" s="12" t="str">
        <f aca="false">IF(ISNUMBER(G55),"Paid",IF(AsOfDate&gt;J55,"Overdue","Outstanding"))</f>
        <v>Paid</v>
      </c>
      <c r="L55" s="13" t="n">
        <f aca="false">IF(ISNUMBER(G55),G55-D55,AsOfDate-D55)</f>
        <v>36</v>
      </c>
      <c r="M55" s="13" t="n">
        <f aca="false">IF(K55="Overdue",AsOfDate-J55,0)</f>
        <v>0</v>
      </c>
      <c r="N55" s="12" t="str">
        <f aca="false">IF(K55="Paid","Paid",IF(M55=0,"Current",IF(M55&lt;=30,"1-30",IF(M55&lt;=60,"31-60","60+"))))</f>
        <v>Paid</v>
      </c>
    </row>
    <row r="56" customFormat="false" ht="15" hidden="false" customHeight="false" outlineLevel="0" collapsed="false">
      <c r="A56" s="18" t="s">
        <v>2654</v>
      </c>
      <c r="B56" s="18" t="s">
        <v>244</v>
      </c>
      <c r="C56" s="18"/>
      <c r="D56" s="19" t="n">
        <v>46147</v>
      </c>
      <c r="E56" s="18" t="s">
        <v>2653</v>
      </c>
      <c r="F56" s="28" t="n">
        <v>88004.05</v>
      </c>
      <c r="G56" s="19" t="n">
        <v>46187</v>
      </c>
      <c r="H56" s="21" t="str">
        <f aca="false">IFERROR(INDEX(Projects!$D$2:$D$500,MATCH(B56,Projects!$A$2:$A$500,0)),"")</f>
        <v>Summit Telecom</v>
      </c>
      <c r="I56" s="32" t="n">
        <f aca="false">IFERROR(INDEX(Clients!$G$2:$G$200,MATCH(INDEX(Projects!$C$2:$C$500,MATCH(B56,Projects!$A$2:$A$500,0)),Clients!$A$2:$A$200,0)),30)</f>
        <v>45</v>
      </c>
      <c r="J56" s="27" t="n">
        <f aca="false">D56+I56</f>
        <v>46192</v>
      </c>
      <c r="K56" s="12" t="str">
        <f aca="false">IF(ISNUMBER(G56),"Paid",IF(AsOfDate&gt;J56,"Overdue","Outstanding"))</f>
        <v>Paid</v>
      </c>
      <c r="L56" s="13" t="n">
        <f aca="false">IF(ISNUMBER(G56),G56-D56,AsOfDate-D56)</f>
        <v>40</v>
      </c>
      <c r="M56" s="13" t="n">
        <f aca="false">IF(K56="Overdue",AsOfDate-J56,0)</f>
        <v>0</v>
      </c>
      <c r="N56" s="12" t="str">
        <f aca="false">IF(K56="Paid","Paid",IF(M56=0,"Current",IF(M56&lt;=30,"1-30",IF(M56&lt;=60,"31-60","60+"))))</f>
        <v>Paid</v>
      </c>
    </row>
    <row r="57" customFormat="false" ht="15" hidden="false" customHeight="false" outlineLevel="0" collapsed="false">
      <c r="A57" s="18" t="s">
        <v>2655</v>
      </c>
      <c r="B57" s="18" t="s">
        <v>257</v>
      </c>
      <c r="C57" s="18"/>
      <c r="D57" s="19" t="n">
        <v>46147</v>
      </c>
      <c r="E57" s="18" t="s">
        <v>2653</v>
      </c>
      <c r="F57" s="28" t="n">
        <v>49478.04</v>
      </c>
      <c r="G57" s="19" t="n">
        <v>46201</v>
      </c>
      <c r="H57" s="21" t="str">
        <f aca="false">IFERROR(INDEX(Projects!$D$2:$D$500,MATCH(B57,Projects!$A$2:$A$500,0)),"")</f>
        <v>Evergreen Pharma</v>
      </c>
      <c r="I57" s="32" t="n">
        <f aca="false">IFERROR(INDEX(Clients!$G$2:$G$200,MATCH(INDEX(Projects!$C$2:$C$500,MATCH(B57,Projects!$A$2:$A$500,0)),Clients!$A$2:$A$200,0)),30)</f>
        <v>45</v>
      </c>
      <c r="J57" s="27" t="n">
        <f aca="false">D57+I57</f>
        <v>46192</v>
      </c>
      <c r="K57" s="12" t="str">
        <f aca="false">IF(ISNUMBER(G57),"Paid",IF(AsOfDate&gt;J57,"Overdue","Outstanding"))</f>
        <v>Paid</v>
      </c>
      <c r="L57" s="13" t="n">
        <f aca="false">IF(ISNUMBER(G57),G57-D57,AsOfDate-D57)</f>
        <v>54</v>
      </c>
      <c r="M57" s="13" t="n">
        <f aca="false">IF(K57="Overdue",AsOfDate-J57,0)</f>
        <v>0</v>
      </c>
      <c r="N57" s="12" t="str">
        <f aca="false">IF(K57="Paid","Paid",IF(M57=0,"Current",IF(M57&lt;=30,"1-30",IF(M57&lt;=60,"31-60","60+"))))</f>
        <v>Paid</v>
      </c>
    </row>
    <row r="58" customFormat="false" ht="15" hidden="false" customHeight="false" outlineLevel="0" collapsed="false">
      <c r="A58" s="18" t="s">
        <v>2656</v>
      </c>
      <c r="B58" s="18" t="s">
        <v>267</v>
      </c>
      <c r="C58" s="18"/>
      <c r="D58" s="19" t="n">
        <v>46147</v>
      </c>
      <c r="E58" s="18" t="s">
        <v>2657</v>
      </c>
      <c r="F58" s="28" t="n">
        <v>80555.56</v>
      </c>
      <c r="G58" s="19" t="n">
        <v>46240</v>
      </c>
      <c r="H58" s="21" t="str">
        <f aca="false">IFERROR(INDEX(Projects!$D$2:$D$500,MATCH(B58,Projects!$A$2:$A$500,0)),"")</f>
        <v>Harbourview Logistics</v>
      </c>
      <c r="I58" s="32" t="n">
        <f aca="false">IFERROR(INDEX(Clients!$G$2:$G$200,MATCH(INDEX(Projects!$C$2:$C$500,MATCH(B58,Projects!$A$2:$A$500,0)),Clients!$A$2:$A$200,0)),30)</f>
        <v>45</v>
      </c>
      <c r="J58" s="27" t="n">
        <f aca="false">D58+I58</f>
        <v>46192</v>
      </c>
      <c r="K58" s="12" t="str">
        <f aca="false">IF(ISNUMBER(G58),"Paid",IF(AsOfDate&gt;J58,"Overdue","Outstanding"))</f>
        <v>Paid</v>
      </c>
      <c r="L58" s="13" t="n">
        <f aca="false">IF(ISNUMBER(G58),G58-D58,AsOfDate-D58)</f>
        <v>93</v>
      </c>
      <c r="M58" s="13" t="n">
        <f aca="false">IF(K58="Overdue",AsOfDate-J58,0)</f>
        <v>0</v>
      </c>
      <c r="N58" s="12" t="str">
        <f aca="false">IF(K58="Paid","Paid",IF(M58=0,"Current",IF(M58&lt;=30,"1-30",IF(M58&lt;=60,"31-60","60+"))))</f>
        <v>Paid</v>
      </c>
    </row>
    <row r="59" customFormat="false" ht="15" hidden="false" customHeight="false" outlineLevel="0" collapsed="false">
      <c r="A59" s="18" t="s">
        <v>2658</v>
      </c>
      <c r="B59" s="18" t="s">
        <v>272</v>
      </c>
      <c r="C59" s="18"/>
      <c r="D59" s="19" t="n">
        <v>46147</v>
      </c>
      <c r="E59" s="18" t="s">
        <v>2653</v>
      </c>
      <c r="F59" s="28" t="n">
        <v>28829.44</v>
      </c>
      <c r="G59" s="19" t="n">
        <v>46191</v>
      </c>
      <c r="H59" s="21" t="str">
        <f aca="false">IFERROR(INDEX(Projects!$D$2:$D$500,MATCH(B59,Projects!$A$2:$A$500,0)),"")</f>
        <v>Harbourview Logistics</v>
      </c>
      <c r="I59" s="32" t="n">
        <f aca="false">IFERROR(INDEX(Clients!$G$2:$G$200,MATCH(INDEX(Projects!$C$2:$C$500,MATCH(B59,Projects!$A$2:$A$500,0)),Clients!$A$2:$A$200,0)),30)</f>
        <v>45</v>
      </c>
      <c r="J59" s="27" t="n">
        <f aca="false">D59+I59</f>
        <v>46192</v>
      </c>
      <c r="K59" s="12" t="str">
        <f aca="false">IF(ISNUMBER(G59),"Paid",IF(AsOfDate&gt;J59,"Overdue","Outstanding"))</f>
        <v>Paid</v>
      </c>
      <c r="L59" s="13" t="n">
        <f aca="false">IF(ISNUMBER(G59),G59-D59,AsOfDate-D59)</f>
        <v>44</v>
      </c>
      <c r="M59" s="13" t="n">
        <f aca="false">IF(K59="Overdue",AsOfDate-J59,0)</f>
        <v>0</v>
      </c>
      <c r="N59" s="12" t="str">
        <f aca="false">IF(K59="Paid","Paid",IF(M59=0,"Current",IF(M59&lt;=30,"1-30",IF(M59&lt;=60,"31-60","60+"))))</f>
        <v>Paid</v>
      </c>
    </row>
    <row r="60" customFormat="false" ht="15" hidden="false" customHeight="false" outlineLevel="0" collapsed="false">
      <c r="A60" s="18" t="s">
        <v>2659</v>
      </c>
      <c r="B60" s="18" t="s">
        <v>283</v>
      </c>
      <c r="C60" s="18"/>
      <c r="D60" s="19" t="n">
        <v>46147</v>
      </c>
      <c r="E60" s="18" t="s">
        <v>2653</v>
      </c>
      <c r="F60" s="28" t="n">
        <v>74734.19</v>
      </c>
      <c r="G60" s="19" t="n">
        <v>46199</v>
      </c>
      <c r="H60" s="21" t="str">
        <f aca="false">IFERROR(INDEX(Projects!$D$2:$D$500,MATCH(B60,Projects!$A$2:$A$500,0)),"")</f>
        <v>Granite Manufacturing</v>
      </c>
      <c r="I60" s="32" t="n">
        <f aca="false">IFERROR(INDEX(Clients!$G$2:$G$200,MATCH(INDEX(Projects!$C$2:$C$500,MATCH(B60,Projects!$A$2:$A$500,0)),Clients!$A$2:$A$200,0)),30)</f>
        <v>45</v>
      </c>
      <c r="J60" s="27" t="n">
        <f aca="false">D60+I60</f>
        <v>46192</v>
      </c>
      <c r="K60" s="12" t="str">
        <f aca="false">IF(ISNUMBER(G60),"Paid",IF(AsOfDate&gt;J60,"Overdue","Outstanding"))</f>
        <v>Paid</v>
      </c>
      <c r="L60" s="13" t="n">
        <f aca="false">IF(ISNUMBER(G60),G60-D60,AsOfDate-D60)</f>
        <v>52</v>
      </c>
      <c r="M60" s="13" t="n">
        <f aca="false">IF(K60="Overdue",AsOfDate-J60,0)</f>
        <v>0</v>
      </c>
      <c r="N60" s="12" t="str">
        <f aca="false">IF(K60="Paid","Paid",IF(M60=0,"Current",IF(M60&lt;=30,"1-30",IF(M60&lt;=60,"31-60","60+"))))</f>
        <v>Paid</v>
      </c>
    </row>
    <row r="61" customFormat="false" ht="15" hidden="false" customHeight="false" outlineLevel="0" collapsed="false">
      <c r="A61" s="18" t="s">
        <v>2660</v>
      </c>
      <c r="B61" s="18" t="s">
        <v>222</v>
      </c>
      <c r="C61" s="18" t="s">
        <v>2464</v>
      </c>
      <c r="D61" s="19" t="n">
        <v>46153</v>
      </c>
      <c r="E61" s="18" t="s">
        <v>2581</v>
      </c>
      <c r="F61" s="28" t="n">
        <v>231000</v>
      </c>
      <c r="G61" s="19" t="n">
        <v>46205</v>
      </c>
      <c r="H61" s="21" t="str">
        <f aca="false">IFERROR(INDEX(Projects!$D$2:$D$500,MATCH(B61,Projects!$A$2:$A$500,0)),"")</f>
        <v>Harbourview Logistics</v>
      </c>
      <c r="I61" s="32" t="n">
        <f aca="false">IFERROR(INDEX(Clients!$G$2:$G$200,MATCH(INDEX(Projects!$C$2:$C$500,MATCH(B61,Projects!$A$2:$A$500,0)),Clients!$A$2:$A$200,0)),30)</f>
        <v>45</v>
      </c>
      <c r="J61" s="27" t="n">
        <f aca="false">D61+I61</f>
        <v>46198</v>
      </c>
      <c r="K61" s="12" t="str">
        <f aca="false">IF(ISNUMBER(G61),"Paid",IF(AsOfDate&gt;J61,"Overdue","Outstanding"))</f>
        <v>Paid</v>
      </c>
      <c r="L61" s="13" t="n">
        <f aca="false">IF(ISNUMBER(G61),G61-D61,AsOfDate-D61)</f>
        <v>52</v>
      </c>
      <c r="M61" s="13" t="n">
        <f aca="false">IF(K61="Overdue",AsOfDate-J61,0)</f>
        <v>0</v>
      </c>
      <c r="N61" s="12" t="str">
        <f aca="false">IF(K61="Paid","Paid",IF(M61=0,"Current",IF(M61&lt;=30,"1-30",IF(M61&lt;=60,"31-60","60+"))))</f>
        <v>Paid</v>
      </c>
    </row>
    <row r="62" customFormat="false" ht="15" hidden="false" customHeight="false" outlineLevel="0" collapsed="false">
      <c r="A62" s="18" t="s">
        <v>2661</v>
      </c>
      <c r="B62" s="18" t="s">
        <v>239</v>
      </c>
      <c r="C62" s="18" t="s">
        <v>2478</v>
      </c>
      <c r="D62" s="19" t="n">
        <v>46156</v>
      </c>
      <c r="E62" s="18" t="s">
        <v>2578</v>
      </c>
      <c r="F62" s="28" t="n">
        <v>97000</v>
      </c>
      <c r="G62" s="19" t="n">
        <v>46220</v>
      </c>
      <c r="H62" s="21" t="str">
        <f aca="false">IFERROR(INDEX(Projects!$D$2:$D$500,MATCH(B62,Projects!$A$2:$A$500,0)),"")</f>
        <v>Pinecrest University</v>
      </c>
      <c r="I62" s="32" t="n">
        <f aca="false">IFERROR(INDEX(Clients!$G$2:$G$200,MATCH(INDEX(Projects!$C$2:$C$500,MATCH(B62,Projects!$A$2:$A$500,0)),Clients!$A$2:$A$200,0)),30)</f>
        <v>60</v>
      </c>
      <c r="J62" s="27" t="n">
        <f aca="false">D62+I62</f>
        <v>46216</v>
      </c>
      <c r="K62" s="12" t="str">
        <f aca="false">IF(ISNUMBER(G62),"Paid",IF(AsOfDate&gt;J62,"Overdue","Outstanding"))</f>
        <v>Paid</v>
      </c>
      <c r="L62" s="13" t="n">
        <f aca="false">IF(ISNUMBER(G62),G62-D62,AsOfDate-D62)</f>
        <v>64</v>
      </c>
      <c r="M62" s="13" t="n">
        <f aca="false">IF(K62="Overdue",AsOfDate-J62,0)</f>
        <v>0</v>
      </c>
      <c r="N62" s="12" t="str">
        <f aca="false">IF(K62="Paid","Paid",IF(M62=0,"Current",IF(M62&lt;=30,"1-30",IF(M62&lt;=60,"31-60","60+"))))</f>
        <v>Paid</v>
      </c>
    </row>
    <row r="63" customFormat="false" ht="15" hidden="false" customHeight="false" outlineLevel="0" collapsed="false">
      <c r="A63" s="18" t="s">
        <v>2662</v>
      </c>
      <c r="B63" s="18" t="s">
        <v>285</v>
      </c>
      <c r="C63" s="18" t="s">
        <v>2549</v>
      </c>
      <c r="D63" s="19" t="n">
        <v>46157</v>
      </c>
      <c r="E63" s="18" t="s">
        <v>2581</v>
      </c>
      <c r="F63" s="28" t="n">
        <v>125000</v>
      </c>
      <c r="G63" s="19" t="n">
        <v>46195</v>
      </c>
      <c r="H63" s="21" t="str">
        <f aca="false">IFERROR(INDEX(Projects!$D$2:$D$500,MATCH(B63,Projects!$A$2:$A$500,0)),"")</f>
        <v>Lakeshore Energy</v>
      </c>
      <c r="I63" s="32" t="n">
        <f aca="false">IFERROR(INDEX(Clients!$G$2:$G$200,MATCH(INDEX(Projects!$C$2:$C$500,MATCH(B63,Projects!$A$2:$A$500,0)),Clients!$A$2:$A$200,0)),30)</f>
        <v>30</v>
      </c>
      <c r="J63" s="27" t="n">
        <f aca="false">D63+I63</f>
        <v>46187</v>
      </c>
      <c r="K63" s="12" t="str">
        <f aca="false">IF(ISNUMBER(G63),"Paid",IF(AsOfDate&gt;J63,"Overdue","Outstanding"))</f>
        <v>Paid</v>
      </c>
      <c r="L63" s="13" t="n">
        <f aca="false">IF(ISNUMBER(G63),G63-D63,AsOfDate-D63)</f>
        <v>38</v>
      </c>
      <c r="M63" s="13" t="n">
        <f aca="false">IF(K63="Overdue",AsOfDate-J63,0)</f>
        <v>0</v>
      </c>
      <c r="N63" s="12" t="str">
        <f aca="false">IF(K63="Paid","Paid",IF(M63=0,"Current",IF(M63&lt;=30,"1-30",IF(M63&lt;=60,"31-60","60+"))))</f>
        <v>Paid</v>
      </c>
    </row>
    <row r="64" customFormat="false" ht="15" hidden="false" customHeight="false" outlineLevel="0" collapsed="false">
      <c r="A64" s="18" t="s">
        <v>2663</v>
      </c>
      <c r="B64" s="18" t="s">
        <v>249</v>
      </c>
      <c r="C64" s="18" t="s">
        <v>2488</v>
      </c>
      <c r="D64" s="19" t="n">
        <v>46171</v>
      </c>
      <c r="E64" s="18" t="s">
        <v>2578</v>
      </c>
      <c r="F64" s="28" t="n">
        <v>53500</v>
      </c>
      <c r="G64" s="19" t="n">
        <v>46224</v>
      </c>
      <c r="H64" s="21" t="str">
        <f aca="false">IFERROR(INDEX(Projects!$D$2:$D$500,MATCH(B64,Projects!$A$2:$A$500,0)),"")</f>
        <v>Granite Manufacturing</v>
      </c>
      <c r="I64" s="32" t="n">
        <f aca="false">IFERROR(INDEX(Clients!$G$2:$G$200,MATCH(INDEX(Projects!$C$2:$C$500,MATCH(B64,Projects!$A$2:$A$500,0)),Clients!$A$2:$A$200,0)),30)</f>
        <v>45</v>
      </c>
      <c r="J64" s="27" t="n">
        <f aca="false">D64+I64</f>
        <v>46216</v>
      </c>
      <c r="K64" s="12" t="str">
        <f aca="false">IF(ISNUMBER(G64),"Paid",IF(AsOfDate&gt;J64,"Overdue","Outstanding"))</f>
        <v>Paid</v>
      </c>
      <c r="L64" s="13" t="n">
        <f aca="false">IF(ISNUMBER(G64),G64-D64,AsOfDate-D64)</f>
        <v>53</v>
      </c>
      <c r="M64" s="13" t="n">
        <f aca="false">IF(K64="Overdue",AsOfDate-J64,0)</f>
        <v>0</v>
      </c>
      <c r="N64" s="12" t="str">
        <f aca="false">IF(K64="Paid","Paid",IF(M64=0,"Current",IF(M64&lt;=30,"1-30",IF(M64&lt;=60,"31-60","60+"))))</f>
        <v>Paid</v>
      </c>
    </row>
    <row r="65" customFormat="false" ht="15" hidden="false" customHeight="false" outlineLevel="0" collapsed="false">
      <c r="A65" s="18" t="s">
        <v>2664</v>
      </c>
      <c r="B65" s="18" t="s">
        <v>215</v>
      </c>
      <c r="C65" s="18"/>
      <c r="D65" s="19" t="n">
        <v>46178</v>
      </c>
      <c r="E65" s="18" t="s">
        <v>2665</v>
      </c>
      <c r="F65" s="28" t="n">
        <v>95906.36</v>
      </c>
      <c r="G65" s="19" t="n">
        <v>46214</v>
      </c>
      <c r="H65" s="21" t="str">
        <f aca="false">IFERROR(INDEX(Projects!$D$2:$D$500,MATCH(B65,Projects!$A$2:$A$500,0)),"")</f>
        <v>Maple Ridge Financial</v>
      </c>
      <c r="I65" s="32" t="n">
        <f aca="false">IFERROR(INDEX(Clients!$G$2:$G$200,MATCH(INDEX(Projects!$C$2:$C$500,MATCH(B65,Projects!$A$2:$A$500,0)),Clients!$A$2:$A$200,0)),30)</f>
        <v>30</v>
      </c>
      <c r="J65" s="27" t="n">
        <f aca="false">D65+I65</f>
        <v>46208</v>
      </c>
      <c r="K65" s="12" t="str">
        <f aca="false">IF(ISNUMBER(G65),"Paid",IF(AsOfDate&gt;J65,"Overdue","Outstanding"))</f>
        <v>Paid</v>
      </c>
      <c r="L65" s="13" t="n">
        <f aca="false">IF(ISNUMBER(G65),G65-D65,AsOfDate-D65)</f>
        <v>36</v>
      </c>
      <c r="M65" s="13" t="n">
        <f aca="false">IF(K65="Overdue",AsOfDate-J65,0)</f>
        <v>0</v>
      </c>
      <c r="N65" s="12" t="str">
        <f aca="false">IF(K65="Paid","Paid",IF(M65=0,"Current",IF(M65&lt;=30,"1-30",IF(M65&lt;=60,"31-60","60+"))))</f>
        <v>Paid</v>
      </c>
    </row>
    <row r="66" customFormat="false" ht="15" hidden="false" customHeight="false" outlineLevel="0" collapsed="false">
      <c r="A66" s="18" t="s">
        <v>2666</v>
      </c>
      <c r="B66" s="18" t="s">
        <v>244</v>
      </c>
      <c r="C66" s="18"/>
      <c r="D66" s="19" t="n">
        <v>46178</v>
      </c>
      <c r="E66" s="18" t="s">
        <v>2665</v>
      </c>
      <c r="F66" s="28" t="n">
        <v>86717.19</v>
      </c>
      <c r="G66" s="19" t="n">
        <v>46231</v>
      </c>
      <c r="H66" s="21" t="str">
        <f aca="false">IFERROR(INDEX(Projects!$D$2:$D$500,MATCH(B66,Projects!$A$2:$A$500,0)),"")</f>
        <v>Summit Telecom</v>
      </c>
      <c r="I66" s="32" t="n">
        <f aca="false">IFERROR(INDEX(Clients!$G$2:$G$200,MATCH(INDEX(Projects!$C$2:$C$500,MATCH(B66,Projects!$A$2:$A$500,0)),Clients!$A$2:$A$200,0)),30)</f>
        <v>45</v>
      </c>
      <c r="J66" s="27" t="n">
        <f aca="false">D66+I66</f>
        <v>46223</v>
      </c>
      <c r="K66" s="12" t="str">
        <f aca="false">IF(ISNUMBER(G66),"Paid",IF(AsOfDate&gt;J66,"Overdue","Outstanding"))</f>
        <v>Paid</v>
      </c>
      <c r="L66" s="13" t="n">
        <f aca="false">IF(ISNUMBER(G66),G66-D66,AsOfDate-D66)</f>
        <v>53</v>
      </c>
      <c r="M66" s="13" t="n">
        <f aca="false">IF(K66="Overdue",AsOfDate-J66,0)</f>
        <v>0</v>
      </c>
      <c r="N66" s="12" t="str">
        <f aca="false">IF(K66="Paid","Paid",IF(M66=0,"Current",IF(M66&lt;=30,"1-30",IF(M66&lt;=60,"31-60","60+"))))</f>
        <v>Paid</v>
      </c>
    </row>
    <row r="67" customFormat="false" ht="15" hidden="false" customHeight="false" outlineLevel="0" collapsed="false">
      <c r="A67" s="18" t="s">
        <v>2667</v>
      </c>
      <c r="B67" s="18" t="s">
        <v>257</v>
      </c>
      <c r="C67" s="18"/>
      <c r="D67" s="19" t="n">
        <v>46178</v>
      </c>
      <c r="E67" s="18" t="s">
        <v>2665</v>
      </c>
      <c r="F67" s="28" t="n">
        <v>64239.52</v>
      </c>
      <c r="G67" s="19" t="n">
        <v>46230</v>
      </c>
      <c r="H67" s="21" t="str">
        <f aca="false">IFERROR(INDEX(Projects!$D$2:$D$500,MATCH(B67,Projects!$A$2:$A$500,0)),"")</f>
        <v>Evergreen Pharma</v>
      </c>
      <c r="I67" s="32" t="n">
        <f aca="false">IFERROR(INDEX(Clients!$G$2:$G$200,MATCH(INDEX(Projects!$C$2:$C$500,MATCH(B67,Projects!$A$2:$A$500,0)),Clients!$A$2:$A$200,0)),30)</f>
        <v>45</v>
      </c>
      <c r="J67" s="27" t="n">
        <f aca="false">D67+I67</f>
        <v>46223</v>
      </c>
      <c r="K67" s="12" t="str">
        <f aca="false">IF(ISNUMBER(G67),"Paid",IF(AsOfDate&gt;J67,"Overdue","Outstanding"))</f>
        <v>Paid</v>
      </c>
      <c r="L67" s="13" t="n">
        <f aca="false">IF(ISNUMBER(G67),G67-D67,AsOfDate-D67)</f>
        <v>52</v>
      </c>
      <c r="M67" s="13" t="n">
        <f aca="false">IF(K67="Overdue",AsOfDate-J67,0)</f>
        <v>0</v>
      </c>
      <c r="N67" s="12" t="str">
        <f aca="false">IF(K67="Paid","Paid",IF(M67=0,"Current",IF(M67&lt;=30,"1-30",IF(M67&lt;=60,"31-60","60+"))))</f>
        <v>Paid</v>
      </c>
    </row>
    <row r="68" customFormat="false" ht="15" hidden="false" customHeight="false" outlineLevel="0" collapsed="false">
      <c r="A68" s="18" t="s">
        <v>2668</v>
      </c>
      <c r="B68" s="18" t="s">
        <v>267</v>
      </c>
      <c r="C68" s="18"/>
      <c r="D68" s="19" t="n">
        <v>46178</v>
      </c>
      <c r="E68" s="18" t="s">
        <v>2669</v>
      </c>
      <c r="F68" s="28" t="n">
        <v>80555.56</v>
      </c>
      <c r="G68" s="19"/>
      <c r="H68" s="21" t="str">
        <f aca="false">IFERROR(INDEX(Projects!$D$2:$D$500,MATCH(B68,Projects!$A$2:$A$500,0)),"")</f>
        <v>Harbourview Logistics</v>
      </c>
      <c r="I68" s="32" t="n">
        <f aca="false">IFERROR(INDEX(Clients!$G$2:$G$200,MATCH(INDEX(Projects!$C$2:$C$500,MATCH(B68,Projects!$A$2:$A$500,0)),Clients!$A$2:$A$200,0)),30)</f>
        <v>45</v>
      </c>
      <c r="J68" s="27" t="n">
        <f aca="false">D68+I68</f>
        <v>46223</v>
      </c>
      <c r="K68" s="12" t="str">
        <f aca="false">IF(ISNUMBER(G68),"Paid",IF(AsOfDate&gt;J68,"Overdue","Outstanding"))</f>
        <v>Overdue</v>
      </c>
      <c r="L68" s="13" t="n">
        <f aca="false">IF(ISNUMBER(G68),G68-D68,AsOfDate-D68)</f>
        <v>98</v>
      </c>
      <c r="M68" s="13" t="n">
        <f aca="false">IF(K68="Overdue",AsOfDate-J68,0)</f>
        <v>53</v>
      </c>
      <c r="N68" s="12" t="str">
        <f aca="false">IF(K68="Paid","Paid",IF(M68=0,"Current",IF(M68&lt;=30,"1-30",IF(M68&lt;=60,"31-60","60+"))))</f>
        <v>31-60</v>
      </c>
    </row>
    <row r="69" customFormat="false" ht="15" hidden="false" customHeight="false" outlineLevel="0" collapsed="false">
      <c r="A69" s="18" t="s">
        <v>2670</v>
      </c>
      <c r="B69" s="18" t="s">
        <v>272</v>
      </c>
      <c r="C69" s="18"/>
      <c r="D69" s="19" t="n">
        <v>46178</v>
      </c>
      <c r="E69" s="18" t="s">
        <v>2665</v>
      </c>
      <c r="F69" s="28" t="n">
        <v>43539.34</v>
      </c>
      <c r="G69" s="19"/>
      <c r="H69" s="21" t="str">
        <f aca="false">IFERROR(INDEX(Projects!$D$2:$D$500,MATCH(B69,Projects!$A$2:$A$500,0)),"")</f>
        <v>Harbourview Logistics</v>
      </c>
      <c r="I69" s="32" t="n">
        <f aca="false">IFERROR(INDEX(Clients!$G$2:$G$200,MATCH(INDEX(Projects!$C$2:$C$500,MATCH(B69,Projects!$A$2:$A$500,0)),Clients!$A$2:$A$200,0)),30)</f>
        <v>45</v>
      </c>
      <c r="J69" s="27" t="n">
        <f aca="false">D69+I69</f>
        <v>46223</v>
      </c>
      <c r="K69" s="12" t="str">
        <f aca="false">IF(ISNUMBER(G69),"Paid",IF(AsOfDate&gt;J69,"Overdue","Outstanding"))</f>
        <v>Overdue</v>
      </c>
      <c r="L69" s="13" t="n">
        <f aca="false">IF(ISNUMBER(G69),G69-D69,AsOfDate-D69)</f>
        <v>98</v>
      </c>
      <c r="M69" s="13" t="n">
        <f aca="false">IF(K69="Overdue",AsOfDate-J69,0)</f>
        <v>53</v>
      </c>
      <c r="N69" s="12" t="str">
        <f aca="false">IF(K69="Paid","Paid",IF(M69=0,"Current",IF(M69&lt;=30,"1-30",IF(M69&lt;=60,"31-60","60+"))))</f>
        <v>31-60</v>
      </c>
    </row>
    <row r="70" customFormat="false" ht="15" hidden="false" customHeight="false" outlineLevel="0" collapsed="false">
      <c r="A70" s="18" t="s">
        <v>2671</v>
      </c>
      <c r="B70" s="18" t="s">
        <v>283</v>
      </c>
      <c r="C70" s="18"/>
      <c r="D70" s="19" t="n">
        <v>46178</v>
      </c>
      <c r="E70" s="18" t="s">
        <v>2665</v>
      </c>
      <c r="F70" s="28" t="n">
        <v>55129.52</v>
      </c>
      <c r="G70" s="19" t="n">
        <v>46230</v>
      </c>
      <c r="H70" s="21" t="str">
        <f aca="false">IFERROR(INDEX(Projects!$D$2:$D$500,MATCH(B70,Projects!$A$2:$A$500,0)),"")</f>
        <v>Granite Manufacturing</v>
      </c>
      <c r="I70" s="32" t="n">
        <f aca="false">IFERROR(INDEX(Clients!$G$2:$G$200,MATCH(INDEX(Projects!$C$2:$C$500,MATCH(B70,Projects!$A$2:$A$500,0)),Clients!$A$2:$A$200,0)),30)</f>
        <v>45</v>
      </c>
      <c r="J70" s="27" t="n">
        <f aca="false">D70+I70</f>
        <v>46223</v>
      </c>
      <c r="K70" s="12" t="str">
        <f aca="false">IF(ISNUMBER(G70),"Paid",IF(AsOfDate&gt;J70,"Overdue","Outstanding"))</f>
        <v>Paid</v>
      </c>
      <c r="L70" s="13" t="n">
        <f aca="false">IF(ISNUMBER(G70),G70-D70,AsOfDate-D70)</f>
        <v>52</v>
      </c>
      <c r="M70" s="13" t="n">
        <f aca="false">IF(K70="Overdue",AsOfDate-J70,0)</f>
        <v>0</v>
      </c>
      <c r="N70" s="12" t="str">
        <f aca="false">IF(K70="Paid","Paid",IF(M70=0,"Current",IF(M70&lt;=30,"1-30",IF(M70&lt;=60,"31-60","60+"))))</f>
        <v>Paid</v>
      </c>
    </row>
    <row r="71" customFormat="false" ht="15" hidden="false" customHeight="false" outlineLevel="0" collapsed="false">
      <c r="A71" s="18" t="s">
        <v>2672</v>
      </c>
      <c r="B71" s="18" t="s">
        <v>228</v>
      </c>
      <c r="C71" s="18" t="s">
        <v>2469</v>
      </c>
      <c r="D71" s="19" t="n">
        <v>46191</v>
      </c>
      <c r="E71" s="18" t="s">
        <v>2581</v>
      </c>
      <c r="F71" s="28" t="n">
        <v>148000</v>
      </c>
      <c r="G71" s="19" t="n">
        <v>46226</v>
      </c>
      <c r="H71" s="21" t="str">
        <f aca="false">IFERROR(INDEX(Projects!$D$2:$D$500,MATCH(B71,Projects!$A$2:$A$500,0)),"")</f>
        <v>Ironbridge Capital</v>
      </c>
      <c r="I71" s="32" t="n">
        <f aca="false">IFERROR(INDEX(Clients!$G$2:$G$200,MATCH(INDEX(Projects!$C$2:$C$500,MATCH(B71,Projects!$A$2:$A$500,0)),Clients!$A$2:$A$200,0)),30)</f>
        <v>30</v>
      </c>
      <c r="J71" s="27" t="n">
        <f aca="false">D71+I71</f>
        <v>46221</v>
      </c>
      <c r="K71" s="12" t="str">
        <f aca="false">IF(ISNUMBER(G71),"Paid",IF(AsOfDate&gt;J71,"Overdue","Outstanding"))</f>
        <v>Paid</v>
      </c>
      <c r="L71" s="13" t="n">
        <f aca="false">IF(ISNUMBER(G71),G71-D71,AsOfDate-D71)</f>
        <v>35</v>
      </c>
      <c r="M71" s="13" t="n">
        <f aca="false">IF(K71="Overdue",AsOfDate-J71,0)</f>
        <v>0</v>
      </c>
      <c r="N71" s="12" t="str">
        <f aca="false">IF(K71="Paid","Paid",IF(M71=0,"Current",IF(M71&lt;=30,"1-30",IF(M71&lt;=60,"31-60","60+"))))</f>
        <v>Paid</v>
      </c>
    </row>
    <row r="72" customFormat="false" ht="15" hidden="false" customHeight="false" outlineLevel="0" collapsed="false">
      <c r="A72" s="18" t="s">
        <v>2673</v>
      </c>
      <c r="B72" s="18" t="s">
        <v>233</v>
      </c>
      <c r="C72" s="18" t="s">
        <v>2475</v>
      </c>
      <c r="D72" s="19" t="n">
        <v>46192</v>
      </c>
      <c r="E72" s="18" t="s">
        <v>2674</v>
      </c>
      <c r="F72" s="28" t="n">
        <v>282000</v>
      </c>
      <c r="G72" s="19"/>
      <c r="H72" s="21" t="str">
        <f aca="false">IFERROR(INDEX(Projects!$D$2:$D$500,MATCH(B72,Projects!$A$2:$A$500,0)),"")</f>
        <v>Aurora Retail Group</v>
      </c>
      <c r="I72" s="32" t="n">
        <f aca="false">IFERROR(INDEX(Clients!$G$2:$G$200,MATCH(INDEX(Projects!$C$2:$C$500,MATCH(B72,Projects!$A$2:$A$500,0)),Clients!$A$2:$A$200,0)),30)</f>
        <v>60</v>
      </c>
      <c r="J72" s="27" t="n">
        <f aca="false">D72+I72</f>
        <v>46252</v>
      </c>
      <c r="K72" s="12" t="str">
        <f aca="false">IF(ISNUMBER(G72),"Paid",IF(AsOfDate&gt;J72,"Overdue","Outstanding"))</f>
        <v>Overdue</v>
      </c>
      <c r="L72" s="13" t="n">
        <f aca="false">IF(ISNUMBER(G72),G72-D72,AsOfDate-D72)</f>
        <v>84</v>
      </c>
      <c r="M72" s="13" t="n">
        <f aca="false">IF(K72="Overdue",AsOfDate-J72,0)</f>
        <v>24</v>
      </c>
      <c r="N72" s="12" t="str">
        <f aca="false">IF(K72="Paid","Paid",IF(M72=0,"Current",IF(M72&lt;=30,"1-30",IF(M72&lt;=60,"31-60","60+"))))</f>
        <v>1-30</v>
      </c>
    </row>
    <row r="73" customFormat="false" ht="15" hidden="false" customHeight="false" outlineLevel="0" collapsed="false">
      <c r="A73" s="18" t="s">
        <v>2675</v>
      </c>
      <c r="B73" s="18" t="s">
        <v>261</v>
      </c>
      <c r="C73" s="18" t="s">
        <v>2503</v>
      </c>
      <c r="D73" s="19" t="n">
        <v>46195</v>
      </c>
      <c r="E73" s="18" t="s">
        <v>2578</v>
      </c>
      <c r="F73" s="28" t="n">
        <v>51000</v>
      </c>
      <c r="G73" s="19" t="n">
        <v>46228</v>
      </c>
      <c r="H73" s="21" t="str">
        <f aca="false">IFERROR(INDEX(Projects!$D$2:$D$500,MATCH(B73,Projects!$A$2:$A$500,0)),"")</f>
        <v>Lakeshore Energy</v>
      </c>
      <c r="I73" s="32" t="n">
        <f aca="false">IFERROR(INDEX(Clients!$G$2:$G$200,MATCH(INDEX(Projects!$C$2:$C$500,MATCH(B73,Projects!$A$2:$A$500,0)),Clients!$A$2:$A$200,0)),30)</f>
        <v>30</v>
      </c>
      <c r="J73" s="27" t="n">
        <f aca="false">D73+I73</f>
        <v>46225</v>
      </c>
      <c r="K73" s="12" t="str">
        <f aca="false">IF(ISNUMBER(G73),"Paid",IF(AsOfDate&gt;J73,"Overdue","Outstanding"))</f>
        <v>Paid</v>
      </c>
      <c r="L73" s="13" t="n">
        <f aca="false">IF(ISNUMBER(G73),G73-D73,AsOfDate-D73)</f>
        <v>33</v>
      </c>
      <c r="M73" s="13" t="n">
        <f aca="false">IF(K73="Overdue",AsOfDate-J73,0)</f>
        <v>0</v>
      </c>
      <c r="N73" s="12" t="str">
        <f aca="false">IF(K73="Paid","Paid",IF(M73=0,"Current",IF(M73&lt;=30,"1-30",IF(M73&lt;=60,"31-60","60+"))))</f>
        <v>Paid</v>
      </c>
    </row>
    <row r="74" customFormat="false" ht="15" hidden="false" customHeight="false" outlineLevel="0" collapsed="false">
      <c r="A74" s="18" t="s">
        <v>2676</v>
      </c>
      <c r="B74" s="18" t="s">
        <v>265</v>
      </c>
      <c r="C74" s="18" t="s">
        <v>2510</v>
      </c>
      <c r="D74" s="19" t="n">
        <v>46202</v>
      </c>
      <c r="E74" s="18" t="s">
        <v>2593</v>
      </c>
      <c r="F74" s="28" t="n">
        <v>424500</v>
      </c>
      <c r="G74" s="19" t="n">
        <v>46229</v>
      </c>
      <c r="H74" s="21" t="str">
        <f aca="false">IFERROR(INDEX(Projects!$D$2:$D$500,MATCH(B74,Projects!$A$2:$A$500,0)),"")</f>
        <v>Maple Ridge Financial</v>
      </c>
      <c r="I74" s="32" t="n">
        <f aca="false">IFERROR(INDEX(Clients!$G$2:$G$200,MATCH(INDEX(Projects!$C$2:$C$500,MATCH(B74,Projects!$A$2:$A$500,0)),Clients!$A$2:$A$200,0)),30)</f>
        <v>30</v>
      </c>
      <c r="J74" s="27" t="n">
        <f aca="false">D74+I74</f>
        <v>46232</v>
      </c>
      <c r="K74" s="12" t="str">
        <f aca="false">IF(ISNUMBER(G74),"Paid",IF(AsOfDate&gt;J74,"Overdue","Outstanding"))</f>
        <v>Paid</v>
      </c>
      <c r="L74" s="13" t="n">
        <f aca="false">IF(ISNUMBER(G74),G74-D74,AsOfDate-D74)</f>
        <v>27</v>
      </c>
      <c r="M74" s="13" t="n">
        <f aca="false">IF(K74="Overdue",AsOfDate-J74,0)</f>
        <v>0</v>
      </c>
      <c r="N74" s="12" t="str">
        <f aca="false">IF(K74="Paid","Paid",IF(M74=0,"Current",IF(M74&lt;=30,"1-30",IF(M74&lt;=60,"31-60","60+"))))</f>
        <v>Paid</v>
      </c>
    </row>
    <row r="75" customFormat="false" ht="15" hidden="false" customHeight="false" outlineLevel="0" collapsed="false">
      <c r="A75" s="18" t="s">
        <v>2677</v>
      </c>
      <c r="B75" s="18" t="s">
        <v>249</v>
      </c>
      <c r="C75" s="18" t="s">
        <v>2489</v>
      </c>
      <c r="D75" s="19" t="n">
        <v>46206</v>
      </c>
      <c r="E75" s="18" t="s">
        <v>2581</v>
      </c>
      <c r="F75" s="28" t="n">
        <v>107000</v>
      </c>
      <c r="G75" s="19" t="n">
        <v>46246</v>
      </c>
      <c r="H75" s="21" t="str">
        <f aca="false">IFERROR(INDEX(Projects!$D$2:$D$500,MATCH(B75,Projects!$A$2:$A$500,0)),"")</f>
        <v>Granite Manufacturing</v>
      </c>
      <c r="I75" s="32" t="n">
        <f aca="false">IFERROR(INDEX(Clients!$G$2:$G$200,MATCH(INDEX(Projects!$C$2:$C$500,MATCH(B75,Projects!$A$2:$A$500,0)),Clients!$A$2:$A$200,0)),30)</f>
        <v>45</v>
      </c>
      <c r="J75" s="27" t="n">
        <f aca="false">D75+I75</f>
        <v>46251</v>
      </c>
      <c r="K75" s="12" t="str">
        <f aca="false">IF(ISNUMBER(G75),"Paid",IF(AsOfDate&gt;J75,"Overdue","Outstanding"))</f>
        <v>Paid</v>
      </c>
      <c r="L75" s="13" t="n">
        <f aca="false">IF(ISNUMBER(G75),G75-D75,AsOfDate-D75)</f>
        <v>40</v>
      </c>
      <c r="M75" s="13" t="n">
        <f aca="false">IF(K75="Overdue",AsOfDate-J75,0)</f>
        <v>0</v>
      </c>
      <c r="N75" s="12" t="str">
        <f aca="false">IF(K75="Paid","Paid",IF(M75=0,"Current",IF(M75&lt;=30,"1-30",IF(M75&lt;=60,"31-60","60+"))))</f>
        <v>Paid</v>
      </c>
    </row>
    <row r="76" customFormat="false" ht="15" hidden="false" customHeight="false" outlineLevel="0" collapsed="false">
      <c r="A76" s="18" t="s">
        <v>2678</v>
      </c>
      <c r="B76" s="18" t="s">
        <v>215</v>
      </c>
      <c r="C76" s="18"/>
      <c r="D76" s="19" t="n">
        <v>46209</v>
      </c>
      <c r="E76" s="18" t="s">
        <v>2679</v>
      </c>
      <c r="F76" s="28" t="n">
        <v>96126.2</v>
      </c>
      <c r="G76" s="19" t="n">
        <v>46234</v>
      </c>
      <c r="H76" s="21" t="str">
        <f aca="false">IFERROR(INDEX(Projects!$D$2:$D$500,MATCH(B76,Projects!$A$2:$A$500,0)),"")</f>
        <v>Maple Ridge Financial</v>
      </c>
      <c r="I76" s="32" t="n">
        <f aca="false">IFERROR(INDEX(Clients!$G$2:$G$200,MATCH(INDEX(Projects!$C$2:$C$500,MATCH(B76,Projects!$A$2:$A$500,0)),Clients!$A$2:$A$200,0)),30)</f>
        <v>30</v>
      </c>
      <c r="J76" s="27" t="n">
        <f aca="false">D76+I76</f>
        <v>46239</v>
      </c>
      <c r="K76" s="12" t="str">
        <f aca="false">IF(ISNUMBER(G76),"Paid",IF(AsOfDate&gt;J76,"Overdue","Outstanding"))</f>
        <v>Paid</v>
      </c>
      <c r="L76" s="13" t="n">
        <f aca="false">IF(ISNUMBER(G76),G76-D76,AsOfDate-D76)</f>
        <v>25</v>
      </c>
      <c r="M76" s="13" t="n">
        <f aca="false">IF(K76="Overdue",AsOfDate-J76,0)</f>
        <v>0</v>
      </c>
      <c r="N76" s="12" t="str">
        <f aca="false">IF(K76="Paid","Paid",IF(M76=0,"Current",IF(M76&lt;=30,"1-30",IF(M76&lt;=60,"31-60","60+"))))</f>
        <v>Paid</v>
      </c>
    </row>
    <row r="77" customFormat="false" ht="15" hidden="false" customHeight="false" outlineLevel="0" collapsed="false">
      <c r="A77" s="18" t="s">
        <v>2680</v>
      </c>
      <c r="B77" s="18" t="s">
        <v>244</v>
      </c>
      <c r="C77" s="18"/>
      <c r="D77" s="19" t="n">
        <v>46209</v>
      </c>
      <c r="E77" s="18" t="s">
        <v>2679</v>
      </c>
      <c r="F77" s="28" t="n">
        <v>98072.51</v>
      </c>
      <c r="G77" s="19" t="n">
        <v>46264</v>
      </c>
      <c r="H77" s="21" t="str">
        <f aca="false">IFERROR(INDEX(Projects!$D$2:$D$500,MATCH(B77,Projects!$A$2:$A$500,0)),"")</f>
        <v>Summit Telecom</v>
      </c>
      <c r="I77" s="32" t="n">
        <f aca="false">IFERROR(INDEX(Clients!$G$2:$G$200,MATCH(INDEX(Projects!$C$2:$C$500,MATCH(B77,Projects!$A$2:$A$500,0)),Clients!$A$2:$A$200,0)),30)</f>
        <v>45</v>
      </c>
      <c r="J77" s="27" t="n">
        <f aca="false">D77+I77</f>
        <v>46254</v>
      </c>
      <c r="K77" s="12" t="str">
        <f aca="false">IF(ISNUMBER(G77),"Paid",IF(AsOfDate&gt;J77,"Overdue","Outstanding"))</f>
        <v>Paid</v>
      </c>
      <c r="L77" s="13" t="n">
        <f aca="false">IF(ISNUMBER(G77),G77-D77,AsOfDate-D77)</f>
        <v>55</v>
      </c>
      <c r="M77" s="13" t="n">
        <f aca="false">IF(K77="Overdue",AsOfDate-J77,0)</f>
        <v>0</v>
      </c>
      <c r="N77" s="12" t="str">
        <f aca="false">IF(K77="Paid","Paid",IF(M77=0,"Current",IF(M77&lt;=30,"1-30",IF(M77&lt;=60,"31-60","60+"))))</f>
        <v>Paid</v>
      </c>
    </row>
    <row r="78" customFormat="false" ht="15" hidden="false" customHeight="false" outlineLevel="0" collapsed="false">
      <c r="A78" s="18" t="s">
        <v>2681</v>
      </c>
      <c r="B78" s="18" t="s">
        <v>257</v>
      </c>
      <c r="C78" s="18"/>
      <c r="D78" s="19" t="n">
        <v>46209</v>
      </c>
      <c r="E78" s="18" t="s">
        <v>2679</v>
      </c>
      <c r="F78" s="28" t="n">
        <v>78054.13</v>
      </c>
      <c r="G78" s="19" t="n">
        <v>46245</v>
      </c>
      <c r="H78" s="21" t="str">
        <f aca="false">IFERROR(INDEX(Projects!$D$2:$D$500,MATCH(B78,Projects!$A$2:$A$500,0)),"")</f>
        <v>Evergreen Pharma</v>
      </c>
      <c r="I78" s="32" t="n">
        <f aca="false">IFERROR(INDEX(Clients!$G$2:$G$200,MATCH(INDEX(Projects!$C$2:$C$500,MATCH(B78,Projects!$A$2:$A$500,0)),Clients!$A$2:$A$200,0)),30)</f>
        <v>45</v>
      </c>
      <c r="J78" s="27" t="n">
        <f aca="false">D78+I78</f>
        <v>46254</v>
      </c>
      <c r="K78" s="12" t="str">
        <f aca="false">IF(ISNUMBER(G78),"Paid",IF(AsOfDate&gt;J78,"Overdue","Outstanding"))</f>
        <v>Paid</v>
      </c>
      <c r="L78" s="13" t="n">
        <f aca="false">IF(ISNUMBER(G78),G78-D78,AsOfDate-D78)</f>
        <v>36</v>
      </c>
      <c r="M78" s="13" t="n">
        <f aca="false">IF(K78="Overdue",AsOfDate-J78,0)</f>
        <v>0</v>
      </c>
      <c r="N78" s="12" t="str">
        <f aca="false">IF(K78="Paid","Paid",IF(M78=0,"Current",IF(M78&lt;=30,"1-30",IF(M78&lt;=60,"31-60","60+"))))</f>
        <v>Paid</v>
      </c>
    </row>
    <row r="79" customFormat="false" ht="15" hidden="false" customHeight="false" outlineLevel="0" collapsed="false">
      <c r="A79" s="18" t="s">
        <v>2682</v>
      </c>
      <c r="B79" s="18" t="s">
        <v>267</v>
      </c>
      <c r="C79" s="18"/>
      <c r="D79" s="19" t="n">
        <v>46209</v>
      </c>
      <c r="E79" s="18" t="s">
        <v>2683</v>
      </c>
      <c r="F79" s="28" t="n">
        <v>80555.56</v>
      </c>
      <c r="G79" s="19" t="n">
        <v>46249</v>
      </c>
      <c r="H79" s="21" t="str">
        <f aca="false">IFERROR(INDEX(Projects!$D$2:$D$500,MATCH(B79,Projects!$A$2:$A$500,0)),"")</f>
        <v>Harbourview Logistics</v>
      </c>
      <c r="I79" s="32" t="n">
        <f aca="false">IFERROR(INDEX(Clients!$G$2:$G$200,MATCH(INDEX(Projects!$C$2:$C$500,MATCH(B79,Projects!$A$2:$A$500,0)),Clients!$A$2:$A$200,0)),30)</f>
        <v>45</v>
      </c>
      <c r="J79" s="27" t="n">
        <f aca="false">D79+I79</f>
        <v>46254</v>
      </c>
      <c r="K79" s="12" t="str">
        <f aca="false">IF(ISNUMBER(G79),"Paid",IF(AsOfDate&gt;J79,"Overdue","Outstanding"))</f>
        <v>Paid</v>
      </c>
      <c r="L79" s="13" t="n">
        <f aca="false">IF(ISNUMBER(G79),G79-D79,AsOfDate-D79)</f>
        <v>40</v>
      </c>
      <c r="M79" s="13" t="n">
        <f aca="false">IF(K79="Overdue",AsOfDate-J79,0)</f>
        <v>0</v>
      </c>
      <c r="N79" s="12" t="str">
        <f aca="false">IF(K79="Paid","Paid",IF(M79=0,"Current",IF(M79&lt;=30,"1-30",IF(M79&lt;=60,"31-60","60+"))))</f>
        <v>Paid</v>
      </c>
    </row>
    <row r="80" customFormat="false" ht="15" hidden="false" customHeight="false" outlineLevel="0" collapsed="false">
      <c r="A80" s="18" t="s">
        <v>2684</v>
      </c>
      <c r="B80" s="18" t="s">
        <v>272</v>
      </c>
      <c r="C80" s="18"/>
      <c r="D80" s="19" t="n">
        <v>46209</v>
      </c>
      <c r="E80" s="18" t="s">
        <v>2679</v>
      </c>
      <c r="F80" s="28" t="n">
        <v>56206.39</v>
      </c>
      <c r="G80" s="19" t="n">
        <v>46256</v>
      </c>
      <c r="H80" s="21" t="str">
        <f aca="false">IFERROR(INDEX(Projects!$D$2:$D$500,MATCH(B80,Projects!$A$2:$A$500,0)),"")</f>
        <v>Harbourview Logistics</v>
      </c>
      <c r="I80" s="32" t="n">
        <f aca="false">IFERROR(INDEX(Clients!$G$2:$G$200,MATCH(INDEX(Projects!$C$2:$C$500,MATCH(B80,Projects!$A$2:$A$500,0)),Clients!$A$2:$A$200,0)),30)</f>
        <v>45</v>
      </c>
      <c r="J80" s="27" t="n">
        <f aca="false">D80+I80</f>
        <v>46254</v>
      </c>
      <c r="K80" s="12" t="str">
        <f aca="false">IF(ISNUMBER(G80),"Paid",IF(AsOfDate&gt;J80,"Overdue","Outstanding"))</f>
        <v>Paid</v>
      </c>
      <c r="L80" s="13" t="n">
        <f aca="false">IF(ISNUMBER(G80),G80-D80,AsOfDate-D80)</f>
        <v>47</v>
      </c>
      <c r="M80" s="13" t="n">
        <f aca="false">IF(K80="Overdue",AsOfDate-J80,0)</f>
        <v>0</v>
      </c>
      <c r="N80" s="12" t="str">
        <f aca="false">IF(K80="Paid","Paid",IF(M80=0,"Current",IF(M80&lt;=30,"1-30",IF(M80&lt;=60,"31-60","60+"))))</f>
        <v>Paid</v>
      </c>
    </row>
    <row r="81" customFormat="false" ht="15" hidden="false" customHeight="false" outlineLevel="0" collapsed="false">
      <c r="A81" s="18" t="s">
        <v>2685</v>
      </c>
      <c r="B81" s="18" t="s">
        <v>283</v>
      </c>
      <c r="C81" s="18"/>
      <c r="D81" s="19" t="n">
        <v>46209</v>
      </c>
      <c r="E81" s="18" t="s">
        <v>2679</v>
      </c>
      <c r="F81" s="28" t="n">
        <v>2248</v>
      </c>
      <c r="G81" s="19" t="n">
        <v>46245</v>
      </c>
      <c r="H81" s="21" t="str">
        <f aca="false">IFERROR(INDEX(Projects!$D$2:$D$500,MATCH(B81,Projects!$A$2:$A$500,0)),"")</f>
        <v>Granite Manufacturing</v>
      </c>
      <c r="I81" s="32" t="n">
        <f aca="false">IFERROR(INDEX(Clients!$G$2:$G$200,MATCH(INDEX(Projects!$C$2:$C$500,MATCH(B81,Projects!$A$2:$A$500,0)),Clients!$A$2:$A$200,0)),30)</f>
        <v>45</v>
      </c>
      <c r="J81" s="27" t="n">
        <f aca="false">D81+I81</f>
        <v>46254</v>
      </c>
      <c r="K81" s="12" t="str">
        <f aca="false">IF(ISNUMBER(G81),"Paid",IF(AsOfDate&gt;J81,"Overdue","Outstanding"))</f>
        <v>Paid</v>
      </c>
      <c r="L81" s="13" t="n">
        <f aca="false">IF(ISNUMBER(G81),G81-D81,AsOfDate-D81)</f>
        <v>36</v>
      </c>
      <c r="M81" s="13" t="n">
        <f aca="false">IF(K81="Overdue",AsOfDate-J81,0)</f>
        <v>0</v>
      </c>
      <c r="N81" s="12" t="str">
        <f aca="false">IF(K81="Paid","Paid",IF(M81=0,"Current",IF(M81&lt;=30,"1-30",IF(M81&lt;=60,"31-60","60+"))))</f>
        <v>Paid</v>
      </c>
    </row>
    <row r="82" customFormat="false" ht="15" hidden="false" customHeight="false" outlineLevel="0" collapsed="false">
      <c r="A82" s="18" t="s">
        <v>2686</v>
      </c>
      <c r="B82" s="18" t="s">
        <v>239</v>
      </c>
      <c r="C82" s="18" t="s">
        <v>2479</v>
      </c>
      <c r="D82" s="19" t="n">
        <v>46213</v>
      </c>
      <c r="E82" s="18" t="s">
        <v>2581</v>
      </c>
      <c r="F82" s="28" t="n">
        <v>194000</v>
      </c>
      <c r="G82" s="19"/>
      <c r="H82" s="21" t="str">
        <f aca="false">IFERROR(INDEX(Projects!$D$2:$D$500,MATCH(B82,Projects!$A$2:$A$500,0)),"")</f>
        <v>Pinecrest University</v>
      </c>
      <c r="I82" s="32" t="n">
        <f aca="false">IFERROR(INDEX(Clients!$G$2:$G$200,MATCH(INDEX(Projects!$C$2:$C$500,MATCH(B82,Projects!$A$2:$A$500,0)),Clients!$A$2:$A$200,0)),30)</f>
        <v>60</v>
      </c>
      <c r="J82" s="27" t="n">
        <f aca="false">D82+I82</f>
        <v>46273</v>
      </c>
      <c r="K82" s="12" t="str">
        <f aca="false">IF(ISNUMBER(G82),"Paid",IF(AsOfDate&gt;J82,"Overdue","Outstanding"))</f>
        <v>Overdue</v>
      </c>
      <c r="L82" s="13" t="n">
        <f aca="false">IF(ISNUMBER(G82),G82-D82,AsOfDate-D82)</f>
        <v>63</v>
      </c>
      <c r="M82" s="13" t="n">
        <f aca="false">IF(K82="Overdue",AsOfDate-J82,0)</f>
        <v>3</v>
      </c>
      <c r="N82" s="12" t="str">
        <f aca="false">IF(K82="Paid","Paid",IF(M82=0,"Current",IF(M82&lt;=30,"1-30",IF(M82&lt;=60,"31-60","60+"))))</f>
        <v>1-30</v>
      </c>
    </row>
    <row r="83" customFormat="false" ht="15" hidden="false" customHeight="false" outlineLevel="0" collapsed="false">
      <c r="A83" s="18" t="s">
        <v>2687</v>
      </c>
      <c r="B83" s="18" t="s">
        <v>253</v>
      </c>
      <c r="C83" s="18" t="s">
        <v>2495</v>
      </c>
      <c r="D83" s="19" t="n">
        <v>46216</v>
      </c>
      <c r="E83" s="18" t="s">
        <v>2674</v>
      </c>
      <c r="F83" s="28" t="n">
        <v>220500</v>
      </c>
      <c r="G83" s="19"/>
      <c r="H83" s="21" t="str">
        <f aca="false">IFERROR(INDEX(Projects!$D$2:$D$500,MATCH(B83,Projects!$A$2:$A$500,0)),"")</f>
        <v>Bluewater Municipal Services</v>
      </c>
      <c r="I83" s="32" t="n">
        <f aca="false">IFERROR(INDEX(Clients!$G$2:$G$200,MATCH(INDEX(Projects!$C$2:$C$500,MATCH(B83,Projects!$A$2:$A$500,0)),Clients!$A$2:$A$200,0)),30)</f>
        <v>60</v>
      </c>
      <c r="J83" s="27" t="n">
        <f aca="false">D83+I83</f>
        <v>46276</v>
      </c>
      <c r="K83" s="12" t="str">
        <f aca="false">IF(ISNUMBER(G83),"Paid",IF(AsOfDate&gt;J83,"Overdue","Outstanding"))</f>
        <v>Outstanding</v>
      </c>
      <c r="L83" s="13" t="n">
        <f aca="false">IF(ISNUMBER(G83),G83-D83,AsOfDate-D83)</f>
        <v>60</v>
      </c>
      <c r="M83" s="13" t="n">
        <f aca="false">IF(K83="Overdue",AsOfDate-J83,0)</f>
        <v>0</v>
      </c>
      <c r="N83" s="12" t="str">
        <f aca="false">IF(K83="Paid","Paid",IF(M83=0,"Current",IF(M83&lt;=30,"1-30",IF(M83&lt;=60,"31-60","60+"))))</f>
        <v>Current</v>
      </c>
    </row>
    <row r="84" customFormat="false" ht="15" hidden="false" customHeight="false" outlineLevel="0" collapsed="false">
      <c r="A84" s="18" t="s">
        <v>2688</v>
      </c>
      <c r="B84" s="18" t="s">
        <v>197</v>
      </c>
      <c r="C84" s="18" t="s">
        <v>2447</v>
      </c>
      <c r="D84" s="19" t="n">
        <v>46223</v>
      </c>
      <c r="E84" s="18" t="s">
        <v>2593</v>
      </c>
      <c r="F84" s="28" t="n">
        <v>330000</v>
      </c>
      <c r="G84" s="19" t="n">
        <v>46275</v>
      </c>
      <c r="H84" s="21" t="str">
        <f aca="false">IFERROR(INDEX(Projects!$D$2:$D$500,MATCH(B84,Projects!$A$2:$A$500,0)),"")</f>
        <v>Northgate Health Network</v>
      </c>
      <c r="I84" s="32" t="n">
        <f aca="false">IFERROR(INDEX(Clients!$G$2:$G$200,MATCH(INDEX(Projects!$C$2:$C$500,MATCH(B84,Projects!$A$2:$A$500,0)),Clients!$A$2:$A$200,0)),30)</f>
        <v>45</v>
      </c>
      <c r="J84" s="27" t="n">
        <f aca="false">D84+I84</f>
        <v>46268</v>
      </c>
      <c r="K84" s="12" t="str">
        <f aca="false">IF(ISNUMBER(G84),"Paid",IF(AsOfDate&gt;J84,"Overdue","Outstanding"))</f>
        <v>Paid</v>
      </c>
      <c r="L84" s="13" t="n">
        <f aca="false">IF(ISNUMBER(G84),G84-D84,AsOfDate-D84)</f>
        <v>52</v>
      </c>
      <c r="M84" s="13" t="n">
        <f aca="false">IF(K84="Overdue",AsOfDate-J84,0)</f>
        <v>0</v>
      </c>
      <c r="N84" s="12" t="str">
        <f aca="false">IF(K84="Paid","Paid",IF(M84=0,"Current",IF(M84&lt;=30,"1-30",IF(M84&lt;=60,"31-60","60+"))))</f>
        <v>Paid</v>
      </c>
    </row>
    <row r="85" customFormat="false" ht="15" hidden="false" customHeight="false" outlineLevel="0" collapsed="false">
      <c r="A85" s="18" t="s">
        <v>2689</v>
      </c>
      <c r="B85" s="18" t="s">
        <v>270</v>
      </c>
      <c r="C85" s="18" t="s">
        <v>2519</v>
      </c>
      <c r="D85" s="19" t="n">
        <v>46223</v>
      </c>
      <c r="E85" s="18" t="s">
        <v>2581</v>
      </c>
      <c r="F85" s="28" t="n">
        <v>263000</v>
      </c>
      <c r="G85" s="19" t="n">
        <v>46248</v>
      </c>
      <c r="H85" s="21" t="str">
        <f aca="false">IFERROR(INDEX(Projects!$D$2:$D$500,MATCH(B85,Projects!$A$2:$A$500,0)),"")</f>
        <v>Crestline Insurance</v>
      </c>
      <c r="I85" s="32" t="n">
        <f aca="false">IFERROR(INDEX(Clients!$G$2:$G$200,MATCH(INDEX(Projects!$C$2:$C$500,MATCH(B85,Projects!$A$2:$A$500,0)),Clients!$A$2:$A$200,0)),30)</f>
        <v>30</v>
      </c>
      <c r="J85" s="27" t="n">
        <f aca="false">D85+I85</f>
        <v>46253</v>
      </c>
      <c r="K85" s="12" t="str">
        <f aca="false">IF(ISNUMBER(G85),"Paid",IF(AsOfDate&gt;J85,"Overdue","Outstanding"))</f>
        <v>Paid</v>
      </c>
      <c r="L85" s="13" t="n">
        <f aca="false">IF(ISNUMBER(G85),G85-D85,AsOfDate-D85)</f>
        <v>25</v>
      </c>
      <c r="M85" s="13" t="n">
        <f aca="false">IF(K85="Overdue",AsOfDate-J85,0)</f>
        <v>0</v>
      </c>
      <c r="N85" s="12" t="str">
        <f aca="false">IF(K85="Paid","Paid",IF(M85=0,"Current",IF(M85&lt;=30,"1-30",IF(M85&lt;=60,"31-60","60+"))))</f>
        <v>Paid</v>
      </c>
    </row>
    <row r="86" customFormat="false" ht="15" hidden="false" customHeight="false" outlineLevel="0" collapsed="false">
      <c r="A86" s="18" t="s">
        <v>2690</v>
      </c>
      <c r="B86" s="18" t="s">
        <v>261</v>
      </c>
      <c r="C86" s="18" t="s">
        <v>2504</v>
      </c>
      <c r="D86" s="19" t="n">
        <v>46230</v>
      </c>
      <c r="E86" s="18" t="s">
        <v>2581</v>
      </c>
      <c r="F86" s="28" t="n">
        <v>102000</v>
      </c>
      <c r="G86" s="19" t="n">
        <v>46268</v>
      </c>
      <c r="H86" s="21" t="str">
        <f aca="false">IFERROR(INDEX(Projects!$D$2:$D$500,MATCH(B86,Projects!$A$2:$A$500,0)),"")</f>
        <v>Lakeshore Energy</v>
      </c>
      <c r="I86" s="32" t="n">
        <f aca="false">IFERROR(INDEX(Clients!$G$2:$G$200,MATCH(INDEX(Projects!$C$2:$C$500,MATCH(B86,Projects!$A$2:$A$500,0)),Clients!$A$2:$A$200,0)),30)</f>
        <v>30</v>
      </c>
      <c r="J86" s="27" t="n">
        <f aca="false">D86+I86</f>
        <v>46260</v>
      </c>
      <c r="K86" s="12" t="str">
        <f aca="false">IF(ISNUMBER(G86),"Paid",IF(AsOfDate&gt;J86,"Overdue","Outstanding"))</f>
        <v>Paid</v>
      </c>
      <c r="L86" s="13" t="n">
        <f aca="false">IF(ISNUMBER(G86),G86-D86,AsOfDate-D86)</f>
        <v>38</v>
      </c>
      <c r="M86" s="13" t="n">
        <f aca="false">IF(K86="Overdue",AsOfDate-J86,0)</f>
        <v>0</v>
      </c>
      <c r="N86" s="12" t="str">
        <f aca="false">IF(K86="Paid","Paid",IF(M86=0,"Current",IF(M86&lt;=30,"1-30",IF(M86&lt;=60,"31-60","60+"))))</f>
        <v>Paid</v>
      </c>
    </row>
    <row r="87" customFormat="false" ht="15" hidden="false" customHeight="false" outlineLevel="0" collapsed="false">
      <c r="A87" s="18" t="s">
        <v>2691</v>
      </c>
      <c r="B87" s="18" t="s">
        <v>215</v>
      </c>
      <c r="C87" s="18"/>
      <c r="D87" s="19" t="n">
        <v>46239</v>
      </c>
      <c r="E87" s="18" t="s">
        <v>2692</v>
      </c>
      <c r="F87" s="28" t="n">
        <v>96409.09</v>
      </c>
      <c r="G87" s="19"/>
      <c r="H87" s="21" t="str">
        <f aca="false">IFERROR(INDEX(Projects!$D$2:$D$500,MATCH(B87,Projects!$A$2:$A$500,0)),"")</f>
        <v>Maple Ridge Financial</v>
      </c>
      <c r="I87" s="32" t="n">
        <f aca="false">IFERROR(INDEX(Clients!$G$2:$G$200,MATCH(INDEX(Projects!$C$2:$C$500,MATCH(B87,Projects!$A$2:$A$500,0)),Clients!$A$2:$A$200,0)),30)</f>
        <v>30</v>
      </c>
      <c r="J87" s="27" t="n">
        <f aca="false">D87+I87</f>
        <v>46269</v>
      </c>
      <c r="K87" s="12" t="str">
        <f aca="false">IF(ISNUMBER(G87),"Paid",IF(AsOfDate&gt;J87,"Overdue","Outstanding"))</f>
        <v>Overdue</v>
      </c>
      <c r="L87" s="13" t="n">
        <f aca="false">IF(ISNUMBER(G87),G87-D87,AsOfDate-D87)</f>
        <v>37</v>
      </c>
      <c r="M87" s="13" t="n">
        <f aca="false">IF(K87="Overdue",AsOfDate-J87,0)</f>
        <v>7</v>
      </c>
      <c r="N87" s="12" t="str">
        <f aca="false">IF(K87="Paid","Paid",IF(M87=0,"Current",IF(M87&lt;=30,"1-30",IF(M87&lt;=60,"31-60","60+"))))</f>
        <v>1-30</v>
      </c>
    </row>
    <row r="88" customFormat="false" ht="15" hidden="false" customHeight="false" outlineLevel="0" collapsed="false">
      <c r="A88" s="18" t="s">
        <v>2693</v>
      </c>
      <c r="B88" s="18" t="s">
        <v>244</v>
      </c>
      <c r="C88" s="18"/>
      <c r="D88" s="19" t="n">
        <v>46239</v>
      </c>
      <c r="E88" s="18" t="s">
        <v>2692</v>
      </c>
      <c r="F88" s="28" t="n">
        <v>85330.33</v>
      </c>
      <c r="G88" s="19" t="n">
        <v>46275</v>
      </c>
      <c r="H88" s="21" t="str">
        <f aca="false">IFERROR(INDEX(Projects!$D$2:$D$500,MATCH(B88,Projects!$A$2:$A$500,0)),"")</f>
        <v>Summit Telecom</v>
      </c>
      <c r="I88" s="32" t="n">
        <f aca="false">IFERROR(INDEX(Clients!$G$2:$G$200,MATCH(INDEX(Projects!$C$2:$C$500,MATCH(B88,Projects!$A$2:$A$500,0)),Clients!$A$2:$A$200,0)),30)</f>
        <v>45</v>
      </c>
      <c r="J88" s="27" t="n">
        <f aca="false">D88+I88</f>
        <v>46284</v>
      </c>
      <c r="K88" s="12" t="str">
        <f aca="false">IF(ISNUMBER(G88),"Paid",IF(AsOfDate&gt;J88,"Overdue","Outstanding"))</f>
        <v>Paid</v>
      </c>
      <c r="L88" s="13" t="n">
        <f aca="false">IF(ISNUMBER(G88),G88-D88,AsOfDate-D88)</f>
        <v>36</v>
      </c>
      <c r="M88" s="13" t="n">
        <f aca="false">IF(K88="Overdue",AsOfDate-J88,0)</f>
        <v>0</v>
      </c>
      <c r="N88" s="12" t="str">
        <f aca="false">IF(K88="Paid","Paid",IF(M88=0,"Current",IF(M88&lt;=30,"1-30",IF(M88&lt;=60,"31-60","60+"))))</f>
        <v>Paid</v>
      </c>
    </row>
    <row r="89" customFormat="false" ht="15" hidden="false" customHeight="false" outlineLevel="0" collapsed="false">
      <c r="A89" s="18" t="s">
        <v>2694</v>
      </c>
      <c r="B89" s="18" t="s">
        <v>257</v>
      </c>
      <c r="C89" s="18"/>
      <c r="D89" s="19" t="n">
        <v>46239</v>
      </c>
      <c r="E89" s="18" t="s">
        <v>2692</v>
      </c>
      <c r="F89" s="28" t="n">
        <v>79969.15</v>
      </c>
      <c r="G89" s="19"/>
      <c r="H89" s="21" t="str">
        <f aca="false">IFERROR(INDEX(Projects!$D$2:$D$500,MATCH(B89,Projects!$A$2:$A$500,0)),"")</f>
        <v>Evergreen Pharma</v>
      </c>
      <c r="I89" s="32" t="n">
        <f aca="false">IFERROR(INDEX(Clients!$G$2:$G$200,MATCH(INDEX(Projects!$C$2:$C$500,MATCH(B89,Projects!$A$2:$A$500,0)),Clients!$A$2:$A$200,0)),30)</f>
        <v>45</v>
      </c>
      <c r="J89" s="27" t="n">
        <f aca="false">D89+I89</f>
        <v>46284</v>
      </c>
      <c r="K89" s="12" t="str">
        <f aca="false">IF(ISNUMBER(G89),"Paid",IF(AsOfDate&gt;J89,"Overdue","Outstanding"))</f>
        <v>Outstanding</v>
      </c>
      <c r="L89" s="13" t="n">
        <f aca="false">IF(ISNUMBER(G89),G89-D89,AsOfDate-D89)</f>
        <v>37</v>
      </c>
      <c r="M89" s="13" t="n">
        <f aca="false">IF(K89="Overdue",AsOfDate-J89,0)</f>
        <v>0</v>
      </c>
      <c r="N89" s="12" t="str">
        <f aca="false">IF(K89="Paid","Paid",IF(M89=0,"Current",IF(M89&lt;=30,"1-30",IF(M89&lt;=60,"31-60","60+"))))</f>
        <v>Current</v>
      </c>
    </row>
    <row r="90" customFormat="false" ht="15" hidden="false" customHeight="false" outlineLevel="0" collapsed="false">
      <c r="A90" s="18" t="s">
        <v>2695</v>
      </c>
      <c r="B90" s="18" t="s">
        <v>267</v>
      </c>
      <c r="C90" s="18"/>
      <c r="D90" s="19" t="n">
        <v>46239</v>
      </c>
      <c r="E90" s="18" t="s">
        <v>2696</v>
      </c>
      <c r="F90" s="28" t="n">
        <v>80555.56</v>
      </c>
      <c r="G90" s="19"/>
      <c r="H90" s="21" t="str">
        <f aca="false">IFERROR(INDEX(Projects!$D$2:$D$500,MATCH(B90,Projects!$A$2:$A$500,0)),"")</f>
        <v>Harbourview Logistics</v>
      </c>
      <c r="I90" s="32" t="n">
        <f aca="false">IFERROR(INDEX(Clients!$G$2:$G$200,MATCH(INDEX(Projects!$C$2:$C$500,MATCH(B90,Projects!$A$2:$A$500,0)),Clients!$A$2:$A$200,0)),30)</f>
        <v>45</v>
      </c>
      <c r="J90" s="27" t="n">
        <f aca="false">D90+I90</f>
        <v>46284</v>
      </c>
      <c r="K90" s="12" t="str">
        <f aca="false">IF(ISNUMBER(G90),"Paid",IF(AsOfDate&gt;J90,"Overdue","Outstanding"))</f>
        <v>Outstanding</v>
      </c>
      <c r="L90" s="13" t="n">
        <f aca="false">IF(ISNUMBER(G90),G90-D90,AsOfDate-D90)</f>
        <v>37</v>
      </c>
      <c r="M90" s="13" t="n">
        <f aca="false">IF(K90="Overdue",AsOfDate-J90,0)</f>
        <v>0</v>
      </c>
      <c r="N90" s="12" t="str">
        <f aca="false">IF(K90="Paid","Paid",IF(M90=0,"Current",IF(M90&lt;=30,"1-30",IF(M90&lt;=60,"31-60","60+"))))</f>
        <v>Current</v>
      </c>
    </row>
    <row r="91" customFormat="false" ht="15" hidden="false" customHeight="false" outlineLevel="0" collapsed="false">
      <c r="A91" s="18" t="s">
        <v>2697</v>
      </c>
      <c r="B91" s="18" t="s">
        <v>272</v>
      </c>
      <c r="C91" s="18"/>
      <c r="D91" s="19" t="n">
        <v>46239</v>
      </c>
      <c r="E91" s="18" t="s">
        <v>2692</v>
      </c>
      <c r="F91" s="28" t="n">
        <v>52100.79</v>
      </c>
      <c r="G91" s="19"/>
      <c r="H91" s="21" t="str">
        <f aca="false">IFERROR(INDEX(Projects!$D$2:$D$500,MATCH(B91,Projects!$A$2:$A$500,0)),"")</f>
        <v>Harbourview Logistics</v>
      </c>
      <c r="I91" s="32" t="n">
        <f aca="false">IFERROR(INDEX(Clients!$G$2:$G$200,MATCH(INDEX(Projects!$C$2:$C$500,MATCH(B91,Projects!$A$2:$A$500,0)),Clients!$A$2:$A$200,0)),30)</f>
        <v>45</v>
      </c>
      <c r="J91" s="27" t="n">
        <f aca="false">D91+I91</f>
        <v>46284</v>
      </c>
      <c r="K91" s="12" t="str">
        <f aca="false">IF(ISNUMBER(G91),"Paid",IF(AsOfDate&gt;J91,"Overdue","Outstanding"))</f>
        <v>Outstanding</v>
      </c>
      <c r="L91" s="13" t="n">
        <f aca="false">IF(ISNUMBER(G91),G91-D91,AsOfDate-D91)</f>
        <v>37</v>
      </c>
      <c r="M91" s="13" t="n">
        <f aca="false">IF(K91="Overdue",AsOfDate-J91,0)</f>
        <v>0</v>
      </c>
      <c r="N91" s="12" t="str">
        <f aca="false">IF(K91="Paid","Paid",IF(M91=0,"Current",IF(M91&lt;=30,"1-30",IF(M91&lt;=60,"31-60","60+"))))</f>
        <v>Current</v>
      </c>
    </row>
    <row r="92" customFormat="false" ht="15" hidden="false" customHeight="false" outlineLevel="0" collapsed="false">
      <c r="A92" s="18" t="s">
        <v>2698</v>
      </c>
      <c r="B92" s="18" t="s">
        <v>275</v>
      </c>
      <c r="C92" s="18" t="s">
        <v>2530</v>
      </c>
      <c r="D92" s="19" t="n">
        <v>46255</v>
      </c>
      <c r="E92" s="18" t="s">
        <v>2593</v>
      </c>
      <c r="F92" s="28" t="n">
        <v>139500</v>
      </c>
      <c r="G92" s="19"/>
      <c r="H92" s="21" t="str">
        <f aca="false">IFERROR(INDEX(Projects!$D$2:$D$500,MATCH(B92,Projects!$A$2:$A$500,0)),"")</f>
        <v>Aurora Retail Group</v>
      </c>
      <c r="I92" s="32" t="n">
        <f aca="false">IFERROR(INDEX(Clients!$G$2:$G$200,MATCH(INDEX(Projects!$C$2:$C$500,MATCH(B92,Projects!$A$2:$A$500,0)),Clients!$A$2:$A$200,0)),30)</f>
        <v>60</v>
      </c>
      <c r="J92" s="27" t="n">
        <f aca="false">D92+I92</f>
        <v>46315</v>
      </c>
      <c r="K92" s="12" t="str">
        <f aca="false">IF(ISNUMBER(G92),"Paid",IF(AsOfDate&gt;J92,"Overdue","Outstanding"))</f>
        <v>Outstanding</v>
      </c>
      <c r="L92" s="13" t="n">
        <f aca="false">IF(ISNUMBER(G92),G92-D92,AsOfDate-D92)</f>
        <v>21</v>
      </c>
      <c r="M92" s="13" t="n">
        <f aca="false">IF(K92="Overdue",AsOfDate-J92,0)</f>
        <v>0</v>
      </c>
      <c r="N92" s="12" t="str">
        <f aca="false">IF(K92="Paid","Paid",IF(M92=0,"Current",IF(M92&lt;=30,"1-30",IF(M92&lt;=60,"31-60","60+"))))</f>
        <v>Current</v>
      </c>
    </row>
    <row r="93" customFormat="false" ht="15" hidden="false" customHeight="false" outlineLevel="0" collapsed="false">
      <c r="A93" s="18" t="s">
        <v>2699</v>
      </c>
      <c r="B93" s="18" t="s">
        <v>233</v>
      </c>
      <c r="C93" s="18" t="s">
        <v>2476</v>
      </c>
      <c r="D93" s="19" t="n">
        <v>46265</v>
      </c>
      <c r="E93" s="18" t="s">
        <v>2601</v>
      </c>
      <c r="F93" s="28" t="n">
        <v>188000</v>
      </c>
      <c r="G93" s="19"/>
      <c r="H93" s="21" t="str">
        <f aca="false">IFERROR(INDEX(Projects!$D$2:$D$500,MATCH(B93,Projects!$A$2:$A$500,0)),"")</f>
        <v>Aurora Retail Group</v>
      </c>
      <c r="I93" s="32" t="n">
        <f aca="false">IFERROR(INDEX(Clients!$G$2:$G$200,MATCH(INDEX(Projects!$C$2:$C$500,MATCH(B93,Projects!$A$2:$A$500,0)),Clients!$A$2:$A$200,0)),30)</f>
        <v>60</v>
      </c>
      <c r="J93" s="27" t="n">
        <f aca="false">D93+I93</f>
        <v>46325</v>
      </c>
      <c r="K93" s="12" t="str">
        <f aca="false">IF(ISNUMBER(G93),"Paid",IF(AsOfDate&gt;J93,"Overdue","Outstanding"))</f>
        <v>Outstanding</v>
      </c>
      <c r="L93" s="13" t="n">
        <f aca="false">IF(ISNUMBER(G93),G93-D93,AsOfDate-D93)</f>
        <v>11</v>
      </c>
      <c r="M93" s="13" t="n">
        <f aca="false">IF(K93="Overdue",AsOfDate-J93,0)</f>
        <v>0</v>
      </c>
      <c r="N93" s="12" t="str">
        <f aca="false">IF(K93="Paid","Paid",IF(M93=0,"Current",IF(M93&lt;=30,"1-30",IF(M93&lt;=60,"31-60","60+"))))</f>
        <v>Current</v>
      </c>
    </row>
    <row r="94" customFormat="false" ht="15" hidden="false" customHeight="false" outlineLevel="0" collapsed="false">
      <c r="A94" s="18" t="s">
        <v>2700</v>
      </c>
      <c r="B94" s="18" t="s">
        <v>215</v>
      </c>
      <c r="C94" s="18"/>
      <c r="D94" s="19" t="n">
        <v>46272</v>
      </c>
      <c r="E94" s="18" t="s">
        <v>2701</v>
      </c>
      <c r="F94" s="28" t="n">
        <v>89764.58</v>
      </c>
      <c r="G94" s="19"/>
      <c r="H94" s="21" t="str">
        <f aca="false">IFERROR(INDEX(Projects!$D$2:$D$500,MATCH(B94,Projects!$A$2:$A$500,0)),"")</f>
        <v>Maple Ridge Financial</v>
      </c>
      <c r="I94" s="32" t="n">
        <f aca="false">IFERROR(INDEX(Clients!$G$2:$G$200,MATCH(INDEX(Projects!$C$2:$C$500,MATCH(B94,Projects!$A$2:$A$500,0)),Clients!$A$2:$A$200,0)),30)</f>
        <v>30</v>
      </c>
      <c r="J94" s="27" t="n">
        <f aca="false">D94+I94</f>
        <v>46302</v>
      </c>
      <c r="K94" s="12" t="str">
        <f aca="false">IF(ISNUMBER(G94),"Paid",IF(AsOfDate&gt;J94,"Overdue","Outstanding"))</f>
        <v>Outstanding</v>
      </c>
      <c r="L94" s="13" t="n">
        <f aca="false">IF(ISNUMBER(G94),G94-D94,AsOfDate-D94)</f>
        <v>4</v>
      </c>
      <c r="M94" s="13" t="n">
        <f aca="false">IF(K94="Overdue",AsOfDate-J94,0)</f>
        <v>0</v>
      </c>
      <c r="N94" s="12" t="str">
        <f aca="false">IF(K94="Paid","Paid",IF(M94=0,"Current",IF(M94&lt;=30,"1-30",IF(M94&lt;=60,"31-60","60+"))))</f>
        <v>Current</v>
      </c>
    </row>
    <row r="95" customFormat="false" ht="15" hidden="false" customHeight="false" outlineLevel="0" collapsed="false">
      <c r="A95" s="18" t="s">
        <v>2702</v>
      </c>
      <c r="B95" s="18" t="s">
        <v>244</v>
      </c>
      <c r="C95" s="18"/>
      <c r="D95" s="19" t="n">
        <v>46272</v>
      </c>
      <c r="E95" s="18" t="s">
        <v>2701</v>
      </c>
      <c r="F95" s="28" t="n">
        <v>76883.12</v>
      </c>
      <c r="G95" s="19"/>
      <c r="H95" s="21" t="str">
        <f aca="false">IFERROR(INDEX(Projects!$D$2:$D$500,MATCH(B95,Projects!$A$2:$A$500,0)),"")</f>
        <v>Summit Telecom</v>
      </c>
      <c r="I95" s="32" t="n">
        <f aca="false">IFERROR(INDEX(Clients!$G$2:$G$200,MATCH(INDEX(Projects!$C$2:$C$500,MATCH(B95,Projects!$A$2:$A$500,0)),Clients!$A$2:$A$200,0)),30)</f>
        <v>45</v>
      </c>
      <c r="J95" s="27" t="n">
        <f aca="false">D95+I95</f>
        <v>46317</v>
      </c>
      <c r="K95" s="12" t="str">
        <f aca="false">IF(ISNUMBER(G95),"Paid",IF(AsOfDate&gt;J95,"Overdue","Outstanding"))</f>
        <v>Outstanding</v>
      </c>
      <c r="L95" s="13" t="n">
        <f aca="false">IF(ISNUMBER(G95),G95-D95,AsOfDate-D95)</f>
        <v>4</v>
      </c>
      <c r="M95" s="13" t="n">
        <f aca="false">IF(K95="Overdue",AsOfDate-J95,0)</f>
        <v>0</v>
      </c>
      <c r="N95" s="12" t="str">
        <f aca="false">IF(K95="Paid","Paid",IF(M95=0,"Current",IF(M95&lt;=30,"1-30",IF(M95&lt;=60,"31-60","60+"))))</f>
        <v>Current</v>
      </c>
    </row>
    <row r="96" customFormat="false" ht="15" hidden="false" customHeight="false" outlineLevel="0" collapsed="false">
      <c r="A96" s="18" t="s">
        <v>2703</v>
      </c>
      <c r="B96" s="18" t="s">
        <v>257</v>
      </c>
      <c r="C96" s="18"/>
      <c r="D96" s="19" t="n">
        <v>46272</v>
      </c>
      <c r="E96" s="18" t="s">
        <v>2701</v>
      </c>
      <c r="F96" s="28" t="n">
        <v>72403.18</v>
      </c>
      <c r="G96" s="19"/>
      <c r="H96" s="21" t="str">
        <f aca="false">IFERROR(INDEX(Projects!$D$2:$D$500,MATCH(B96,Projects!$A$2:$A$500,0)),"")</f>
        <v>Evergreen Pharma</v>
      </c>
      <c r="I96" s="32" t="n">
        <f aca="false">IFERROR(INDEX(Clients!$G$2:$G$200,MATCH(INDEX(Projects!$C$2:$C$500,MATCH(B96,Projects!$A$2:$A$500,0)),Clients!$A$2:$A$200,0)),30)</f>
        <v>45</v>
      </c>
      <c r="J96" s="27" t="n">
        <f aca="false">D96+I96</f>
        <v>46317</v>
      </c>
      <c r="K96" s="12" t="str">
        <f aca="false">IF(ISNUMBER(G96),"Paid",IF(AsOfDate&gt;J96,"Overdue","Outstanding"))</f>
        <v>Outstanding</v>
      </c>
      <c r="L96" s="13" t="n">
        <f aca="false">IF(ISNUMBER(G96),G96-D96,AsOfDate-D96)</f>
        <v>4</v>
      </c>
      <c r="M96" s="13" t="n">
        <f aca="false">IF(K96="Overdue",AsOfDate-J96,0)</f>
        <v>0</v>
      </c>
      <c r="N96" s="12" t="str">
        <f aca="false">IF(K96="Paid","Paid",IF(M96=0,"Current",IF(M96&lt;=30,"1-30",IF(M96&lt;=60,"31-60","60+"))))</f>
        <v>Current</v>
      </c>
    </row>
    <row r="97" customFormat="false" ht="15" hidden="false" customHeight="false" outlineLevel="0" collapsed="false">
      <c r="A97" s="18" t="s">
        <v>2704</v>
      </c>
      <c r="B97" s="18" t="s">
        <v>267</v>
      </c>
      <c r="C97" s="18"/>
      <c r="D97" s="19" t="n">
        <v>46272</v>
      </c>
      <c r="E97" s="18" t="s">
        <v>2705</v>
      </c>
      <c r="F97" s="28" t="n">
        <v>80555.56</v>
      </c>
      <c r="G97" s="19"/>
      <c r="H97" s="21" t="str">
        <f aca="false">IFERROR(INDEX(Projects!$D$2:$D$500,MATCH(B97,Projects!$A$2:$A$500,0)),"")</f>
        <v>Harbourview Logistics</v>
      </c>
      <c r="I97" s="32" t="n">
        <f aca="false">IFERROR(INDEX(Clients!$G$2:$G$200,MATCH(INDEX(Projects!$C$2:$C$500,MATCH(B97,Projects!$A$2:$A$500,0)),Clients!$A$2:$A$200,0)),30)</f>
        <v>45</v>
      </c>
      <c r="J97" s="27" t="n">
        <f aca="false">D97+I97</f>
        <v>46317</v>
      </c>
      <c r="K97" s="12" t="str">
        <f aca="false">IF(ISNUMBER(G97),"Paid",IF(AsOfDate&gt;J97,"Overdue","Outstanding"))</f>
        <v>Outstanding</v>
      </c>
      <c r="L97" s="13" t="n">
        <f aca="false">IF(ISNUMBER(G97),G97-D97,AsOfDate-D97)</f>
        <v>4</v>
      </c>
      <c r="M97" s="13" t="n">
        <f aca="false">IF(K97="Overdue",AsOfDate-J97,0)</f>
        <v>0</v>
      </c>
      <c r="N97" s="12" t="str">
        <f aca="false">IF(K97="Paid","Paid",IF(M97=0,"Current",IF(M97&lt;=30,"1-30",IF(M97&lt;=60,"31-60","60+"))))</f>
        <v>Current</v>
      </c>
    </row>
    <row r="98" customFormat="false" ht="15" hidden="false" customHeight="false" outlineLevel="0" collapsed="false">
      <c r="A98" s="18" t="s">
        <v>2706</v>
      </c>
      <c r="B98" s="18" t="s">
        <v>272</v>
      </c>
      <c r="C98" s="18"/>
      <c r="D98" s="19" t="n">
        <v>46272</v>
      </c>
      <c r="E98" s="18" t="s">
        <v>2701</v>
      </c>
      <c r="F98" s="28" t="n">
        <v>67572.99</v>
      </c>
      <c r="G98" s="19"/>
      <c r="H98" s="21" t="str">
        <f aca="false">IFERROR(INDEX(Projects!$D$2:$D$500,MATCH(B98,Projects!$A$2:$A$500,0)),"")</f>
        <v>Harbourview Logistics</v>
      </c>
      <c r="I98" s="32" t="n">
        <f aca="false">IFERROR(INDEX(Clients!$G$2:$G$200,MATCH(INDEX(Projects!$C$2:$C$500,MATCH(B98,Projects!$A$2:$A$500,0)),Clients!$A$2:$A$200,0)),30)</f>
        <v>45</v>
      </c>
      <c r="J98" s="27" t="n">
        <f aca="false">D98+I98</f>
        <v>46317</v>
      </c>
      <c r="K98" s="12" t="str">
        <f aca="false">IF(ISNUMBER(G98),"Paid",IF(AsOfDate&gt;J98,"Overdue","Outstanding"))</f>
        <v>Outstanding</v>
      </c>
      <c r="L98" s="13" t="n">
        <f aca="false">IF(ISNUMBER(G98),G98-D98,AsOfDate-D98)</f>
        <v>4</v>
      </c>
      <c r="M98" s="13" t="n">
        <f aca="false">IF(K98="Overdue",AsOfDate-J98,0)</f>
        <v>0</v>
      </c>
      <c r="N98" s="12" t="str">
        <f aca="false">IF(K98="Paid","Paid",IF(M98=0,"Current",IF(M98&lt;=30,"1-30",IF(M98&lt;=60,"31-60","60+"))))</f>
        <v>Current</v>
      </c>
    </row>
  </sheetData>
  <conditionalFormatting sqref="K2:K98">
    <cfRule type="cellIs" priority="2" operator="equal" aboveAverage="0" equalAverage="0" bottom="0" percent="0" rank="0" text="" dxfId="12">
      <formula>"Overdue"</formula>
    </cfRule>
    <cfRule type="cellIs" priority="3" operator="equal" aboveAverage="0" equalAverage="0" bottom="0" percent="0" rank="0" text="" dxfId="13">
      <formula>"Outstanding"</formula>
    </cfRule>
    <cfRule type="cellIs" priority="4" operator="equal" aboveAverage="0" equalAverage="0" bottom="0" percent="0" rank="0" text="" dxfId="14">
      <formula>"Paid"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3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38"/>
    <col collapsed="false" customWidth="true" hidden="false" outlineLevel="0" max="14" min="14" style="0" width="18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9" min="18" style="0" width="8"/>
  </cols>
  <sheetData>
    <row r="1" customFormat="false" ht="30" hidden="false" customHeight="true" outlineLevel="0" collapsed="false">
      <c r="A1" s="20" t="s">
        <v>2707</v>
      </c>
      <c r="B1" s="20" t="s">
        <v>41</v>
      </c>
      <c r="C1" s="20" t="s">
        <v>2708</v>
      </c>
      <c r="D1" s="20" t="s">
        <v>2709</v>
      </c>
      <c r="E1" s="20" t="s">
        <v>2710</v>
      </c>
      <c r="F1" s="20" t="s">
        <v>2711</v>
      </c>
      <c r="G1" s="20" t="s">
        <v>2712</v>
      </c>
      <c r="H1" s="20" t="s">
        <v>2713</v>
      </c>
      <c r="I1" s="20" t="s">
        <v>2714</v>
      </c>
      <c r="J1" s="20" t="s">
        <v>153</v>
      </c>
      <c r="K1" s="20" t="s">
        <v>2715</v>
      </c>
      <c r="L1" s="20" t="s">
        <v>2716</v>
      </c>
      <c r="M1" s="20" t="s">
        <v>2717</v>
      </c>
      <c r="N1" s="20" t="s">
        <v>2718</v>
      </c>
      <c r="O1" s="20" t="s">
        <v>2719</v>
      </c>
      <c r="P1" s="20" t="s">
        <v>2720</v>
      </c>
      <c r="Q1" s="20" t="s">
        <v>2721</v>
      </c>
      <c r="R1" s="20" t="s">
        <v>2722</v>
      </c>
      <c r="S1" s="20" t="s">
        <v>2723</v>
      </c>
    </row>
    <row r="2" customFormat="false" ht="15" hidden="false" customHeight="false" outlineLevel="0" collapsed="false">
      <c r="A2" s="18" t="s">
        <v>2724</v>
      </c>
      <c r="B2" s="18" t="s">
        <v>267</v>
      </c>
      <c r="C2" s="18" t="s">
        <v>2725</v>
      </c>
      <c r="D2" s="18" t="s">
        <v>2726</v>
      </c>
      <c r="E2" s="18" t="s">
        <v>2727</v>
      </c>
      <c r="F2" s="22" t="n">
        <v>5</v>
      </c>
      <c r="G2" s="22" t="n">
        <v>2</v>
      </c>
      <c r="H2" s="23" t="n">
        <v>15000</v>
      </c>
      <c r="I2" s="18" t="s">
        <v>348</v>
      </c>
      <c r="J2" s="18" t="s">
        <v>2728</v>
      </c>
      <c r="K2" s="19" t="n">
        <v>45898</v>
      </c>
      <c r="L2" s="19" t="n">
        <v>45968</v>
      </c>
      <c r="M2" s="18" t="s">
        <v>2729</v>
      </c>
      <c r="N2" s="21" t="str">
        <f aca="false">IFERROR(INDEX(Resources!$B$2:$B$500,MATCH(I2,Resources!$A$2:$A$500,0)),"")</f>
        <v>Chloe Reyes</v>
      </c>
      <c r="O2" s="13" t="n">
        <f aca="false">F2*G2</f>
        <v>10</v>
      </c>
      <c r="P2" s="12" t="str">
        <f aca="false">IF(O2&gt;=RiskCriticalScore,"Critical",IF(O2&gt;=RiskHighScore,"High",IF(O2&gt;=RiskMediumScore,"Medium","Low")))</f>
        <v>High</v>
      </c>
      <c r="Q2" s="14" t="n">
        <f aca="false">H2*F2/5</f>
        <v>15000</v>
      </c>
      <c r="R2" s="13" t="n">
        <f aca="false">IF(J2="Closed",0,AsOfDate-K2)</f>
        <v>378</v>
      </c>
      <c r="S2" s="12" t="str">
        <f aca="false">IF(AND(J2&lt;&gt;"Closed",AsOfDate&gt;L2),"Yes","No")</f>
        <v>Yes</v>
      </c>
    </row>
    <row r="3" customFormat="false" ht="15" hidden="false" customHeight="false" outlineLevel="0" collapsed="false">
      <c r="A3" s="18" t="s">
        <v>2730</v>
      </c>
      <c r="B3" s="18" t="s">
        <v>215</v>
      </c>
      <c r="C3" s="18" t="s">
        <v>2731</v>
      </c>
      <c r="D3" s="18" t="s">
        <v>1013</v>
      </c>
      <c r="E3" s="18" t="s">
        <v>2732</v>
      </c>
      <c r="F3" s="22" t="n">
        <v>2</v>
      </c>
      <c r="G3" s="22" t="n">
        <v>4</v>
      </c>
      <c r="H3" s="23" t="n">
        <v>32000</v>
      </c>
      <c r="I3" s="18" t="s">
        <v>414</v>
      </c>
      <c r="J3" s="18" t="s">
        <v>2733</v>
      </c>
      <c r="K3" s="19" t="n">
        <v>45923</v>
      </c>
      <c r="L3" s="19" t="n">
        <v>45986</v>
      </c>
      <c r="M3" s="18" t="s">
        <v>2734</v>
      </c>
      <c r="N3" s="21" t="str">
        <f aca="false">IFERROR(INDEX(Resources!$B$2:$B$500,MATCH(I3,Resources!$A$2:$A$500,0)),"")</f>
        <v>Elijah Adeyemi</v>
      </c>
      <c r="O3" s="13" t="n">
        <f aca="false">F3*G3</f>
        <v>8</v>
      </c>
      <c r="P3" s="12" t="str">
        <f aca="false">IF(O3&gt;=RiskCriticalScore,"Critical",IF(O3&gt;=RiskHighScore,"High",IF(O3&gt;=RiskMediumScore,"Medium","Low")))</f>
        <v>Medium</v>
      </c>
      <c r="Q3" s="14" t="n">
        <f aca="false">H3*F3/5</f>
        <v>12800</v>
      </c>
      <c r="R3" s="13" t="n">
        <f aca="false">IF(J3="Closed",0,AsOfDate-K3)</f>
        <v>353</v>
      </c>
      <c r="S3" s="12" t="str">
        <f aca="false">IF(AND(J3&lt;&gt;"Closed",AsOfDate&gt;L3),"Yes","No")</f>
        <v>Yes</v>
      </c>
    </row>
    <row r="4" customFormat="false" ht="15" hidden="false" customHeight="false" outlineLevel="0" collapsed="false">
      <c r="A4" s="18" t="s">
        <v>2735</v>
      </c>
      <c r="B4" s="18" t="s">
        <v>277</v>
      </c>
      <c r="C4" s="18" t="s">
        <v>2731</v>
      </c>
      <c r="D4" s="18" t="s">
        <v>2726</v>
      </c>
      <c r="E4" s="18" t="s">
        <v>2736</v>
      </c>
      <c r="F4" s="22" t="n">
        <v>1</v>
      </c>
      <c r="G4" s="22" t="n">
        <v>2</v>
      </c>
      <c r="H4" s="23" t="n">
        <v>53000</v>
      </c>
      <c r="I4" s="18" t="s">
        <v>354</v>
      </c>
      <c r="J4" s="18" t="s">
        <v>2737</v>
      </c>
      <c r="K4" s="19" t="n">
        <v>45949</v>
      </c>
      <c r="L4" s="19" t="n">
        <v>46009</v>
      </c>
      <c r="M4" s="18" t="s">
        <v>2738</v>
      </c>
      <c r="N4" s="21" t="str">
        <f aca="false">IFERROR(INDEX(Resources!$B$2:$B$500,MATCH(I4,Resources!$A$2:$A$500,0)),"")</f>
        <v>Mateo Bianchi</v>
      </c>
      <c r="O4" s="13" t="n">
        <f aca="false">F4*G4</f>
        <v>2</v>
      </c>
      <c r="P4" s="12" t="str">
        <f aca="false">IF(O4&gt;=RiskCriticalScore,"Critical",IF(O4&gt;=RiskHighScore,"High",IF(O4&gt;=RiskMediumScore,"Medium","Low")))</f>
        <v>Low</v>
      </c>
      <c r="Q4" s="14" t="n">
        <f aca="false">H4*F4/5</f>
        <v>10600</v>
      </c>
      <c r="R4" s="13" t="n">
        <f aca="false">IF(J4="Closed",0,AsOfDate-K4)</f>
        <v>0</v>
      </c>
      <c r="S4" s="12" t="str">
        <f aca="false">IF(AND(J4&lt;&gt;"Closed",AsOfDate&gt;L4),"Yes","No")</f>
        <v>No</v>
      </c>
    </row>
    <row r="5" customFormat="false" ht="15" hidden="false" customHeight="false" outlineLevel="0" collapsed="false">
      <c r="A5" s="18" t="s">
        <v>2739</v>
      </c>
      <c r="B5" s="18" t="s">
        <v>283</v>
      </c>
      <c r="C5" s="18" t="s">
        <v>2731</v>
      </c>
      <c r="D5" s="18" t="s">
        <v>2726</v>
      </c>
      <c r="E5" s="18" t="s">
        <v>2736</v>
      </c>
      <c r="F5" s="22" t="n">
        <v>1</v>
      </c>
      <c r="G5" s="22" t="n">
        <v>1</v>
      </c>
      <c r="H5" s="23" t="n">
        <v>38000</v>
      </c>
      <c r="I5" s="18" t="s">
        <v>226</v>
      </c>
      <c r="J5" s="18" t="s">
        <v>2737</v>
      </c>
      <c r="K5" s="19" t="n">
        <v>45966</v>
      </c>
      <c r="L5" s="19" t="n">
        <v>46025</v>
      </c>
      <c r="M5" s="18" t="s">
        <v>2738</v>
      </c>
      <c r="N5" s="21" t="str">
        <f aca="false">IFERROR(INDEX(Resources!$B$2:$B$500,MATCH(I5,Resources!$A$2:$A$500,0)),"")</f>
        <v>Noah Rahimi</v>
      </c>
      <c r="O5" s="13" t="n">
        <f aca="false">F5*G5</f>
        <v>1</v>
      </c>
      <c r="P5" s="12" t="str">
        <f aca="false">IF(O5&gt;=RiskCriticalScore,"Critical",IF(O5&gt;=RiskHighScore,"High",IF(O5&gt;=RiskMediumScore,"Medium","Low")))</f>
        <v>Low</v>
      </c>
      <c r="Q5" s="14" t="n">
        <f aca="false">H5*F5/5</f>
        <v>7600</v>
      </c>
      <c r="R5" s="13" t="n">
        <f aca="false">IF(J5="Closed",0,AsOfDate-K5)</f>
        <v>0</v>
      </c>
      <c r="S5" s="12" t="str">
        <f aca="false">IF(AND(J5&lt;&gt;"Closed",AsOfDate&gt;L5),"Yes","No")</f>
        <v>No</v>
      </c>
    </row>
    <row r="6" customFormat="false" ht="15" hidden="false" customHeight="false" outlineLevel="0" collapsed="false">
      <c r="A6" s="18" t="s">
        <v>2740</v>
      </c>
      <c r="B6" s="18" t="s">
        <v>265</v>
      </c>
      <c r="C6" s="18" t="s">
        <v>2731</v>
      </c>
      <c r="D6" s="18" t="s">
        <v>2741</v>
      </c>
      <c r="E6" s="18" t="s">
        <v>2742</v>
      </c>
      <c r="F6" s="22" t="n">
        <v>3</v>
      </c>
      <c r="G6" s="22" t="n">
        <v>1</v>
      </c>
      <c r="H6" s="23" t="n">
        <v>15000</v>
      </c>
      <c r="I6" s="18" t="s">
        <v>360</v>
      </c>
      <c r="J6" s="18" t="s">
        <v>2733</v>
      </c>
      <c r="K6" s="19" t="n">
        <v>45968</v>
      </c>
      <c r="L6" s="19" t="n">
        <v>46030</v>
      </c>
      <c r="M6" s="18" t="s">
        <v>2743</v>
      </c>
      <c r="N6" s="21" t="str">
        <f aca="false">IFERROR(INDEX(Resources!$B$2:$B$500,MATCH(I6,Resources!$A$2:$A$500,0)),"")</f>
        <v>Lucas Okoro</v>
      </c>
      <c r="O6" s="13" t="n">
        <f aca="false">F6*G6</f>
        <v>3</v>
      </c>
      <c r="P6" s="12" t="str">
        <f aca="false">IF(O6&gt;=RiskCriticalScore,"Critical",IF(O6&gt;=RiskHighScore,"High",IF(O6&gt;=RiskMediumScore,"Medium","Low")))</f>
        <v>Low</v>
      </c>
      <c r="Q6" s="14" t="n">
        <f aca="false">H6*F6/5</f>
        <v>9000</v>
      </c>
      <c r="R6" s="13" t="n">
        <f aca="false">IF(J6="Closed",0,AsOfDate-K6)</f>
        <v>308</v>
      </c>
      <c r="S6" s="12" t="str">
        <f aca="false">IF(AND(J6&lt;&gt;"Closed",AsOfDate&gt;L6),"Yes","No")</f>
        <v>Yes</v>
      </c>
    </row>
    <row r="7" customFormat="false" ht="15" hidden="false" customHeight="false" outlineLevel="0" collapsed="false">
      <c r="A7" s="18" t="s">
        <v>2744</v>
      </c>
      <c r="B7" s="18" t="s">
        <v>253</v>
      </c>
      <c r="C7" s="18" t="s">
        <v>2731</v>
      </c>
      <c r="D7" s="18" t="s">
        <v>1013</v>
      </c>
      <c r="E7" s="18" t="s">
        <v>2732</v>
      </c>
      <c r="F7" s="22" t="n">
        <v>2</v>
      </c>
      <c r="G7" s="22" t="n">
        <v>5</v>
      </c>
      <c r="H7" s="23" t="n">
        <v>89000</v>
      </c>
      <c r="I7" s="18" t="s">
        <v>373</v>
      </c>
      <c r="J7" s="18" t="s">
        <v>2737</v>
      </c>
      <c r="K7" s="19" t="n">
        <v>45972</v>
      </c>
      <c r="L7" s="19" t="n">
        <v>46035</v>
      </c>
      <c r="M7" s="18" t="s">
        <v>2734</v>
      </c>
      <c r="N7" s="21" t="str">
        <f aca="false">IFERROR(INDEX(Resources!$B$2:$B$500,MATCH(I7,Resources!$A$2:$A$500,0)),"")</f>
        <v>Ravi Gagnon</v>
      </c>
      <c r="O7" s="13" t="n">
        <f aca="false">F7*G7</f>
        <v>10</v>
      </c>
      <c r="P7" s="12" t="str">
        <f aca="false">IF(O7&gt;=RiskCriticalScore,"Critical",IF(O7&gt;=RiskHighScore,"High",IF(O7&gt;=RiskMediumScore,"Medium","Low")))</f>
        <v>High</v>
      </c>
      <c r="Q7" s="14" t="n">
        <f aca="false">H7*F7/5</f>
        <v>35600</v>
      </c>
      <c r="R7" s="13" t="n">
        <f aca="false">IF(J7="Closed",0,AsOfDate-K7)</f>
        <v>0</v>
      </c>
      <c r="S7" s="12" t="str">
        <f aca="false">IF(AND(J7&lt;&gt;"Closed",AsOfDate&gt;L7),"Yes","No")</f>
        <v>No</v>
      </c>
    </row>
    <row r="8" customFormat="false" ht="15" hidden="false" customHeight="false" outlineLevel="0" collapsed="false">
      <c r="A8" s="18" t="s">
        <v>2745</v>
      </c>
      <c r="B8" s="18" t="s">
        <v>197</v>
      </c>
      <c r="C8" s="18" t="s">
        <v>2731</v>
      </c>
      <c r="D8" s="18" t="s">
        <v>2746</v>
      </c>
      <c r="E8" s="18" t="s">
        <v>2747</v>
      </c>
      <c r="F8" s="22" t="n">
        <v>3</v>
      </c>
      <c r="G8" s="22" t="n">
        <v>1</v>
      </c>
      <c r="H8" s="23" t="n">
        <v>57000</v>
      </c>
      <c r="I8" s="18" t="s">
        <v>389</v>
      </c>
      <c r="J8" s="18" t="s">
        <v>2737</v>
      </c>
      <c r="K8" s="19" t="n">
        <v>45975</v>
      </c>
      <c r="L8" s="19" t="n">
        <v>46022</v>
      </c>
      <c r="M8" s="18" t="s">
        <v>2748</v>
      </c>
      <c r="N8" s="21" t="str">
        <f aca="false">IFERROR(INDEX(Resources!$B$2:$B$500,MATCH(I8,Resources!$A$2:$A$500,0)),"")</f>
        <v>Yuki Wright</v>
      </c>
      <c r="O8" s="13" t="n">
        <f aca="false">F8*G8</f>
        <v>3</v>
      </c>
      <c r="P8" s="12" t="str">
        <f aca="false">IF(O8&gt;=RiskCriticalScore,"Critical",IF(O8&gt;=RiskHighScore,"High",IF(O8&gt;=RiskMediumScore,"Medium","Low")))</f>
        <v>Low</v>
      </c>
      <c r="Q8" s="14" t="n">
        <f aca="false">H8*F8/5</f>
        <v>34200</v>
      </c>
      <c r="R8" s="13" t="n">
        <f aca="false">IF(J8="Closed",0,AsOfDate-K8)</f>
        <v>0</v>
      </c>
      <c r="S8" s="12" t="str">
        <f aca="false">IF(AND(J8&lt;&gt;"Closed",AsOfDate&gt;L8),"Yes","No")</f>
        <v>No</v>
      </c>
    </row>
    <row r="9" customFormat="false" ht="15" hidden="false" customHeight="false" outlineLevel="0" collapsed="false">
      <c r="A9" s="18" t="s">
        <v>2749</v>
      </c>
      <c r="B9" s="18" t="s">
        <v>281</v>
      </c>
      <c r="C9" s="18" t="s">
        <v>2731</v>
      </c>
      <c r="D9" s="18" t="s">
        <v>2746</v>
      </c>
      <c r="E9" s="18" t="s">
        <v>2747</v>
      </c>
      <c r="F9" s="22" t="n">
        <v>3</v>
      </c>
      <c r="G9" s="22" t="n">
        <v>2</v>
      </c>
      <c r="H9" s="23" t="n">
        <v>36000</v>
      </c>
      <c r="I9" s="18" t="s">
        <v>371</v>
      </c>
      <c r="J9" s="18" t="s">
        <v>2737</v>
      </c>
      <c r="K9" s="19" t="n">
        <v>45989</v>
      </c>
      <c r="L9" s="19" t="n">
        <v>46036</v>
      </c>
      <c r="M9" s="18" t="s">
        <v>2748</v>
      </c>
      <c r="N9" s="21" t="str">
        <f aca="false">IFERROR(INDEX(Resources!$B$2:$B$500,MATCH(I9,Resources!$A$2:$A$500,0)),"")</f>
        <v>Amara Martin</v>
      </c>
      <c r="O9" s="13" t="n">
        <f aca="false">F9*G9</f>
        <v>6</v>
      </c>
      <c r="P9" s="12" t="str">
        <f aca="false">IF(O9&gt;=RiskCriticalScore,"Critical",IF(O9&gt;=RiskHighScore,"High",IF(O9&gt;=RiskMediumScore,"Medium","Low")))</f>
        <v>Medium</v>
      </c>
      <c r="Q9" s="14" t="n">
        <f aca="false">H9*F9/5</f>
        <v>21600</v>
      </c>
      <c r="R9" s="13" t="n">
        <f aca="false">IF(J9="Closed",0,AsOfDate-K9)</f>
        <v>0</v>
      </c>
      <c r="S9" s="12" t="str">
        <f aca="false">IF(AND(J9&lt;&gt;"Closed",AsOfDate&gt;L9),"Yes","No")</f>
        <v>No</v>
      </c>
    </row>
    <row r="10" customFormat="false" ht="15" hidden="false" customHeight="false" outlineLevel="0" collapsed="false">
      <c r="A10" s="18" t="s">
        <v>2750</v>
      </c>
      <c r="B10" s="18" t="s">
        <v>277</v>
      </c>
      <c r="C10" s="18" t="s">
        <v>2731</v>
      </c>
      <c r="D10" s="18" t="s">
        <v>2726</v>
      </c>
      <c r="E10" s="18" t="s">
        <v>2751</v>
      </c>
      <c r="F10" s="22" t="n">
        <v>2</v>
      </c>
      <c r="G10" s="22" t="n">
        <v>2</v>
      </c>
      <c r="H10" s="23" t="n">
        <v>15000</v>
      </c>
      <c r="I10" s="18" t="s">
        <v>354</v>
      </c>
      <c r="J10" s="18" t="s">
        <v>2737</v>
      </c>
      <c r="K10" s="19" t="n">
        <v>46007</v>
      </c>
      <c r="L10" s="19" t="n">
        <v>46081</v>
      </c>
      <c r="M10" s="18" t="s">
        <v>2752</v>
      </c>
      <c r="N10" s="21" t="str">
        <f aca="false">IFERROR(INDEX(Resources!$B$2:$B$500,MATCH(I10,Resources!$A$2:$A$500,0)),"")</f>
        <v>Mateo Bianchi</v>
      </c>
      <c r="O10" s="13" t="n">
        <f aca="false">F10*G10</f>
        <v>4</v>
      </c>
      <c r="P10" s="12" t="str">
        <f aca="false">IF(O10&gt;=RiskCriticalScore,"Critical",IF(O10&gt;=RiskHighScore,"High",IF(O10&gt;=RiskMediumScore,"Medium","Low")))</f>
        <v>Low</v>
      </c>
      <c r="Q10" s="14" t="n">
        <f aca="false">H10*F10/5</f>
        <v>6000</v>
      </c>
      <c r="R10" s="13" t="n">
        <f aca="false">IF(J10="Closed",0,AsOfDate-K10)</f>
        <v>0</v>
      </c>
      <c r="S10" s="12" t="str">
        <f aca="false">IF(AND(J10&lt;&gt;"Closed",AsOfDate&gt;L10),"Yes","No")</f>
        <v>No</v>
      </c>
    </row>
    <row r="11" customFormat="false" ht="15" hidden="false" customHeight="false" outlineLevel="0" collapsed="false">
      <c r="A11" s="18" t="s">
        <v>2753</v>
      </c>
      <c r="B11" s="18" t="s">
        <v>281</v>
      </c>
      <c r="C11" s="18" t="s">
        <v>2731</v>
      </c>
      <c r="D11" s="18" t="s">
        <v>2726</v>
      </c>
      <c r="E11" s="18" t="s">
        <v>2751</v>
      </c>
      <c r="F11" s="22" t="n">
        <v>3</v>
      </c>
      <c r="G11" s="22" t="n">
        <v>1</v>
      </c>
      <c r="H11" s="23" t="n">
        <v>40000</v>
      </c>
      <c r="I11" s="18" t="s">
        <v>395</v>
      </c>
      <c r="J11" s="18" t="s">
        <v>2737</v>
      </c>
      <c r="K11" s="19" t="n">
        <v>46011</v>
      </c>
      <c r="L11" s="19" t="n">
        <v>46065</v>
      </c>
      <c r="M11" s="18" t="s">
        <v>2752</v>
      </c>
      <c r="N11" s="21" t="str">
        <f aca="false">IFERROR(INDEX(Resources!$B$2:$B$500,MATCH(I11,Resources!$A$2:$A$500,0)),"")</f>
        <v>Kwame Malik</v>
      </c>
      <c r="O11" s="13" t="n">
        <f aca="false">F11*G11</f>
        <v>3</v>
      </c>
      <c r="P11" s="12" t="str">
        <f aca="false">IF(O11&gt;=RiskCriticalScore,"Critical",IF(O11&gt;=RiskHighScore,"High",IF(O11&gt;=RiskMediumScore,"Medium","Low")))</f>
        <v>Low</v>
      </c>
      <c r="Q11" s="14" t="n">
        <f aca="false">H11*F11/5</f>
        <v>24000</v>
      </c>
      <c r="R11" s="13" t="n">
        <f aca="false">IF(J11="Closed",0,AsOfDate-K11)</f>
        <v>0</v>
      </c>
      <c r="S11" s="12" t="str">
        <f aca="false">IF(AND(J11&lt;&gt;"Closed",AsOfDate&gt;L11),"Yes","No")</f>
        <v>No</v>
      </c>
    </row>
    <row r="12" customFormat="false" ht="15" hidden="false" customHeight="false" outlineLevel="0" collapsed="false">
      <c r="A12" s="18" t="s">
        <v>2754</v>
      </c>
      <c r="B12" s="18" t="s">
        <v>253</v>
      </c>
      <c r="C12" s="18" t="s">
        <v>2731</v>
      </c>
      <c r="D12" s="18" t="s">
        <v>2755</v>
      </c>
      <c r="E12" s="18" t="s">
        <v>2756</v>
      </c>
      <c r="F12" s="22" t="n">
        <v>3</v>
      </c>
      <c r="G12" s="22" t="n">
        <v>4</v>
      </c>
      <c r="H12" s="23" t="n">
        <v>107000</v>
      </c>
      <c r="I12" s="18" t="s">
        <v>446</v>
      </c>
      <c r="J12" s="18" t="s">
        <v>2733</v>
      </c>
      <c r="K12" s="19" t="n">
        <v>46022</v>
      </c>
      <c r="L12" s="19" t="n">
        <v>46079</v>
      </c>
      <c r="M12" s="18" t="s">
        <v>2757</v>
      </c>
      <c r="N12" s="21" t="str">
        <f aca="false">IFERROR(INDEX(Resources!$B$2:$B$500,MATCH(I12,Resources!$A$2:$A$500,0)),"")</f>
        <v>Ines Morales</v>
      </c>
      <c r="O12" s="13" t="n">
        <f aca="false">F12*G12</f>
        <v>12</v>
      </c>
      <c r="P12" s="12" t="str">
        <f aca="false">IF(O12&gt;=RiskCriticalScore,"Critical",IF(O12&gt;=RiskHighScore,"High",IF(O12&gt;=RiskMediumScore,"Medium","Low")))</f>
        <v>High</v>
      </c>
      <c r="Q12" s="14" t="n">
        <f aca="false">H12*F12/5</f>
        <v>64200</v>
      </c>
      <c r="R12" s="13" t="n">
        <f aca="false">IF(J12="Closed",0,AsOfDate-K12)</f>
        <v>254</v>
      </c>
      <c r="S12" s="12" t="str">
        <f aca="false">IF(AND(J12&lt;&gt;"Closed",AsOfDate&gt;L12),"Yes","No")</f>
        <v>Yes</v>
      </c>
    </row>
    <row r="13" customFormat="false" ht="15" hidden="false" customHeight="false" outlineLevel="0" collapsed="false">
      <c r="A13" s="18" t="s">
        <v>2758</v>
      </c>
      <c r="B13" s="18" t="s">
        <v>265</v>
      </c>
      <c r="C13" s="18" t="s">
        <v>2731</v>
      </c>
      <c r="D13" s="18" t="s">
        <v>2755</v>
      </c>
      <c r="E13" s="18" t="s">
        <v>2756</v>
      </c>
      <c r="F13" s="22" t="n">
        <v>3</v>
      </c>
      <c r="G13" s="22" t="n">
        <v>2</v>
      </c>
      <c r="H13" s="23" t="n">
        <v>31000</v>
      </c>
      <c r="I13" s="18" t="s">
        <v>496</v>
      </c>
      <c r="J13" s="18" t="s">
        <v>2737</v>
      </c>
      <c r="K13" s="19" t="n">
        <v>46032</v>
      </c>
      <c r="L13" s="19" t="n">
        <v>46065</v>
      </c>
      <c r="M13" s="18" t="s">
        <v>2757</v>
      </c>
      <c r="N13" s="21" t="str">
        <f aca="false">IFERROR(INDEX(Resources!$B$2:$B$500,MATCH(I13,Resources!$A$2:$A$500,0)),"")</f>
        <v>Callum Dubois</v>
      </c>
      <c r="O13" s="13" t="n">
        <f aca="false">F13*G13</f>
        <v>6</v>
      </c>
      <c r="P13" s="12" t="str">
        <f aca="false">IF(O13&gt;=RiskCriticalScore,"Critical",IF(O13&gt;=RiskHighScore,"High",IF(O13&gt;=RiskMediumScore,"Medium","Low")))</f>
        <v>Medium</v>
      </c>
      <c r="Q13" s="14" t="n">
        <f aca="false">H13*F13/5</f>
        <v>18600</v>
      </c>
      <c r="R13" s="13" t="n">
        <f aca="false">IF(J13="Closed",0,AsOfDate-K13)</f>
        <v>0</v>
      </c>
      <c r="S13" s="12" t="str">
        <f aca="false">IF(AND(J13&lt;&gt;"Closed",AsOfDate&gt;L13),"Yes","No")</f>
        <v>No</v>
      </c>
    </row>
    <row r="14" customFormat="false" ht="15" hidden="false" customHeight="false" outlineLevel="0" collapsed="false">
      <c r="A14" s="18" t="s">
        <v>2759</v>
      </c>
      <c r="B14" s="18" t="s">
        <v>233</v>
      </c>
      <c r="C14" s="18" t="s">
        <v>2725</v>
      </c>
      <c r="D14" s="18" t="s">
        <v>2726</v>
      </c>
      <c r="E14" s="18" t="s">
        <v>2727</v>
      </c>
      <c r="F14" s="22" t="n">
        <v>5</v>
      </c>
      <c r="G14" s="22" t="n">
        <v>3</v>
      </c>
      <c r="H14" s="23" t="n">
        <v>56000</v>
      </c>
      <c r="I14" s="18" t="s">
        <v>398</v>
      </c>
      <c r="J14" s="18" t="s">
        <v>2737</v>
      </c>
      <c r="K14" s="19" t="n">
        <v>46034</v>
      </c>
      <c r="L14" s="19" t="n">
        <v>46091</v>
      </c>
      <c r="M14" s="18" t="s">
        <v>2729</v>
      </c>
      <c r="N14" s="21" t="str">
        <f aca="false">IFERROR(INDEX(Resources!$B$2:$B$500,MATCH(I14,Resources!$A$2:$A$500,0)),"")</f>
        <v>Leah Haddad</v>
      </c>
      <c r="O14" s="13" t="n">
        <f aca="false">F14*G14</f>
        <v>15</v>
      </c>
      <c r="P14" s="12" t="str">
        <f aca="false">IF(O14&gt;=RiskCriticalScore,"Critical",IF(O14&gt;=RiskHighScore,"High",IF(O14&gt;=RiskMediumScore,"Medium","Low")))</f>
        <v>Critical</v>
      </c>
      <c r="Q14" s="14" t="n">
        <f aca="false">H14*F14/5</f>
        <v>56000</v>
      </c>
      <c r="R14" s="13" t="n">
        <f aca="false">IF(J14="Closed",0,AsOfDate-K14)</f>
        <v>0</v>
      </c>
      <c r="S14" s="12" t="str">
        <f aca="false">IF(AND(J14&lt;&gt;"Closed",AsOfDate&gt;L14),"Yes","No")</f>
        <v>No</v>
      </c>
    </row>
    <row r="15" customFormat="false" ht="15" hidden="false" customHeight="false" outlineLevel="0" collapsed="false">
      <c r="A15" s="18" t="s">
        <v>2760</v>
      </c>
      <c r="B15" s="18" t="s">
        <v>207</v>
      </c>
      <c r="C15" s="18" t="s">
        <v>2731</v>
      </c>
      <c r="D15" s="18" t="s">
        <v>2761</v>
      </c>
      <c r="E15" s="18" t="s">
        <v>2762</v>
      </c>
      <c r="F15" s="22" t="n">
        <v>3</v>
      </c>
      <c r="G15" s="22" t="n">
        <v>4</v>
      </c>
      <c r="H15" s="23" t="n">
        <v>44000</v>
      </c>
      <c r="I15" s="18" t="s">
        <v>211</v>
      </c>
      <c r="J15" s="18" t="s">
        <v>2733</v>
      </c>
      <c r="K15" s="19" t="n">
        <v>46035</v>
      </c>
      <c r="L15" s="19" t="n">
        <v>46068</v>
      </c>
      <c r="M15" s="18" t="s">
        <v>2763</v>
      </c>
      <c r="N15" s="21" t="str">
        <f aca="false">IFERROR(INDEX(Resources!$B$2:$B$500,MATCH(I15,Resources!$A$2:$A$500,0)),"")</f>
        <v>Liam Roy</v>
      </c>
      <c r="O15" s="13" t="n">
        <f aca="false">F15*G15</f>
        <v>12</v>
      </c>
      <c r="P15" s="12" t="str">
        <f aca="false">IF(O15&gt;=RiskCriticalScore,"Critical",IF(O15&gt;=RiskHighScore,"High",IF(O15&gt;=RiskMediumScore,"Medium","Low")))</f>
        <v>High</v>
      </c>
      <c r="Q15" s="14" t="n">
        <f aca="false">H15*F15/5</f>
        <v>26400</v>
      </c>
      <c r="R15" s="13" t="n">
        <f aca="false">IF(J15="Closed",0,AsOfDate-K15)</f>
        <v>241</v>
      </c>
      <c r="S15" s="12" t="str">
        <f aca="false">IF(AND(J15&lt;&gt;"Closed",AsOfDate&gt;L15),"Yes","No")</f>
        <v>Yes</v>
      </c>
    </row>
    <row r="16" customFormat="false" ht="15" hidden="false" customHeight="false" outlineLevel="0" collapsed="false">
      <c r="A16" s="18" t="s">
        <v>2764</v>
      </c>
      <c r="B16" s="18" t="s">
        <v>253</v>
      </c>
      <c r="C16" s="18" t="s">
        <v>2731</v>
      </c>
      <c r="D16" s="18" t="s">
        <v>2726</v>
      </c>
      <c r="E16" s="18" t="s">
        <v>2736</v>
      </c>
      <c r="F16" s="22" t="n">
        <v>2</v>
      </c>
      <c r="G16" s="22" t="n">
        <v>4</v>
      </c>
      <c r="H16" s="23" t="n">
        <v>123000</v>
      </c>
      <c r="I16" s="18" t="s">
        <v>407</v>
      </c>
      <c r="J16" s="18" t="s">
        <v>2728</v>
      </c>
      <c r="K16" s="19" t="n">
        <v>46037</v>
      </c>
      <c r="L16" s="19" t="n">
        <v>46095</v>
      </c>
      <c r="M16" s="18" t="s">
        <v>2738</v>
      </c>
      <c r="N16" s="21" t="str">
        <f aca="false">IFERROR(INDEX(Resources!$B$2:$B$500,MATCH(I16,Resources!$A$2:$A$500,0)),"")</f>
        <v>Sofia Hassan</v>
      </c>
      <c r="O16" s="13" t="n">
        <f aca="false">F16*G16</f>
        <v>8</v>
      </c>
      <c r="P16" s="12" t="str">
        <f aca="false">IF(O16&gt;=RiskCriticalScore,"Critical",IF(O16&gt;=RiskHighScore,"High",IF(O16&gt;=RiskMediumScore,"Medium","Low")))</f>
        <v>Medium</v>
      </c>
      <c r="Q16" s="14" t="n">
        <f aca="false">H16*F16/5</f>
        <v>49200</v>
      </c>
      <c r="R16" s="13" t="n">
        <f aca="false">IF(J16="Closed",0,AsOfDate-K16)</f>
        <v>239</v>
      </c>
      <c r="S16" s="12" t="str">
        <f aca="false">IF(AND(J16&lt;&gt;"Closed",AsOfDate&gt;L16),"Yes","No")</f>
        <v>Yes</v>
      </c>
    </row>
    <row r="17" customFormat="false" ht="15" hidden="false" customHeight="false" outlineLevel="0" collapsed="false">
      <c r="A17" s="18" t="s">
        <v>2765</v>
      </c>
      <c r="B17" s="18" t="s">
        <v>285</v>
      </c>
      <c r="C17" s="18" t="s">
        <v>2766</v>
      </c>
      <c r="D17" s="18" t="s">
        <v>2746</v>
      </c>
      <c r="E17" s="18" t="s">
        <v>2767</v>
      </c>
      <c r="F17" s="22" t="n">
        <v>2</v>
      </c>
      <c r="G17" s="22" t="n">
        <v>2</v>
      </c>
      <c r="H17" s="23" t="n">
        <v>28000</v>
      </c>
      <c r="I17" s="18" t="s">
        <v>492</v>
      </c>
      <c r="J17" s="18" t="s">
        <v>2728</v>
      </c>
      <c r="K17" s="19" t="n">
        <v>46042</v>
      </c>
      <c r="L17" s="19" t="n">
        <v>46091</v>
      </c>
      <c r="M17" s="18" t="s">
        <v>2768</v>
      </c>
      <c r="N17" s="21" t="str">
        <f aca="false">IFERROR(INDEX(Resources!$B$2:$B$500,MATCH(I17,Resources!$A$2:$A$500,0)),"")</f>
        <v>Mariam Brooks</v>
      </c>
      <c r="O17" s="13" t="n">
        <f aca="false">F17*G17</f>
        <v>4</v>
      </c>
      <c r="P17" s="12" t="str">
        <f aca="false">IF(O17&gt;=RiskCriticalScore,"Critical",IF(O17&gt;=RiskHighScore,"High",IF(O17&gt;=RiskMediumScore,"Medium","Low")))</f>
        <v>Low</v>
      </c>
      <c r="Q17" s="14" t="n">
        <f aca="false">H17*F17/5</f>
        <v>11200</v>
      </c>
      <c r="R17" s="13" t="n">
        <f aca="false">IF(J17="Closed",0,AsOfDate-K17)</f>
        <v>234</v>
      </c>
      <c r="S17" s="12" t="str">
        <f aca="false">IF(AND(J17&lt;&gt;"Closed",AsOfDate&gt;L17),"Yes","No")</f>
        <v>Yes</v>
      </c>
    </row>
    <row r="18" customFormat="false" ht="15" hidden="false" customHeight="false" outlineLevel="0" collapsed="false">
      <c r="A18" s="18" t="s">
        <v>2769</v>
      </c>
      <c r="B18" s="18" t="s">
        <v>285</v>
      </c>
      <c r="C18" s="18" t="s">
        <v>2731</v>
      </c>
      <c r="D18" s="18" t="s">
        <v>2761</v>
      </c>
      <c r="E18" s="18" t="s">
        <v>2762</v>
      </c>
      <c r="F18" s="22" t="n">
        <v>3</v>
      </c>
      <c r="G18" s="22" t="n">
        <v>1</v>
      </c>
      <c r="H18" s="23" t="n">
        <v>56000</v>
      </c>
      <c r="I18" s="18" t="s">
        <v>444</v>
      </c>
      <c r="J18" s="18" t="s">
        <v>2728</v>
      </c>
      <c r="K18" s="19" t="n">
        <v>46047</v>
      </c>
      <c r="L18" s="19" t="n">
        <v>46115</v>
      </c>
      <c r="M18" s="18" t="s">
        <v>2763</v>
      </c>
      <c r="N18" s="21" t="str">
        <f aca="false">IFERROR(INDEX(Resources!$B$2:$B$500,MATCH(I18,Resources!$A$2:$A$500,0)),"")</f>
        <v>Hugo Ahmed</v>
      </c>
      <c r="O18" s="13" t="n">
        <f aca="false">F18*G18</f>
        <v>3</v>
      </c>
      <c r="P18" s="12" t="str">
        <f aca="false">IF(O18&gt;=RiskCriticalScore,"Critical",IF(O18&gt;=RiskHighScore,"High",IF(O18&gt;=RiskMediumScore,"Medium","Low")))</f>
        <v>Low</v>
      </c>
      <c r="Q18" s="14" t="n">
        <f aca="false">H18*F18/5</f>
        <v>33600</v>
      </c>
      <c r="R18" s="13" t="n">
        <f aca="false">IF(J18="Closed",0,AsOfDate-K18)</f>
        <v>229</v>
      </c>
      <c r="S18" s="12" t="str">
        <f aca="false">IF(AND(J18&lt;&gt;"Closed",AsOfDate&gt;L18),"Yes","No")</f>
        <v>Yes</v>
      </c>
    </row>
    <row r="19" customFormat="false" ht="15" hidden="false" customHeight="false" outlineLevel="0" collapsed="false">
      <c r="A19" s="18" t="s">
        <v>2770</v>
      </c>
      <c r="B19" s="18" t="s">
        <v>275</v>
      </c>
      <c r="C19" s="18" t="s">
        <v>2731</v>
      </c>
      <c r="D19" s="18" t="s">
        <v>2726</v>
      </c>
      <c r="E19" s="18" t="s">
        <v>2736</v>
      </c>
      <c r="F19" s="22" t="n">
        <v>3</v>
      </c>
      <c r="G19" s="22" t="n">
        <v>3</v>
      </c>
      <c r="H19" s="23" t="n">
        <v>36000</v>
      </c>
      <c r="I19" s="18" t="s">
        <v>371</v>
      </c>
      <c r="J19" s="18" t="s">
        <v>2728</v>
      </c>
      <c r="K19" s="19" t="n">
        <v>46050</v>
      </c>
      <c r="L19" s="19" t="n">
        <v>46069</v>
      </c>
      <c r="M19" s="18" t="s">
        <v>2738</v>
      </c>
      <c r="N19" s="21" t="str">
        <f aca="false">IFERROR(INDEX(Resources!$B$2:$B$500,MATCH(I19,Resources!$A$2:$A$500,0)),"")</f>
        <v>Amara Martin</v>
      </c>
      <c r="O19" s="13" t="n">
        <f aca="false">F19*G19</f>
        <v>9</v>
      </c>
      <c r="P19" s="12" t="str">
        <f aca="false">IF(O19&gt;=RiskCriticalScore,"Critical",IF(O19&gt;=RiskHighScore,"High",IF(O19&gt;=RiskMediumScore,"Medium","Low")))</f>
        <v>Medium</v>
      </c>
      <c r="Q19" s="14" t="n">
        <f aca="false">H19*F19/5</f>
        <v>21600</v>
      </c>
      <c r="R19" s="13" t="n">
        <f aca="false">IF(J19="Closed",0,AsOfDate-K19)</f>
        <v>226</v>
      </c>
      <c r="S19" s="12" t="str">
        <f aca="false">IF(AND(J19&lt;&gt;"Closed",AsOfDate&gt;L19),"Yes","No")</f>
        <v>Yes</v>
      </c>
    </row>
    <row r="20" customFormat="false" ht="15" hidden="false" customHeight="false" outlineLevel="0" collapsed="false">
      <c r="A20" s="18" t="s">
        <v>2771</v>
      </c>
      <c r="B20" s="18" t="s">
        <v>285</v>
      </c>
      <c r="C20" s="18" t="s">
        <v>2772</v>
      </c>
      <c r="D20" s="18" t="s">
        <v>1013</v>
      </c>
      <c r="E20" s="18" t="s">
        <v>2773</v>
      </c>
      <c r="F20" s="22" t="n">
        <v>1</v>
      </c>
      <c r="G20" s="22" t="n">
        <v>2</v>
      </c>
      <c r="H20" s="23" t="n">
        <v>31000</v>
      </c>
      <c r="I20" s="18" t="s">
        <v>398</v>
      </c>
      <c r="J20" s="18" t="s">
        <v>2733</v>
      </c>
      <c r="K20" s="19" t="n">
        <v>46050</v>
      </c>
      <c r="L20" s="19" t="n">
        <v>46074</v>
      </c>
      <c r="M20" s="18" t="s">
        <v>2774</v>
      </c>
      <c r="N20" s="21" t="str">
        <f aca="false">IFERROR(INDEX(Resources!$B$2:$B$500,MATCH(I20,Resources!$A$2:$A$500,0)),"")</f>
        <v>Leah Haddad</v>
      </c>
      <c r="O20" s="13" t="n">
        <f aca="false">F20*G20</f>
        <v>2</v>
      </c>
      <c r="P20" s="12" t="str">
        <f aca="false">IF(O20&gt;=RiskCriticalScore,"Critical",IF(O20&gt;=RiskHighScore,"High",IF(O20&gt;=RiskMediumScore,"Medium","Low")))</f>
        <v>Low</v>
      </c>
      <c r="Q20" s="14" t="n">
        <f aca="false">H20*F20/5</f>
        <v>6200</v>
      </c>
      <c r="R20" s="13" t="n">
        <f aca="false">IF(J20="Closed",0,AsOfDate-K20)</f>
        <v>226</v>
      </c>
      <c r="S20" s="12" t="str">
        <f aca="false">IF(AND(J20&lt;&gt;"Closed",AsOfDate&gt;L20),"Yes","No")</f>
        <v>Yes</v>
      </c>
    </row>
    <row r="21" customFormat="false" ht="15" hidden="false" customHeight="false" outlineLevel="0" collapsed="false">
      <c r="A21" s="18" t="s">
        <v>2775</v>
      </c>
      <c r="B21" s="18" t="s">
        <v>207</v>
      </c>
      <c r="C21" s="18" t="s">
        <v>2725</v>
      </c>
      <c r="D21" s="18" t="s">
        <v>2726</v>
      </c>
      <c r="E21" s="18" t="s">
        <v>2727</v>
      </c>
      <c r="F21" s="22" t="n">
        <v>5</v>
      </c>
      <c r="G21" s="22" t="n">
        <v>4</v>
      </c>
      <c r="H21" s="23" t="n">
        <v>35000</v>
      </c>
      <c r="I21" s="18" t="s">
        <v>412</v>
      </c>
      <c r="J21" s="18" t="s">
        <v>2737</v>
      </c>
      <c r="K21" s="19" t="n">
        <v>46055</v>
      </c>
      <c r="L21" s="19" t="n">
        <v>46073</v>
      </c>
      <c r="M21" s="18" t="s">
        <v>2729</v>
      </c>
      <c r="N21" s="21" t="str">
        <f aca="false">IFERROR(INDEX(Resources!$B$2:$B$500,MATCH(I21,Resources!$A$2:$A$500,0)),"")</f>
        <v>Maya Osei</v>
      </c>
      <c r="O21" s="13" t="n">
        <f aca="false">F21*G21</f>
        <v>20</v>
      </c>
      <c r="P21" s="12" t="str">
        <f aca="false">IF(O21&gt;=RiskCriticalScore,"Critical",IF(O21&gt;=RiskHighScore,"High",IF(O21&gt;=RiskMediumScore,"Medium","Low")))</f>
        <v>Critical</v>
      </c>
      <c r="Q21" s="14" t="n">
        <f aca="false">H21*F21/5</f>
        <v>35000</v>
      </c>
      <c r="R21" s="13" t="n">
        <f aca="false">IF(J21="Closed",0,AsOfDate-K21)</f>
        <v>0</v>
      </c>
      <c r="S21" s="12" t="str">
        <f aca="false">IF(AND(J21&lt;&gt;"Closed",AsOfDate&gt;L21),"Yes","No")</f>
        <v>No</v>
      </c>
    </row>
    <row r="22" customFormat="false" ht="15" hidden="false" customHeight="false" outlineLevel="0" collapsed="false">
      <c r="A22" s="18" t="s">
        <v>2776</v>
      </c>
      <c r="B22" s="18" t="s">
        <v>215</v>
      </c>
      <c r="C22" s="18" t="s">
        <v>2725</v>
      </c>
      <c r="D22" s="18" t="s">
        <v>2726</v>
      </c>
      <c r="E22" s="18" t="s">
        <v>2727</v>
      </c>
      <c r="F22" s="22" t="n">
        <v>5</v>
      </c>
      <c r="G22" s="22" t="n">
        <v>3</v>
      </c>
      <c r="H22" s="23" t="n">
        <v>51000</v>
      </c>
      <c r="I22" s="18" t="s">
        <v>414</v>
      </c>
      <c r="J22" s="18" t="s">
        <v>2737</v>
      </c>
      <c r="K22" s="19" t="n">
        <v>46055</v>
      </c>
      <c r="L22" s="19" t="n">
        <v>46103</v>
      </c>
      <c r="M22" s="18" t="s">
        <v>2729</v>
      </c>
      <c r="N22" s="21" t="str">
        <f aca="false">IFERROR(INDEX(Resources!$B$2:$B$500,MATCH(I22,Resources!$A$2:$A$500,0)),"")</f>
        <v>Elijah Adeyemi</v>
      </c>
      <c r="O22" s="13" t="n">
        <f aca="false">F22*G22</f>
        <v>15</v>
      </c>
      <c r="P22" s="12" t="str">
        <f aca="false">IF(O22&gt;=RiskCriticalScore,"Critical",IF(O22&gt;=RiskHighScore,"High",IF(O22&gt;=RiskMediumScore,"Medium","Low")))</f>
        <v>Critical</v>
      </c>
      <c r="Q22" s="14" t="n">
        <f aca="false">H22*F22/5</f>
        <v>51000</v>
      </c>
      <c r="R22" s="13" t="n">
        <f aca="false">IF(J22="Closed",0,AsOfDate-K22)</f>
        <v>0</v>
      </c>
      <c r="S22" s="12" t="str">
        <f aca="false">IF(AND(J22&lt;&gt;"Closed",AsOfDate&gt;L22),"Yes","No")</f>
        <v>No</v>
      </c>
    </row>
    <row r="23" customFormat="false" ht="15" hidden="false" customHeight="false" outlineLevel="0" collapsed="false">
      <c r="A23" s="18" t="s">
        <v>2777</v>
      </c>
      <c r="B23" s="18" t="s">
        <v>257</v>
      </c>
      <c r="C23" s="18" t="s">
        <v>2731</v>
      </c>
      <c r="D23" s="18" t="s">
        <v>2726</v>
      </c>
      <c r="E23" s="18" t="s">
        <v>2736</v>
      </c>
      <c r="F23" s="22" t="n">
        <v>1</v>
      </c>
      <c r="G23" s="22" t="n">
        <v>2</v>
      </c>
      <c r="H23" s="23" t="n">
        <v>46000</v>
      </c>
      <c r="I23" s="18" t="s">
        <v>226</v>
      </c>
      <c r="J23" s="18" t="s">
        <v>2737</v>
      </c>
      <c r="K23" s="19" t="n">
        <v>46059</v>
      </c>
      <c r="L23" s="19" t="n">
        <v>46088</v>
      </c>
      <c r="M23" s="18" t="s">
        <v>2738</v>
      </c>
      <c r="N23" s="21" t="str">
        <f aca="false">IFERROR(INDEX(Resources!$B$2:$B$500,MATCH(I23,Resources!$A$2:$A$500,0)),"")</f>
        <v>Noah Rahimi</v>
      </c>
      <c r="O23" s="13" t="n">
        <f aca="false">F23*G23</f>
        <v>2</v>
      </c>
      <c r="P23" s="12" t="str">
        <f aca="false">IF(O23&gt;=RiskCriticalScore,"Critical",IF(O23&gt;=RiskHighScore,"High",IF(O23&gt;=RiskMediumScore,"Medium","Low")))</f>
        <v>Low</v>
      </c>
      <c r="Q23" s="14" t="n">
        <f aca="false">H23*F23/5</f>
        <v>9200</v>
      </c>
      <c r="R23" s="13" t="n">
        <f aca="false">IF(J23="Closed",0,AsOfDate-K23)</f>
        <v>0</v>
      </c>
      <c r="S23" s="12" t="str">
        <f aca="false">IF(AND(J23&lt;&gt;"Closed",AsOfDate&gt;L23),"Yes","No")</f>
        <v>No</v>
      </c>
    </row>
    <row r="24" customFormat="false" ht="15" hidden="false" customHeight="false" outlineLevel="0" collapsed="false">
      <c r="A24" s="18" t="s">
        <v>2778</v>
      </c>
      <c r="B24" s="18" t="s">
        <v>275</v>
      </c>
      <c r="C24" s="18" t="s">
        <v>2731</v>
      </c>
      <c r="D24" s="18" t="s">
        <v>2761</v>
      </c>
      <c r="E24" s="18" t="s">
        <v>2762</v>
      </c>
      <c r="F24" s="22" t="n">
        <v>3</v>
      </c>
      <c r="G24" s="22" t="n">
        <v>2</v>
      </c>
      <c r="H24" s="23" t="n">
        <v>127000</v>
      </c>
      <c r="I24" s="18" t="s">
        <v>400</v>
      </c>
      <c r="J24" s="18" t="s">
        <v>2737</v>
      </c>
      <c r="K24" s="19" t="n">
        <v>46059</v>
      </c>
      <c r="L24" s="19" t="n">
        <v>46119</v>
      </c>
      <c r="M24" s="18" t="s">
        <v>2763</v>
      </c>
      <c r="N24" s="21" t="str">
        <f aca="false">IFERROR(INDEX(Resources!$B$2:$B$500,MATCH(I24,Resources!$A$2:$A$500,0)),"")</f>
        <v>Omar Bose</v>
      </c>
      <c r="O24" s="13" t="n">
        <f aca="false">F24*G24</f>
        <v>6</v>
      </c>
      <c r="P24" s="12" t="str">
        <f aca="false">IF(O24&gt;=RiskCriticalScore,"Critical",IF(O24&gt;=RiskHighScore,"High",IF(O24&gt;=RiskMediumScore,"Medium","Low")))</f>
        <v>Medium</v>
      </c>
      <c r="Q24" s="14" t="n">
        <f aca="false">H24*F24/5</f>
        <v>76200</v>
      </c>
      <c r="R24" s="13" t="n">
        <f aca="false">IF(J24="Closed",0,AsOfDate-K24)</f>
        <v>0</v>
      </c>
      <c r="S24" s="12" t="str">
        <f aca="false">IF(AND(J24&lt;&gt;"Closed",AsOfDate&gt;L24),"Yes","No")</f>
        <v>No</v>
      </c>
    </row>
    <row r="25" customFormat="false" ht="15" hidden="false" customHeight="false" outlineLevel="0" collapsed="false">
      <c r="A25" s="18" t="s">
        <v>2779</v>
      </c>
      <c r="B25" s="18" t="s">
        <v>228</v>
      </c>
      <c r="C25" s="18" t="s">
        <v>2731</v>
      </c>
      <c r="D25" s="18" t="s">
        <v>2761</v>
      </c>
      <c r="E25" s="18" t="s">
        <v>2762</v>
      </c>
      <c r="F25" s="22" t="n">
        <v>2</v>
      </c>
      <c r="G25" s="22" t="n">
        <v>5</v>
      </c>
      <c r="H25" s="23" t="n">
        <v>99000</v>
      </c>
      <c r="I25" s="18" t="s">
        <v>446</v>
      </c>
      <c r="J25" s="18" t="s">
        <v>2733</v>
      </c>
      <c r="K25" s="19" t="n">
        <v>46063</v>
      </c>
      <c r="L25" s="19" t="n">
        <v>46129</v>
      </c>
      <c r="M25" s="18" t="s">
        <v>2763</v>
      </c>
      <c r="N25" s="21" t="str">
        <f aca="false">IFERROR(INDEX(Resources!$B$2:$B$500,MATCH(I25,Resources!$A$2:$A$500,0)),"")</f>
        <v>Ines Morales</v>
      </c>
      <c r="O25" s="13" t="n">
        <f aca="false">F25*G25</f>
        <v>10</v>
      </c>
      <c r="P25" s="12" t="str">
        <f aca="false">IF(O25&gt;=RiskCriticalScore,"Critical",IF(O25&gt;=RiskHighScore,"High",IF(O25&gt;=RiskMediumScore,"Medium","Low")))</f>
        <v>High</v>
      </c>
      <c r="Q25" s="14" t="n">
        <f aca="false">H25*F25/5</f>
        <v>39600</v>
      </c>
      <c r="R25" s="13" t="n">
        <f aca="false">IF(J25="Closed",0,AsOfDate-K25)</f>
        <v>213</v>
      </c>
      <c r="S25" s="12" t="str">
        <f aca="false">IF(AND(J25&lt;&gt;"Closed",AsOfDate&gt;L25),"Yes","No")</f>
        <v>Yes</v>
      </c>
    </row>
    <row r="26" customFormat="false" ht="15" hidden="false" customHeight="false" outlineLevel="0" collapsed="false">
      <c r="A26" s="18" t="s">
        <v>2780</v>
      </c>
      <c r="B26" s="18" t="s">
        <v>197</v>
      </c>
      <c r="C26" s="18" t="s">
        <v>2725</v>
      </c>
      <c r="D26" s="18" t="s">
        <v>2781</v>
      </c>
      <c r="E26" s="18" t="s">
        <v>2782</v>
      </c>
      <c r="F26" s="22" t="n">
        <v>5</v>
      </c>
      <c r="G26" s="22" t="n">
        <v>3</v>
      </c>
      <c r="H26" s="23" t="n">
        <v>35000</v>
      </c>
      <c r="I26" s="18" t="s">
        <v>201</v>
      </c>
      <c r="J26" s="18" t="s">
        <v>2737</v>
      </c>
      <c r="K26" s="19" t="n">
        <v>46071</v>
      </c>
      <c r="L26" s="19" t="n">
        <v>46134</v>
      </c>
      <c r="M26" s="18" t="s">
        <v>2783</v>
      </c>
      <c r="N26" s="21" t="str">
        <f aca="false">IFERROR(INDEX(Resources!$B$2:$B$500,MATCH(I26,Resources!$A$2:$A$500,0)),"")</f>
        <v>Aisha Tremblay</v>
      </c>
      <c r="O26" s="13" t="n">
        <f aca="false">F26*G26</f>
        <v>15</v>
      </c>
      <c r="P26" s="12" t="str">
        <f aca="false">IF(O26&gt;=RiskCriticalScore,"Critical",IF(O26&gt;=RiskHighScore,"High",IF(O26&gt;=RiskMediumScore,"Medium","Low")))</f>
        <v>Critical</v>
      </c>
      <c r="Q26" s="14" t="n">
        <f aca="false">H26*F26/5</f>
        <v>35000</v>
      </c>
      <c r="R26" s="13" t="n">
        <f aca="false">IF(J26="Closed",0,AsOfDate-K26)</f>
        <v>0</v>
      </c>
      <c r="S26" s="12" t="str">
        <f aca="false">IF(AND(J26&lt;&gt;"Closed",AsOfDate&gt;L26),"Yes","No")</f>
        <v>No</v>
      </c>
    </row>
    <row r="27" customFormat="false" ht="15" hidden="false" customHeight="false" outlineLevel="0" collapsed="false">
      <c r="A27" s="18" t="s">
        <v>2784</v>
      </c>
      <c r="B27" s="18" t="s">
        <v>265</v>
      </c>
      <c r="C27" s="18" t="s">
        <v>2725</v>
      </c>
      <c r="D27" s="18" t="s">
        <v>2755</v>
      </c>
      <c r="E27" s="18" t="s">
        <v>2785</v>
      </c>
      <c r="F27" s="22" t="n">
        <v>5</v>
      </c>
      <c r="G27" s="22" t="n">
        <v>3</v>
      </c>
      <c r="H27" s="23" t="n">
        <v>41000</v>
      </c>
      <c r="I27" s="18" t="s">
        <v>375</v>
      </c>
      <c r="J27" s="18" t="s">
        <v>2737</v>
      </c>
      <c r="K27" s="19" t="n">
        <v>46078</v>
      </c>
      <c r="L27" s="19" t="n">
        <v>46144</v>
      </c>
      <c r="M27" s="18" t="s">
        <v>2786</v>
      </c>
      <c r="N27" s="21" t="str">
        <f aca="false">IFERROR(INDEX(Resources!$B$2:$B$500,MATCH(I27,Resources!$A$2:$A$500,0)),"")</f>
        <v>Emma Leblanc</v>
      </c>
      <c r="O27" s="13" t="n">
        <f aca="false">F27*G27</f>
        <v>15</v>
      </c>
      <c r="P27" s="12" t="str">
        <f aca="false">IF(O27&gt;=RiskCriticalScore,"Critical",IF(O27&gt;=RiskHighScore,"High",IF(O27&gt;=RiskMediumScore,"Medium","Low")))</f>
        <v>Critical</v>
      </c>
      <c r="Q27" s="14" t="n">
        <f aca="false">H27*F27/5</f>
        <v>41000</v>
      </c>
      <c r="R27" s="13" t="n">
        <f aca="false">IF(J27="Closed",0,AsOfDate-K27)</f>
        <v>0</v>
      </c>
      <c r="S27" s="12" t="str">
        <f aca="false">IF(AND(J27&lt;&gt;"Closed",AsOfDate&gt;L27),"Yes","No")</f>
        <v>No</v>
      </c>
    </row>
    <row r="28" customFormat="false" ht="15" hidden="false" customHeight="false" outlineLevel="0" collapsed="false">
      <c r="A28" s="18" t="s">
        <v>2787</v>
      </c>
      <c r="B28" s="18" t="s">
        <v>244</v>
      </c>
      <c r="C28" s="18" t="s">
        <v>2731</v>
      </c>
      <c r="D28" s="18" t="s">
        <v>2726</v>
      </c>
      <c r="E28" s="18" t="s">
        <v>2751</v>
      </c>
      <c r="F28" s="22" t="n">
        <v>3</v>
      </c>
      <c r="G28" s="22" t="n">
        <v>1</v>
      </c>
      <c r="H28" s="23" t="n">
        <v>46000</v>
      </c>
      <c r="I28" s="18" t="s">
        <v>487</v>
      </c>
      <c r="J28" s="18" t="s">
        <v>2737</v>
      </c>
      <c r="K28" s="19" t="n">
        <v>46080</v>
      </c>
      <c r="L28" s="19" t="n">
        <v>46097</v>
      </c>
      <c r="M28" s="18" t="s">
        <v>2752</v>
      </c>
      <c r="N28" s="21" t="str">
        <f aca="false">IFERROR(INDEX(Resources!$B$2:$B$500,MATCH(I28,Resources!$A$2:$A$500,0)),"")</f>
        <v>Priyanka Tanaka</v>
      </c>
      <c r="O28" s="13" t="n">
        <f aca="false">F28*G28</f>
        <v>3</v>
      </c>
      <c r="P28" s="12" t="str">
        <f aca="false">IF(O28&gt;=RiskCriticalScore,"Critical",IF(O28&gt;=RiskHighScore,"High",IF(O28&gt;=RiskMediumScore,"Medium","Low")))</f>
        <v>Low</v>
      </c>
      <c r="Q28" s="14" t="n">
        <f aca="false">H28*F28/5</f>
        <v>27600</v>
      </c>
      <c r="R28" s="13" t="n">
        <f aca="false">IF(J28="Closed",0,AsOfDate-K28)</f>
        <v>0</v>
      </c>
      <c r="S28" s="12" t="str">
        <f aca="false">IF(AND(J28&lt;&gt;"Closed",AsOfDate&gt;L28),"Yes","No")</f>
        <v>No</v>
      </c>
    </row>
    <row r="29" customFormat="false" ht="15" hidden="false" customHeight="false" outlineLevel="0" collapsed="false">
      <c r="A29" s="18" t="s">
        <v>2788</v>
      </c>
      <c r="B29" s="18" t="s">
        <v>215</v>
      </c>
      <c r="C29" s="18" t="s">
        <v>2772</v>
      </c>
      <c r="D29" s="18" t="s">
        <v>1013</v>
      </c>
      <c r="E29" s="18" t="s">
        <v>2773</v>
      </c>
      <c r="F29" s="22" t="n">
        <v>2</v>
      </c>
      <c r="G29" s="22" t="n">
        <v>5</v>
      </c>
      <c r="H29" s="23" t="n">
        <v>64000</v>
      </c>
      <c r="I29" s="18" t="s">
        <v>414</v>
      </c>
      <c r="J29" s="18" t="s">
        <v>2733</v>
      </c>
      <c r="K29" s="19" t="n">
        <v>46098</v>
      </c>
      <c r="L29" s="19" t="n">
        <v>46139</v>
      </c>
      <c r="M29" s="18" t="s">
        <v>2774</v>
      </c>
      <c r="N29" s="21" t="str">
        <f aca="false">IFERROR(INDEX(Resources!$B$2:$B$500,MATCH(I29,Resources!$A$2:$A$500,0)),"")</f>
        <v>Elijah Adeyemi</v>
      </c>
      <c r="O29" s="13" t="n">
        <f aca="false">F29*G29</f>
        <v>10</v>
      </c>
      <c r="P29" s="12" t="str">
        <f aca="false">IF(O29&gt;=RiskCriticalScore,"Critical",IF(O29&gt;=RiskHighScore,"High",IF(O29&gt;=RiskMediumScore,"Medium","Low")))</f>
        <v>High</v>
      </c>
      <c r="Q29" s="14" t="n">
        <f aca="false">H29*F29/5</f>
        <v>25600</v>
      </c>
      <c r="R29" s="13" t="n">
        <f aca="false">IF(J29="Closed",0,AsOfDate-K29)</f>
        <v>178</v>
      </c>
      <c r="S29" s="12" t="str">
        <f aca="false">IF(AND(J29&lt;&gt;"Closed",AsOfDate&gt;L29),"Yes","No")</f>
        <v>Yes</v>
      </c>
    </row>
    <row r="30" customFormat="false" ht="15" hidden="false" customHeight="false" outlineLevel="0" collapsed="false">
      <c r="A30" s="18" t="s">
        <v>2789</v>
      </c>
      <c r="B30" s="18" t="s">
        <v>228</v>
      </c>
      <c r="C30" s="18" t="s">
        <v>2731</v>
      </c>
      <c r="D30" s="18" t="s">
        <v>2746</v>
      </c>
      <c r="E30" s="18" t="s">
        <v>2747</v>
      </c>
      <c r="F30" s="22" t="n">
        <v>2</v>
      </c>
      <c r="G30" s="22" t="n">
        <v>3</v>
      </c>
      <c r="H30" s="23" t="n">
        <v>11000</v>
      </c>
      <c r="I30" s="18" t="s">
        <v>446</v>
      </c>
      <c r="J30" s="18" t="s">
        <v>2737</v>
      </c>
      <c r="K30" s="19" t="n">
        <v>46101</v>
      </c>
      <c r="L30" s="19" t="n">
        <v>46137</v>
      </c>
      <c r="M30" s="18" t="s">
        <v>2748</v>
      </c>
      <c r="N30" s="21" t="str">
        <f aca="false">IFERROR(INDEX(Resources!$B$2:$B$500,MATCH(I30,Resources!$A$2:$A$500,0)),"")</f>
        <v>Ines Morales</v>
      </c>
      <c r="O30" s="13" t="n">
        <f aca="false">F30*G30</f>
        <v>6</v>
      </c>
      <c r="P30" s="12" t="str">
        <f aca="false">IF(O30&gt;=RiskCriticalScore,"Critical",IF(O30&gt;=RiskHighScore,"High",IF(O30&gt;=RiskMediumScore,"Medium","Low")))</f>
        <v>Medium</v>
      </c>
      <c r="Q30" s="14" t="n">
        <f aca="false">H30*F30/5</f>
        <v>4400</v>
      </c>
      <c r="R30" s="13" t="n">
        <f aca="false">IF(J30="Closed",0,AsOfDate-K30)</f>
        <v>0</v>
      </c>
      <c r="S30" s="12" t="str">
        <f aca="false">IF(AND(J30&lt;&gt;"Closed",AsOfDate&gt;L30),"Yes","No")</f>
        <v>No</v>
      </c>
    </row>
    <row r="31" customFormat="false" ht="15" hidden="false" customHeight="false" outlineLevel="0" collapsed="false">
      <c r="A31" s="18" t="s">
        <v>2790</v>
      </c>
      <c r="B31" s="18" t="s">
        <v>253</v>
      </c>
      <c r="C31" s="18" t="s">
        <v>2725</v>
      </c>
      <c r="D31" s="18" t="s">
        <v>2755</v>
      </c>
      <c r="E31" s="18" t="s">
        <v>2785</v>
      </c>
      <c r="F31" s="22" t="n">
        <v>5</v>
      </c>
      <c r="G31" s="22" t="n">
        <v>2</v>
      </c>
      <c r="H31" s="23" t="n">
        <v>173000</v>
      </c>
      <c r="I31" s="18" t="s">
        <v>407</v>
      </c>
      <c r="J31" s="18" t="s">
        <v>2728</v>
      </c>
      <c r="K31" s="19" t="n">
        <v>46104</v>
      </c>
      <c r="L31" s="19" t="n">
        <v>46144</v>
      </c>
      <c r="M31" s="18" t="s">
        <v>2786</v>
      </c>
      <c r="N31" s="21" t="str">
        <f aca="false">IFERROR(INDEX(Resources!$B$2:$B$500,MATCH(I31,Resources!$A$2:$A$500,0)),"")</f>
        <v>Sofia Hassan</v>
      </c>
      <c r="O31" s="13" t="n">
        <f aca="false">F31*G31</f>
        <v>10</v>
      </c>
      <c r="P31" s="12" t="str">
        <f aca="false">IF(O31&gt;=RiskCriticalScore,"Critical",IF(O31&gt;=RiskHighScore,"High",IF(O31&gt;=RiskMediumScore,"Medium","Low")))</f>
        <v>High</v>
      </c>
      <c r="Q31" s="14" t="n">
        <f aca="false">H31*F31/5</f>
        <v>173000</v>
      </c>
      <c r="R31" s="13" t="n">
        <f aca="false">IF(J31="Closed",0,AsOfDate-K31)</f>
        <v>172</v>
      </c>
      <c r="S31" s="12" t="str">
        <f aca="false">IF(AND(J31&lt;&gt;"Closed",AsOfDate&gt;L31),"Yes","No")</f>
        <v>Yes</v>
      </c>
    </row>
    <row r="32" customFormat="false" ht="15" hidden="false" customHeight="false" outlineLevel="0" collapsed="false">
      <c r="A32" s="18" t="s">
        <v>2791</v>
      </c>
      <c r="B32" s="18" t="s">
        <v>270</v>
      </c>
      <c r="C32" s="18" t="s">
        <v>2731</v>
      </c>
      <c r="D32" s="18" t="s">
        <v>2741</v>
      </c>
      <c r="E32" s="18" t="s">
        <v>2742</v>
      </c>
      <c r="F32" s="22" t="n">
        <v>3</v>
      </c>
      <c r="G32" s="22" t="n">
        <v>3</v>
      </c>
      <c r="H32" s="23" t="n">
        <v>10000</v>
      </c>
      <c r="I32" s="18" t="s">
        <v>357</v>
      </c>
      <c r="J32" s="18" t="s">
        <v>2733</v>
      </c>
      <c r="K32" s="19" t="n">
        <v>46123</v>
      </c>
      <c r="L32" s="19" t="n">
        <v>46146</v>
      </c>
      <c r="M32" s="18" t="s">
        <v>2743</v>
      </c>
      <c r="N32" s="21" t="str">
        <f aca="false">IFERROR(INDEX(Resources!$B$2:$B$500,MATCH(I32,Resources!$A$2:$A$500,0)),"")</f>
        <v>Hana Clarke</v>
      </c>
      <c r="O32" s="13" t="n">
        <f aca="false">F32*G32</f>
        <v>9</v>
      </c>
      <c r="P32" s="12" t="str">
        <f aca="false">IF(O32&gt;=RiskCriticalScore,"Critical",IF(O32&gt;=RiskHighScore,"High",IF(O32&gt;=RiskMediumScore,"Medium","Low")))</f>
        <v>Medium</v>
      </c>
      <c r="Q32" s="14" t="n">
        <f aca="false">H32*F32/5</f>
        <v>6000</v>
      </c>
      <c r="R32" s="13" t="n">
        <f aca="false">IF(J32="Closed",0,AsOfDate-K32)</f>
        <v>153</v>
      </c>
      <c r="S32" s="12" t="str">
        <f aca="false">IF(AND(J32&lt;&gt;"Closed",AsOfDate&gt;L32),"Yes","No")</f>
        <v>Yes</v>
      </c>
    </row>
    <row r="33" customFormat="false" ht="15" hidden="false" customHeight="false" outlineLevel="0" collapsed="false">
      <c r="A33" s="18" t="s">
        <v>2792</v>
      </c>
      <c r="B33" s="18" t="s">
        <v>222</v>
      </c>
      <c r="C33" s="18" t="s">
        <v>2772</v>
      </c>
      <c r="D33" s="18" t="s">
        <v>1013</v>
      </c>
      <c r="E33" s="18" t="s">
        <v>2773</v>
      </c>
      <c r="F33" s="22" t="n">
        <v>3</v>
      </c>
      <c r="G33" s="22" t="n">
        <v>2</v>
      </c>
      <c r="H33" s="23" t="n">
        <v>54000</v>
      </c>
      <c r="I33" s="18" t="s">
        <v>226</v>
      </c>
      <c r="J33" s="18" t="s">
        <v>2728</v>
      </c>
      <c r="K33" s="19" t="n">
        <v>46127</v>
      </c>
      <c r="L33" s="19" t="n">
        <v>46171</v>
      </c>
      <c r="M33" s="18" t="s">
        <v>2774</v>
      </c>
      <c r="N33" s="21" t="str">
        <f aca="false">IFERROR(INDEX(Resources!$B$2:$B$500,MATCH(I33,Resources!$A$2:$A$500,0)),"")</f>
        <v>Noah Rahimi</v>
      </c>
      <c r="O33" s="13" t="n">
        <f aca="false">F33*G33</f>
        <v>6</v>
      </c>
      <c r="P33" s="12" t="str">
        <f aca="false">IF(O33&gt;=RiskCriticalScore,"Critical",IF(O33&gt;=RiskHighScore,"High",IF(O33&gt;=RiskMediumScore,"Medium","Low")))</f>
        <v>Medium</v>
      </c>
      <c r="Q33" s="14" t="n">
        <f aca="false">H33*F33/5</f>
        <v>32400</v>
      </c>
      <c r="R33" s="13" t="n">
        <f aca="false">IF(J33="Closed",0,AsOfDate-K33)</f>
        <v>149</v>
      </c>
      <c r="S33" s="12" t="str">
        <f aca="false">IF(AND(J33&lt;&gt;"Closed",AsOfDate&gt;L33),"Yes","No")</f>
        <v>Yes</v>
      </c>
    </row>
    <row r="34" customFormat="false" ht="15" hidden="false" customHeight="false" outlineLevel="0" collapsed="false">
      <c r="A34" s="18" t="s">
        <v>2793</v>
      </c>
      <c r="B34" s="18" t="s">
        <v>270</v>
      </c>
      <c r="C34" s="18" t="s">
        <v>2731</v>
      </c>
      <c r="D34" s="18" t="s">
        <v>2761</v>
      </c>
      <c r="E34" s="18" t="s">
        <v>2762</v>
      </c>
      <c r="F34" s="22" t="n">
        <v>3</v>
      </c>
      <c r="G34" s="22" t="n">
        <v>3</v>
      </c>
      <c r="H34" s="23" t="n">
        <v>12000</v>
      </c>
      <c r="I34" s="18" t="s">
        <v>393</v>
      </c>
      <c r="J34" s="18" t="s">
        <v>2737</v>
      </c>
      <c r="K34" s="19" t="n">
        <v>46132</v>
      </c>
      <c r="L34" s="19" t="n">
        <v>46192</v>
      </c>
      <c r="M34" s="18" t="s">
        <v>2763</v>
      </c>
      <c r="N34" s="21" t="str">
        <f aca="false">IFERROR(INDEX(Resources!$B$2:$B$500,MATCH(I34,Resources!$A$2:$A$500,0)),"")</f>
        <v>Isabel Gill</v>
      </c>
      <c r="O34" s="13" t="n">
        <f aca="false">F34*G34</f>
        <v>9</v>
      </c>
      <c r="P34" s="12" t="str">
        <f aca="false">IF(O34&gt;=RiskCriticalScore,"Critical",IF(O34&gt;=RiskHighScore,"High",IF(O34&gt;=RiskMediumScore,"Medium","Low")))</f>
        <v>Medium</v>
      </c>
      <c r="Q34" s="14" t="n">
        <f aca="false">H34*F34/5</f>
        <v>7200</v>
      </c>
      <c r="R34" s="13" t="n">
        <f aca="false">IF(J34="Closed",0,AsOfDate-K34)</f>
        <v>0</v>
      </c>
      <c r="S34" s="12" t="str">
        <f aca="false">IF(AND(J34&lt;&gt;"Closed",AsOfDate&gt;L34),"Yes","No")</f>
        <v>No</v>
      </c>
    </row>
    <row r="35" customFormat="false" ht="15" hidden="false" customHeight="false" outlineLevel="0" collapsed="false">
      <c r="A35" s="18" t="s">
        <v>2794</v>
      </c>
      <c r="B35" s="18" t="s">
        <v>244</v>
      </c>
      <c r="C35" s="18" t="s">
        <v>2731</v>
      </c>
      <c r="D35" s="18" t="s">
        <v>1013</v>
      </c>
      <c r="E35" s="18" t="s">
        <v>2732</v>
      </c>
      <c r="F35" s="22" t="n">
        <v>3</v>
      </c>
      <c r="G35" s="22" t="n">
        <v>3</v>
      </c>
      <c r="H35" s="23" t="n">
        <v>10000</v>
      </c>
      <c r="I35" s="18" t="s">
        <v>405</v>
      </c>
      <c r="J35" s="18" t="s">
        <v>2728</v>
      </c>
      <c r="K35" s="19" t="n">
        <v>46133</v>
      </c>
      <c r="L35" s="19" t="n">
        <v>46166</v>
      </c>
      <c r="M35" s="18" t="s">
        <v>2734</v>
      </c>
      <c r="N35" s="21" t="str">
        <f aca="false">IFERROR(INDEX(Resources!$B$2:$B$500,MATCH(I35,Resources!$A$2:$A$500,0)),"")</f>
        <v>Tariq Obi</v>
      </c>
      <c r="O35" s="13" t="n">
        <f aca="false">F35*G35</f>
        <v>9</v>
      </c>
      <c r="P35" s="12" t="str">
        <f aca="false">IF(O35&gt;=RiskCriticalScore,"Critical",IF(O35&gt;=RiskHighScore,"High",IF(O35&gt;=RiskMediumScore,"Medium","Low")))</f>
        <v>Medium</v>
      </c>
      <c r="Q35" s="14" t="n">
        <f aca="false">H35*F35/5</f>
        <v>6000</v>
      </c>
      <c r="R35" s="13" t="n">
        <f aca="false">IF(J35="Closed",0,AsOfDate-K35)</f>
        <v>143</v>
      </c>
      <c r="S35" s="12" t="str">
        <f aca="false">IF(AND(J35&lt;&gt;"Closed",AsOfDate&gt;L35),"Yes","No")</f>
        <v>Yes</v>
      </c>
    </row>
    <row r="36" customFormat="false" ht="15" hidden="false" customHeight="false" outlineLevel="0" collapsed="false">
      <c r="A36" s="18" t="s">
        <v>2795</v>
      </c>
      <c r="B36" s="18" t="s">
        <v>272</v>
      </c>
      <c r="C36" s="18" t="s">
        <v>2766</v>
      </c>
      <c r="D36" s="18" t="s">
        <v>2746</v>
      </c>
      <c r="E36" s="18" t="s">
        <v>2767</v>
      </c>
      <c r="F36" s="22" t="n">
        <v>2</v>
      </c>
      <c r="G36" s="22" t="n">
        <v>1</v>
      </c>
      <c r="H36" s="23" t="n">
        <v>48000</v>
      </c>
      <c r="I36" s="18" t="s">
        <v>439</v>
      </c>
      <c r="J36" s="18" t="s">
        <v>2737</v>
      </c>
      <c r="K36" s="19" t="n">
        <v>46142</v>
      </c>
      <c r="L36" s="19" t="n">
        <v>46175</v>
      </c>
      <c r="M36" s="18" t="s">
        <v>2768</v>
      </c>
      <c r="N36" s="21" t="str">
        <f aca="false">IFERROR(INDEX(Resources!$B$2:$B$500,MATCH(I36,Resources!$A$2:$A$500,0)),"")</f>
        <v>Victor Chen</v>
      </c>
      <c r="O36" s="13" t="n">
        <f aca="false">F36*G36</f>
        <v>2</v>
      </c>
      <c r="P36" s="12" t="str">
        <f aca="false">IF(O36&gt;=RiskCriticalScore,"Critical",IF(O36&gt;=RiskHighScore,"High",IF(O36&gt;=RiskMediumScore,"Medium","Low")))</f>
        <v>Low</v>
      </c>
      <c r="Q36" s="14" t="n">
        <f aca="false">H36*F36/5</f>
        <v>19200</v>
      </c>
      <c r="R36" s="13" t="n">
        <f aca="false">IF(J36="Closed",0,AsOfDate-K36)</f>
        <v>0</v>
      </c>
      <c r="S36" s="12" t="str">
        <f aca="false">IF(AND(J36&lt;&gt;"Closed",AsOfDate&gt;L36),"Yes","No")</f>
        <v>No</v>
      </c>
    </row>
    <row r="37" customFormat="false" ht="15" hidden="false" customHeight="false" outlineLevel="0" collapsed="false">
      <c r="A37" s="18" t="s">
        <v>2796</v>
      </c>
      <c r="B37" s="18" t="s">
        <v>283</v>
      </c>
      <c r="C37" s="18" t="s">
        <v>2731</v>
      </c>
      <c r="D37" s="18" t="s">
        <v>1013</v>
      </c>
      <c r="E37" s="18" t="s">
        <v>2732</v>
      </c>
      <c r="F37" s="22" t="n">
        <v>1</v>
      </c>
      <c r="G37" s="22" t="n">
        <v>1</v>
      </c>
      <c r="H37" s="23" t="n">
        <v>16000</v>
      </c>
      <c r="I37" s="18" t="s">
        <v>424</v>
      </c>
      <c r="J37" s="18" t="s">
        <v>2737</v>
      </c>
      <c r="K37" s="19" t="n">
        <v>46143</v>
      </c>
      <c r="L37" s="19" t="n">
        <v>46176</v>
      </c>
      <c r="M37" s="18" t="s">
        <v>2734</v>
      </c>
      <c r="N37" s="21" t="str">
        <f aca="false">IFERROR(INDEX(Resources!$B$2:$B$500,MATCH(I37,Resources!$A$2:$A$500,0)),"")</f>
        <v>Imran Ivanova</v>
      </c>
      <c r="O37" s="13" t="n">
        <f aca="false">F37*G37</f>
        <v>1</v>
      </c>
      <c r="P37" s="12" t="str">
        <f aca="false">IF(O37&gt;=RiskCriticalScore,"Critical",IF(O37&gt;=RiskHighScore,"High",IF(O37&gt;=RiskMediumScore,"Medium","Low")))</f>
        <v>Low</v>
      </c>
      <c r="Q37" s="14" t="n">
        <f aca="false">H37*F37/5</f>
        <v>3200</v>
      </c>
      <c r="R37" s="13" t="n">
        <f aca="false">IF(J37="Closed",0,AsOfDate-K37)</f>
        <v>0</v>
      </c>
      <c r="S37" s="12" t="str">
        <f aca="false">IF(AND(J37&lt;&gt;"Closed",AsOfDate&gt;L37),"Yes","No")</f>
        <v>No</v>
      </c>
    </row>
    <row r="38" customFormat="false" ht="15" hidden="false" customHeight="false" outlineLevel="0" collapsed="false">
      <c r="A38" s="18" t="s">
        <v>2797</v>
      </c>
      <c r="B38" s="18" t="s">
        <v>270</v>
      </c>
      <c r="C38" s="18" t="s">
        <v>2731</v>
      </c>
      <c r="D38" s="18" t="s">
        <v>2781</v>
      </c>
      <c r="E38" s="18" t="s">
        <v>2798</v>
      </c>
      <c r="F38" s="22" t="n">
        <v>2</v>
      </c>
      <c r="G38" s="22" t="n">
        <v>1</v>
      </c>
      <c r="H38" s="23" t="n">
        <v>56000</v>
      </c>
      <c r="I38" s="18" t="s">
        <v>430</v>
      </c>
      <c r="J38" s="18" t="s">
        <v>2737</v>
      </c>
      <c r="K38" s="19" t="n">
        <v>46150</v>
      </c>
      <c r="L38" s="19" t="n">
        <v>46169</v>
      </c>
      <c r="M38" s="18" t="s">
        <v>2799</v>
      </c>
      <c r="N38" s="21" t="str">
        <f aca="false">IFERROR(INDEX(Resources!$B$2:$B$500,MATCH(I38,Resources!$A$2:$A$500,0)),"")</f>
        <v>Leila Nguyen</v>
      </c>
      <c r="O38" s="13" t="n">
        <f aca="false">F38*G38</f>
        <v>2</v>
      </c>
      <c r="P38" s="12" t="str">
        <f aca="false">IF(O38&gt;=RiskCriticalScore,"Critical",IF(O38&gt;=RiskHighScore,"High",IF(O38&gt;=RiskMediumScore,"Medium","Low")))</f>
        <v>Low</v>
      </c>
      <c r="Q38" s="14" t="n">
        <f aca="false">H38*F38/5</f>
        <v>22400</v>
      </c>
      <c r="R38" s="13" t="n">
        <f aca="false">IF(J38="Closed",0,AsOfDate-K38)</f>
        <v>0</v>
      </c>
      <c r="S38" s="12" t="str">
        <f aca="false">IF(AND(J38&lt;&gt;"Closed",AsOfDate&gt;L38),"Yes","No")</f>
        <v>No</v>
      </c>
    </row>
    <row r="39" customFormat="false" ht="15" hidden="false" customHeight="false" outlineLevel="0" collapsed="false">
      <c r="A39" s="18" t="s">
        <v>2800</v>
      </c>
      <c r="B39" s="18" t="s">
        <v>275</v>
      </c>
      <c r="C39" s="18" t="s">
        <v>2731</v>
      </c>
      <c r="D39" s="18" t="s">
        <v>2755</v>
      </c>
      <c r="E39" s="18" t="s">
        <v>2756</v>
      </c>
      <c r="F39" s="22" t="n">
        <v>4</v>
      </c>
      <c r="G39" s="22" t="n">
        <v>4</v>
      </c>
      <c r="H39" s="23" t="n">
        <v>74000</v>
      </c>
      <c r="I39" s="18" t="s">
        <v>218</v>
      </c>
      <c r="J39" s="18" t="s">
        <v>2733</v>
      </c>
      <c r="K39" s="19" t="n">
        <v>46151</v>
      </c>
      <c r="L39" s="19" t="n">
        <v>46217</v>
      </c>
      <c r="M39" s="18" t="s">
        <v>2757</v>
      </c>
      <c r="N39" s="21" t="str">
        <f aca="false">IFERROR(INDEX(Resources!$B$2:$B$500,MATCH(I39,Resources!$A$2:$A$500,0)),"")</f>
        <v>Mei Fraser</v>
      </c>
      <c r="O39" s="13" t="n">
        <f aca="false">F39*G39</f>
        <v>16</v>
      </c>
      <c r="P39" s="12" t="str">
        <f aca="false">IF(O39&gt;=RiskCriticalScore,"Critical",IF(O39&gt;=RiskHighScore,"High",IF(O39&gt;=RiskMediumScore,"Medium","Low")))</f>
        <v>Critical</v>
      </c>
      <c r="Q39" s="14" t="n">
        <f aca="false">H39*F39/5</f>
        <v>59200</v>
      </c>
      <c r="R39" s="13" t="n">
        <f aca="false">IF(J39="Closed",0,AsOfDate-K39)</f>
        <v>125</v>
      </c>
      <c r="S39" s="12" t="str">
        <f aca="false">IF(AND(J39&lt;&gt;"Closed",AsOfDate&gt;L39),"Yes","No")</f>
        <v>Yes</v>
      </c>
    </row>
    <row r="40" customFormat="false" ht="15" hidden="false" customHeight="false" outlineLevel="0" collapsed="false">
      <c r="A40" s="18" t="s">
        <v>2801</v>
      </c>
      <c r="B40" s="18" t="s">
        <v>239</v>
      </c>
      <c r="C40" s="18" t="s">
        <v>2731</v>
      </c>
      <c r="D40" s="18" t="s">
        <v>2781</v>
      </c>
      <c r="E40" s="18" t="s">
        <v>2798</v>
      </c>
      <c r="F40" s="22" t="n">
        <v>3</v>
      </c>
      <c r="G40" s="22" t="n">
        <v>1</v>
      </c>
      <c r="H40" s="23" t="n">
        <v>13000</v>
      </c>
      <c r="I40" s="18" t="s">
        <v>242</v>
      </c>
      <c r="J40" s="18" t="s">
        <v>2728</v>
      </c>
      <c r="K40" s="19" t="n">
        <v>46156</v>
      </c>
      <c r="L40" s="19" t="n">
        <v>46223</v>
      </c>
      <c r="M40" s="18" t="s">
        <v>2799</v>
      </c>
      <c r="N40" s="21" t="str">
        <f aca="false">IFERROR(INDEX(Resources!$B$2:$B$500,MATCH(I40,Resources!$A$2:$A$500,0)),"")</f>
        <v>Ethan Park</v>
      </c>
      <c r="O40" s="13" t="n">
        <f aca="false">F40*G40</f>
        <v>3</v>
      </c>
      <c r="P40" s="12" t="str">
        <f aca="false">IF(O40&gt;=RiskCriticalScore,"Critical",IF(O40&gt;=RiskHighScore,"High",IF(O40&gt;=RiskMediumScore,"Medium","Low")))</f>
        <v>Low</v>
      </c>
      <c r="Q40" s="14" t="n">
        <f aca="false">H40*F40/5</f>
        <v>7800</v>
      </c>
      <c r="R40" s="13" t="n">
        <f aca="false">IF(J40="Closed",0,AsOfDate-K40)</f>
        <v>120</v>
      </c>
      <c r="S40" s="12" t="str">
        <f aca="false">IF(AND(J40&lt;&gt;"Closed",AsOfDate&gt;L40),"Yes","No")</f>
        <v>Yes</v>
      </c>
    </row>
    <row r="41" customFormat="false" ht="15" hidden="false" customHeight="false" outlineLevel="0" collapsed="false">
      <c r="A41" s="18" t="s">
        <v>2802</v>
      </c>
      <c r="B41" s="18" t="s">
        <v>249</v>
      </c>
      <c r="C41" s="18" t="s">
        <v>2731</v>
      </c>
      <c r="D41" s="18" t="s">
        <v>2761</v>
      </c>
      <c r="E41" s="18" t="s">
        <v>2762</v>
      </c>
      <c r="F41" s="22" t="n">
        <v>3</v>
      </c>
      <c r="G41" s="22" t="n">
        <v>3</v>
      </c>
      <c r="H41" s="23" t="n">
        <v>51000</v>
      </c>
      <c r="I41" s="18" t="s">
        <v>218</v>
      </c>
      <c r="J41" s="18" t="s">
        <v>2733</v>
      </c>
      <c r="K41" s="19" t="n">
        <v>46156</v>
      </c>
      <c r="L41" s="19" t="n">
        <v>46201</v>
      </c>
      <c r="M41" s="18" t="s">
        <v>2763</v>
      </c>
      <c r="N41" s="21" t="str">
        <f aca="false">IFERROR(INDEX(Resources!$B$2:$B$500,MATCH(I41,Resources!$A$2:$A$500,0)),"")</f>
        <v>Mei Fraser</v>
      </c>
      <c r="O41" s="13" t="n">
        <f aca="false">F41*G41</f>
        <v>9</v>
      </c>
      <c r="P41" s="12" t="str">
        <f aca="false">IF(O41&gt;=RiskCriticalScore,"Critical",IF(O41&gt;=RiskHighScore,"High",IF(O41&gt;=RiskMediumScore,"Medium","Low")))</f>
        <v>Medium</v>
      </c>
      <c r="Q41" s="14" t="n">
        <f aca="false">H41*F41/5</f>
        <v>30600</v>
      </c>
      <c r="R41" s="13" t="n">
        <f aca="false">IF(J41="Closed",0,AsOfDate-K41)</f>
        <v>120</v>
      </c>
      <c r="S41" s="12" t="str">
        <f aca="false">IF(AND(J41&lt;&gt;"Closed",AsOfDate&gt;L41),"Yes","No")</f>
        <v>Yes</v>
      </c>
    </row>
    <row r="42" customFormat="false" ht="15" hidden="false" customHeight="false" outlineLevel="0" collapsed="false">
      <c r="A42" s="18" t="s">
        <v>2803</v>
      </c>
      <c r="B42" s="18" t="s">
        <v>253</v>
      </c>
      <c r="C42" s="18" t="s">
        <v>2766</v>
      </c>
      <c r="D42" s="18" t="s">
        <v>2746</v>
      </c>
      <c r="E42" s="18" t="s">
        <v>2767</v>
      </c>
      <c r="F42" s="22" t="n">
        <v>4</v>
      </c>
      <c r="G42" s="22" t="n">
        <v>4</v>
      </c>
      <c r="H42" s="23" t="n">
        <v>135000</v>
      </c>
      <c r="I42" s="18" t="s">
        <v>231</v>
      </c>
      <c r="J42" s="18" t="s">
        <v>2737</v>
      </c>
      <c r="K42" s="19" t="n">
        <v>46165</v>
      </c>
      <c r="L42" s="19" t="n">
        <v>46201</v>
      </c>
      <c r="M42" s="18" t="s">
        <v>2768</v>
      </c>
      <c r="N42" s="21" t="str">
        <f aca="false">IFERROR(INDEX(Resources!$B$2:$B$500,MATCH(I42,Resources!$A$2:$A$500,0)),"")</f>
        <v>Fatima Cohen</v>
      </c>
      <c r="O42" s="13" t="n">
        <f aca="false">F42*G42</f>
        <v>16</v>
      </c>
      <c r="P42" s="12" t="str">
        <f aca="false">IF(O42&gt;=RiskCriticalScore,"Critical",IF(O42&gt;=RiskHighScore,"High",IF(O42&gt;=RiskMediumScore,"Medium","Low")))</f>
        <v>Critical</v>
      </c>
      <c r="Q42" s="14" t="n">
        <f aca="false">H42*F42/5</f>
        <v>108000</v>
      </c>
      <c r="R42" s="13" t="n">
        <f aca="false">IF(J42="Closed",0,AsOfDate-K42)</f>
        <v>0</v>
      </c>
      <c r="S42" s="12" t="str">
        <f aca="false">IF(AND(J42&lt;&gt;"Closed",AsOfDate&gt;L42),"Yes","No")</f>
        <v>No</v>
      </c>
    </row>
    <row r="43" customFormat="false" ht="15" hidden="false" customHeight="false" outlineLevel="0" collapsed="false">
      <c r="A43" s="18" t="s">
        <v>2804</v>
      </c>
      <c r="B43" s="18" t="s">
        <v>233</v>
      </c>
      <c r="C43" s="18" t="s">
        <v>2725</v>
      </c>
      <c r="D43" s="18" t="s">
        <v>2781</v>
      </c>
      <c r="E43" s="18" t="s">
        <v>2782</v>
      </c>
      <c r="F43" s="22" t="n">
        <v>5</v>
      </c>
      <c r="G43" s="22" t="n">
        <v>2</v>
      </c>
      <c r="H43" s="23" t="n">
        <v>21000</v>
      </c>
      <c r="I43" s="18" t="s">
        <v>420</v>
      </c>
      <c r="J43" s="18" t="s">
        <v>2733</v>
      </c>
      <c r="K43" s="19" t="n">
        <v>46170</v>
      </c>
      <c r="L43" s="19" t="n">
        <v>46205</v>
      </c>
      <c r="M43" s="18" t="s">
        <v>2783</v>
      </c>
      <c r="N43" s="21" t="str">
        <f aca="false">IFERROR(INDEX(Resources!$B$2:$B$500,MATCH(I43,Resources!$A$2:$A$500,0)),"")</f>
        <v>Felix Singh</v>
      </c>
      <c r="O43" s="13" t="n">
        <f aca="false">F43*G43</f>
        <v>10</v>
      </c>
      <c r="P43" s="12" t="str">
        <f aca="false">IF(O43&gt;=RiskCriticalScore,"Critical",IF(O43&gt;=RiskHighScore,"High",IF(O43&gt;=RiskMediumScore,"Medium","Low")))</f>
        <v>High</v>
      </c>
      <c r="Q43" s="14" t="n">
        <f aca="false">H43*F43/5</f>
        <v>21000</v>
      </c>
      <c r="R43" s="13" t="n">
        <f aca="false">IF(J43="Closed",0,AsOfDate-K43)</f>
        <v>106</v>
      </c>
      <c r="S43" s="12" t="str">
        <f aca="false">IF(AND(J43&lt;&gt;"Closed",AsOfDate&gt;L43),"Yes","No")</f>
        <v>Yes</v>
      </c>
    </row>
    <row r="44" customFormat="false" ht="15" hidden="false" customHeight="false" outlineLevel="0" collapsed="false">
      <c r="A44" s="18" t="s">
        <v>2805</v>
      </c>
      <c r="B44" s="18" t="s">
        <v>249</v>
      </c>
      <c r="C44" s="18" t="s">
        <v>2725</v>
      </c>
      <c r="D44" s="18" t="s">
        <v>2726</v>
      </c>
      <c r="E44" s="18" t="s">
        <v>2727</v>
      </c>
      <c r="F44" s="22" t="n">
        <v>5</v>
      </c>
      <c r="G44" s="22" t="n">
        <v>3</v>
      </c>
      <c r="H44" s="23" t="n">
        <v>40000</v>
      </c>
      <c r="I44" s="18" t="s">
        <v>403</v>
      </c>
      <c r="J44" s="18" t="s">
        <v>2733</v>
      </c>
      <c r="K44" s="19" t="n">
        <v>46174</v>
      </c>
      <c r="L44" s="19" t="n">
        <v>46218</v>
      </c>
      <c r="M44" s="18" t="s">
        <v>2729</v>
      </c>
      <c r="N44" s="21" t="str">
        <f aca="false">IFERROR(INDEX(Resources!$B$2:$B$500,MATCH(I44,Resources!$A$2:$A$500,0)),"")</f>
        <v>Grace Chowdhury</v>
      </c>
      <c r="O44" s="13" t="n">
        <f aca="false">F44*G44</f>
        <v>15</v>
      </c>
      <c r="P44" s="12" t="str">
        <f aca="false">IF(O44&gt;=RiskCriticalScore,"Critical",IF(O44&gt;=RiskHighScore,"High",IF(O44&gt;=RiskMediumScore,"Medium","Low")))</f>
        <v>Critical</v>
      </c>
      <c r="Q44" s="14" t="n">
        <f aca="false">H44*F44/5</f>
        <v>40000</v>
      </c>
      <c r="R44" s="13" t="n">
        <f aca="false">IF(J44="Closed",0,AsOfDate-K44)</f>
        <v>102</v>
      </c>
      <c r="S44" s="12" t="str">
        <f aca="false">IF(AND(J44&lt;&gt;"Closed",AsOfDate&gt;L44),"Yes","No")</f>
        <v>Yes</v>
      </c>
    </row>
    <row r="45" customFormat="false" ht="15" hidden="false" customHeight="false" outlineLevel="0" collapsed="false">
      <c r="A45" s="18" t="s">
        <v>2806</v>
      </c>
      <c r="B45" s="18" t="s">
        <v>233</v>
      </c>
      <c r="C45" s="18" t="s">
        <v>2731</v>
      </c>
      <c r="D45" s="18" t="s">
        <v>2741</v>
      </c>
      <c r="E45" s="18" t="s">
        <v>2742</v>
      </c>
      <c r="F45" s="22" t="n">
        <v>2</v>
      </c>
      <c r="G45" s="22" t="n">
        <v>3</v>
      </c>
      <c r="H45" s="23" t="n">
        <v>12000</v>
      </c>
      <c r="I45" s="18" t="s">
        <v>420</v>
      </c>
      <c r="J45" s="18" t="s">
        <v>2737</v>
      </c>
      <c r="K45" s="19" t="n">
        <v>46177</v>
      </c>
      <c r="L45" s="19" t="n">
        <v>46238</v>
      </c>
      <c r="M45" s="18" t="s">
        <v>2743</v>
      </c>
      <c r="N45" s="21" t="str">
        <f aca="false">IFERROR(INDEX(Resources!$B$2:$B$500,MATCH(I45,Resources!$A$2:$A$500,0)),"")</f>
        <v>Felix Singh</v>
      </c>
      <c r="O45" s="13" t="n">
        <f aca="false">F45*G45</f>
        <v>6</v>
      </c>
      <c r="P45" s="12" t="str">
        <f aca="false">IF(O45&gt;=RiskCriticalScore,"Critical",IF(O45&gt;=RiskHighScore,"High",IF(O45&gt;=RiskMediumScore,"Medium","Low")))</f>
        <v>Medium</v>
      </c>
      <c r="Q45" s="14" t="n">
        <f aca="false">H45*F45/5</f>
        <v>4800</v>
      </c>
      <c r="R45" s="13" t="n">
        <f aca="false">IF(J45="Closed",0,AsOfDate-K45)</f>
        <v>0</v>
      </c>
      <c r="S45" s="12" t="str">
        <f aca="false">IF(AND(J45&lt;&gt;"Closed",AsOfDate&gt;L45),"Yes","No")</f>
        <v>No</v>
      </c>
    </row>
    <row r="46" customFormat="false" ht="15" hidden="false" customHeight="false" outlineLevel="0" collapsed="false">
      <c r="A46" s="18" t="s">
        <v>2807</v>
      </c>
      <c r="B46" s="18" t="s">
        <v>261</v>
      </c>
      <c r="C46" s="18" t="s">
        <v>2731</v>
      </c>
      <c r="D46" s="18" t="s">
        <v>2755</v>
      </c>
      <c r="E46" s="18" t="s">
        <v>2756</v>
      </c>
      <c r="F46" s="22" t="n">
        <v>1</v>
      </c>
      <c r="G46" s="22" t="n">
        <v>3</v>
      </c>
      <c r="H46" s="23" t="n">
        <v>12000</v>
      </c>
      <c r="I46" s="18" t="s">
        <v>430</v>
      </c>
      <c r="J46" s="18" t="s">
        <v>2737</v>
      </c>
      <c r="K46" s="19" t="n">
        <v>46181</v>
      </c>
      <c r="L46" s="19" t="n">
        <v>46227</v>
      </c>
      <c r="M46" s="18" t="s">
        <v>2757</v>
      </c>
      <c r="N46" s="21" t="str">
        <f aca="false">IFERROR(INDEX(Resources!$B$2:$B$500,MATCH(I46,Resources!$A$2:$A$500,0)),"")</f>
        <v>Leila Nguyen</v>
      </c>
      <c r="O46" s="13" t="n">
        <f aca="false">F46*G46</f>
        <v>3</v>
      </c>
      <c r="P46" s="12" t="str">
        <f aca="false">IF(O46&gt;=RiskCriticalScore,"Critical",IF(O46&gt;=RiskHighScore,"High",IF(O46&gt;=RiskMediumScore,"Medium","Low")))</f>
        <v>Low</v>
      </c>
      <c r="Q46" s="14" t="n">
        <f aca="false">H46*F46/5</f>
        <v>2400</v>
      </c>
      <c r="R46" s="13" t="n">
        <f aca="false">IF(J46="Closed",0,AsOfDate-K46)</f>
        <v>0</v>
      </c>
      <c r="S46" s="12" t="str">
        <f aca="false">IF(AND(J46&lt;&gt;"Closed",AsOfDate&gt;L46),"Yes","No")</f>
        <v>No</v>
      </c>
    </row>
    <row r="47" customFormat="false" ht="15" hidden="false" customHeight="false" outlineLevel="0" collapsed="false">
      <c r="A47" s="18" t="s">
        <v>2808</v>
      </c>
      <c r="B47" s="18" t="s">
        <v>228</v>
      </c>
      <c r="C47" s="18" t="s">
        <v>2772</v>
      </c>
      <c r="D47" s="18" t="s">
        <v>1013</v>
      </c>
      <c r="E47" s="18" t="s">
        <v>2773</v>
      </c>
      <c r="F47" s="22" t="n">
        <v>4</v>
      </c>
      <c r="G47" s="22" t="n">
        <v>3</v>
      </c>
      <c r="H47" s="23" t="n">
        <v>143000</v>
      </c>
      <c r="I47" s="18" t="s">
        <v>231</v>
      </c>
      <c r="J47" s="18" t="s">
        <v>2728</v>
      </c>
      <c r="K47" s="19" t="n">
        <v>46186</v>
      </c>
      <c r="L47" s="19" t="n">
        <v>46239</v>
      </c>
      <c r="M47" s="18" t="s">
        <v>2774</v>
      </c>
      <c r="N47" s="21" t="str">
        <f aca="false">IFERROR(INDEX(Resources!$B$2:$B$500,MATCH(I47,Resources!$A$2:$A$500,0)),"")</f>
        <v>Fatima Cohen</v>
      </c>
      <c r="O47" s="13" t="n">
        <f aca="false">F47*G47</f>
        <v>12</v>
      </c>
      <c r="P47" s="12" t="str">
        <f aca="false">IF(O47&gt;=RiskCriticalScore,"Critical",IF(O47&gt;=RiskHighScore,"High",IF(O47&gt;=RiskMediumScore,"Medium","Low")))</f>
        <v>High</v>
      </c>
      <c r="Q47" s="14" t="n">
        <f aca="false">H47*F47/5</f>
        <v>114400</v>
      </c>
      <c r="R47" s="13" t="n">
        <f aca="false">IF(J47="Closed",0,AsOfDate-K47)</f>
        <v>90</v>
      </c>
      <c r="S47" s="12" t="str">
        <f aca="false">IF(AND(J47&lt;&gt;"Closed",AsOfDate&gt;L47),"Yes","No")</f>
        <v>Yes</v>
      </c>
    </row>
    <row r="48" customFormat="false" ht="15" hidden="false" customHeight="false" outlineLevel="0" collapsed="false">
      <c r="A48" s="18" t="s">
        <v>2809</v>
      </c>
      <c r="B48" s="18" t="s">
        <v>267</v>
      </c>
      <c r="C48" s="18" t="s">
        <v>2725</v>
      </c>
      <c r="D48" s="18" t="s">
        <v>2755</v>
      </c>
      <c r="E48" s="18" t="s">
        <v>2785</v>
      </c>
      <c r="F48" s="22" t="n">
        <v>5</v>
      </c>
      <c r="G48" s="22" t="n">
        <v>3</v>
      </c>
      <c r="H48" s="23" t="n">
        <v>40000</v>
      </c>
      <c r="I48" s="18" t="s">
        <v>489</v>
      </c>
      <c r="J48" s="18" t="s">
        <v>2733</v>
      </c>
      <c r="K48" s="19" t="n">
        <v>46188</v>
      </c>
      <c r="L48" s="19" t="n">
        <v>46255</v>
      </c>
      <c r="M48" s="18" t="s">
        <v>2786</v>
      </c>
      <c r="N48" s="21" t="str">
        <f aca="false">IFERROR(INDEX(Resources!$B$2:$B$500,MATCH(I48,Resources!$A$2:$A$500,0)),"")</f>
        <v>Jonah Lee</v>
      </c>
      <c r="O48" s="13" t="n">
        <f aca="false">F48*G48</f>
        <v>15</v>
      </c>
      <c r="P48" s="12" t="str">
        <f aca="false">IF(O48&gt;=RiskCriticalScore,"Critical",IF(O48&gt;=RiskHighScore,"High",IF(O48&gt;=RiskMediumScore,"Medium","Low")))</f>
        <v>Critical</v>
      </c>
      <c r="Q48" s="14" t="n">
        <f aca="false">H48*F48/5</f>
        <v>40000</v>
      </c>
      <c r="R48" s="13" t="n">
        <f aca="false">IF(J48="Closed",0,AsOfDate-K48)</f>
        <v>88</v>
      </c>
      <c r="S48" s="12" t="str">
        <f aca="false">IF(AND(J48&lt;&gt;"Closed",AsOfDate&gt;L48),"Yes","No")</f>
        <v>Yes</v>
      </c>
    </row>
    <row r="49" customFormat="false" ht="15" hidden="false" customHeight="false" outlineLevel="0" collapsed="false">
      <c r="A49" s="18" t="s">
        <v>2810</v>
      </c>
      <c r="B49" s="18" t="s">
        <v>207</v>
      </c>
      <c r="C49" s="18" t="s">
        <v>2731</v>
      </c>
      <c r="D49" s="18" t="s">
        <v>1013</v>
      </c>
      <c r="E49" s="18" t="s">
        <v>2732</v>
      </c>
      <c r="F49" s="22" t="n">
        <v>3</v>
      </c>
      <c r="G49" s="22" t="n">
        <v>4</v>
      </c>
      <c r="H49" s="23" t="n">
        <v>31000</v>
      </c>
      <c r="I49" s="18" t="s">
        <v>393</v>
      </c>
      <c r="J49" s="18" t="s">
        <v>2728</v>
      </c>
      <c r="K49" s="19" t="n">
        <v>46189</v>
      </c>
      <c r="L49" s="19" t="n">
        <v>46206</v>
      </c>
      <c r="M49" s="18" t="s">
        <v>2734</v>
      </c>
      <c r="N49" s="21" t="str">
        <f aca="false">IFERROR(INDEX(Resources!$B$2:$B$500,MATCH(I49,Resources!$A$2:$A$500,0)),"")</f>
        <v>Isabel Gill</v>
      </c>
      <c r="O49" s="13" t="n">
        <f aca="false">F49*G49</f>
        <v>12</v>
      </c>
      <c r="P49" s="12" t="str">
        <f aca="false">IF(O49&gt;=RiskCriticalScore,"Critical",IF(O49&gt;=RiskHighScore,"High",IF(O49&gt;=RiskMediumScore,"Medium","Low")))</f>
        <v>High</v>
      </c>
      <c r="Q49" s="14" t="n">
        <f aca="false">H49*F49/5</f>
        <v>18600</v>
      </c>
      <c r="R49" s="13" t="n">
        <f aca="false">IF(J49="Closed",0,AsOfDate-K49)</f>
        <v>87</v>
      </c>
      <c r="S49" s="12" t="str">
        <f aca="false">IF(AND(J49&lt;&gt;"Closed",AsOfDate&gt;L49),"Yes","No")</f>
        <v>Yes</v>
      </c>
    </row>
    <row r="50" customFormat="false" ht="15" hidden="false" customHeight="false" outlineLevel="0" collapsed="false">
      <c r="A50" s="18" t="s">
        <v>2811</v>
      </c>
      <c r="B50" s="18" t="s">
        <v>233</v>
      </c>
      <c r="C50" s="18" t="s">
        <v>2731</v>
      </c>
      <c r="D50" s="18" t="s">
        <v>2726</v>
      </c>
      <c r="E50" s="18" t="s">
        <v>2736</v>
      </c>
      <c r="F50" s="22" t="n">
        <v>1</v>
      </c>
      <c r="G50" s="22" t="n">
        <v>3</v>
      </c>
      <c r="H50" s="23" t="n">
        <v>23000</v>
      </c>
      <c r="I50" s="18" t="s">
        <v>420</v>
      </c>
      <c r="J50" s="18" t="s">
        <v>2737</v>
      </c>
      <c r="K50" s="19" t="n">
        <v>46189</v>
      </c>
      <c r="L50" s="19" t="n">
        <v>46214</v>
      </c>
      <c r="M50" s="18" t="s">
        <v>2738</v>
      </c>
      <c r="N50" s="21" t="str">
        <f aca="false">IFERROR(INDEX(Resources!$B$2:$B$500,MATCH(I50,Resources!$A$2:$A$500,0)),"")</f>
        <v>Felix Singh</v>
      </c>
      <c r="O50" s="13" t="n">
        <f aca="false">F50*G50</f>
        <v>3</v>
      </c>
      <c r="P50" s="12" t="str">
        <f aca="false">IF(O50&gt;=RiskCriticalScore,"Critical",IF(O50&gt;=RiskHighScore,"High",IF(O50&gt;=RiskMediumScore,"Medium","Low")))</f>
        <v>Low</v>
      </c>
      <c r="Q50" s="14" t="n">
        <f aca="false">H50*F50/5</f>
        <v>4600</v>
      </c>
      <c r="R50" s="13" t="n">
        <f aca="false">IF(J50="Closed",0,AsOfDate-K50)</f>
        <v>0</v>
      </c>
      <c r="S50" s="12" t="str">
        <f aca="false">IF(AND(J50&lt;&gt;"Closed",AsOfDate&gt;L50),"Yes","No")</f>
        <v>No</v>
      </c>
    </row>
    <row r="51" customFormat="false" ht="15" hidden="false" customHeight="false" outlineLevel="0" collapsed="false">
      <c r="A51" s="18" t="s">
        <v>2812</v>
      </c>
      <c r="B51" s="18" t="s">
        <v>239</v>
      </c>
      <c r="C51" s="18" t="s">
        <v>2731</v>
      </c>
      <c r="D51" s="18" t="s">
        <v>2726</v>
      </c>
      <c r="E51" s="18" t="s">
        <v>2751</v>
      </c>
      <c r="F51" s="22" t="n">
        <v>3</v>
      </c>
      <c r="G51" s="22" t="n">
        <v>3</v>
      </c>
      <c r="H51" s="23" t="n">
        <v>25000</v>
      </c>
      <c r="I51" s="18" t="s">
        <v>496</v>
      </c>
      <c r="J51" s="18" t="s">
        <v>2728</v>
      </c>
      <c r="K51" s="19" t="n">
        <v>46192</v>
      </c>
      <c r="L51" s="19" t="n">
        <v>46234</v>
      </c>
      <c r="M51" s="18" t="s">
        <v>2752</v>
      </c>
      <c r="N51" s="21" t="str">
        <f aca="false">IFERROR(INDEX(Resources!$B$2:$B$500,MATCH(I51,Resources!$A$2:$A$500,0)),"")</f>
        <v>Callum Dubois</v>
      </c>
      <c r="O51" s="13" t="n">
        <f aca="false">F51*G51</f>
        <v>9</v>
      </c>
      <c r="P51" s="12" t="str">
        <f aca="false">IF(O51&gt;=RiskCriticalScore,"Critical",IF(O51&gt;=RiskHighScore,"High",IF(O51&gt;=RiskMediumScore,"Medium","Low")))</f>
        <v>Medium</v>
      </c>
      <c r="Q51" s="14" t="n">
        <f aca="false">H51*F51/5</f>
        <v>15000</v>
      </c>
      <c r="R51" s="13" t="n">
        <f aca="false">IF(J51="Closed",0,AsOfDate-K51)</f>
        <v>84</v>
      </c>
      <c r="S51" s="12" t="str">
        <f aca="false">IF(AND(J51&lt;&gt;"Closed",AsOfDate&gt;L51),"Yes","No")</f>
        <v>Yes</v>
      </c>
    </row>
    <row r="52" customFormat="false" ht="15" hidden="false" customHeight="false" outlineLevel="0" collapsed="false">
      <c r="A52" s="18" t="s">
        <v>2813</v>
      </c>
      <c r="B52" s="18" t="s">
        <v>228</v>
      </c>
      <c r="C52" s="18" t="s">
        <v>2731</v>
      </c>
      <c r="D52" s="18" t="s">
        <v>2781</v>
      </c>
      <c r="E52" s="18" t="s">
        <v>2798</v>
      </c>
      <c r="F52" s="22" t="n">
        <v>4</v>
      </c>
      <c r="G52" s="22" t="n">
        <v>3</v>
      </c>
      <c r="H52" s="23" t="n">
        <v>31000</v>
      </c>
      <c r="I52" s="18" t="s">
        <v>354</v>
      </c>
      <c r="J52" s="18" t="s">
        <v>2737</v>
      </c>
      <c r="K52" s="19" t="n">
        <v>46201</v>
      </c>
      <c r="L52" s="19" t="n">
        <v>46274</v>
      </c>
      <c r="M52" s="18" t="s">
        <v>2799</v>
      </c>
      <c r="N52" s="21" t="str">
        <f aca="false">IFERROR(INDEX(Resources!$B$2:$B$500,MATCH(I52,Resources!$A$2:$A$500,0)),"")</f>
        <v>Mateo Bianchi</v>
      </c>
      <c r="O52" s="13" t="n">
        <f aca="false">F52*G52</f>
        <v>12</v>
      </c>
      <c r="P52" s="12" t="str">
        <f aca="false">IF(O52&gt;=RiskCriticalScore,"Critical",IF(O52&gt;=RiskHighScore,"High",IF(O52&gt;=RiskMediumScore,"Medium","Low")))</f>
        <v>High</v>
      </c>
      <c r="Q52" s="14" t="n">
        <f aca="false">H52*F52/5</f>
        <v>24800</v>
      </c>
      <c r="R52" s="13" t="n">
        <f aca="false">IF(J52="Closed",0,AsOfDate-K52)</f>
        <v>0</v>
      </c>
      <c r="S52" s="12" t="str">
        <f aca="false">IF(AND(J52&lt;&gt;"Closed",AsOfDate&gt;L52),"Yes","No")</f>
        <v>No</v>
      </c>
    </row>
    <row r="53" customFormat="false" ht="15" hidden="false" customHeight="false" outlineLevel="0" collapsed="false">
      <c r="A53" s="18" t="s">
        <v>2814</v>
      </c>
      <c r="B53" s="18" t="s">
        <v>275</v>
      </c>
      <c r="C53" s="18" t="s">
        <v>2731</v>
      </c>
      <c r="D53" s="18" t="s">
        <v>2741</v>
      </c>
      <c r="E53" s="18" t="s">
        <v>2742</v>
      </c>
      <c r="F53" s="22" t="n">
        <v>3</v>
      </c>
      <c r="G53" s="22" t="n">
        <v>2</v>
      </c>
      <c r="H53" s="23" t="n">
        <v>85000</v>
      </c>
      <c r="I53" s="18" t="s">
        <v>371</v>
      </c>
      <c r="J53" s="18" t="s">
        <v>2733</v>
      </c>
      <c r="K53" s="19" t="n">
        <v>46202</v>
      </c>
      <c r="L53" s="19" t="n">
        <v>46254</v>
      </c>
      <c r="M53" s="18" t="s">
        <v>2743</v>
      </c>
      <c r="N53" s="21" t="str">
        <f aca="false">IFERROR(INDEX(Resources!$B$2:$B$500,MATCH(I53,Resources!$A$2:$A$500,0)),"")</f>
        <v>Amara Martin</v>
      </c>
      <c r="O53" s="13" t="n">
        <f aca="false">F53*G53</f>
        <v>6</v>
      </c>
      <c r="P53" s="12" t="str">
        <f aca="false">IF(O53&gt;=RiskCriticalScore,"Critical",IF(O53&gt;=RiskHighScore,"High",IF(O53&gt;=RiskMediumScore,"Medium","Low")))</f>
        <v>Medium</v>
      </c>
      <c r="Q53" s="14" t="n">
        <f aca="false">H53*F53/5</f>
        <v>51000</v>
      </c>
      <c r="R53" s="13" t="n">
        <f aca="false">IF(J53="Closed",0,AsOfDate-K53)</f>
        <v>74</v>
      </c>
      <c r="S53" s="12" t="str">
        <f aca="false">IF(AND(J53&lt;&gt;"Closed",AsOfDate&gt;L53),"Yes","No")</f>
        <v>Yes</v>
      </c>
    </row>
    <row r="54" customFormat="false" ht="15" hidden="false" customHeight="false" outlineLevel="0" collapsed="false">
      <c r="A54" s="18" t="s">
        <v>2815</v>
      </c>
      <c r="B54" s="18" t="s">
        <v>270</v>
      </c>
      <c r="C54" s="18" t="s">
        <v>2731</v>
      </c>
      <c r="D54" s="18" t="s">
        <v>2755</v>
      </c>
      <c r="E54" s="18" t="s">
        <v>2756</v>
      </c>
      <c r="F54" s="22" t="n">
        <v>3</v>
      </c>
      <c r="G54" s="22" t="n">
        <v>1</v>
      </c>
      <c r="H54" s="23" t="n">
        <v>39000</v>
      </c>
      <c r="I54" s="18" t="s">
        <v>363</v>
      </c>
      <c r="J54" s="18" t="s">
        <v>2728</v>
      </c>
      <c r="K54" s="19" t="n">
        <v>46206</v>
      </c>
      <c r="L54" s="19" t="n">
        <v>46263</v>
      </c>
      <c r="M54" s="18" t="s">
        <v>2757</v>
      </c>
      <c r="N54" s="21" t="str">
        <f aca="false">IFERROR(INDEX(Resources!$B$2:$B$500,MATCH(I54,Resources!$A$2:$A$500,0)),"")</f>
        <v>Zara Vasquez</v>
      </c>
      <c r="O54" s="13" t="n">
        <f aca="false">F54*G54</f>
        <v>3</v>
      </c>
      <c r="P54" s="12" t="str">
        <f aca="false">IF(O54&gt;=RiskCriticalScore,"Critical",IF(O54&gt;=RiskHighScore,"High",IF(O54&gt;=RiskMediumScore,"Medium","Low")))</f>
        <v>Low</v>
      </c>
      <c r="Q54" s="14" t="n">
        <f aca="false">H54*F54/5</f>
        <v>23400</v>
      </c>
      <c r="R54" s="13" t="n">
        <f aca="false">IF(J54="Closed",0,AsOfDate-K54)</f>
        <v>70</v>
      </c>
      <c r="S54" s="12" t="str">
        <f aca="false">IF(AND(J54&lt;&gt;"Closed",AsOfDate&gt;L54),"Yes","No")</f>
        <v>Yes</v>
      </c>
    </row>
    <row r="55" customFormat="false" ht="15" hidden="false" customHeight="false" outlineLevel="0" collapsed="false">
      <c r="A55" s="18" t="s">
        <v>2816</v>
      </c>
      <c r="B55" s="18" t="s">
        <v>228</v>
      </c>
      <c r="C55" s="18" t="s">
        <v>2731</v>
      </c>
      <c r="D55" s="18" t="s">
        <v>2755</v>
      </c>
      <c r="E55" s="18" t="s">
        <v>2756</v>
      </c>
      <c r="F55" s="22" t="n">
        <v>4</v>
      </c>
      <c r="G55" s="22" t="n">
        <v>2</v>
      </c>
      <c r="H55" s="23" t="n">
        <v>51000</v>
      </c>
      <c r="I55" s="18" t="s">
        <v>462</v>
      </c>
      <c r="J55" s="18" t="s">
        <v>2733</v>
      </c>
      <c r="K55" s="19" t="n">
        <v>46208</v>
      </c>
      <c r="L55" s="19" t="n">
        <v>46276</v>
      </c>
      <c r="M55" s="18" t="s">
        <v>2757</v>
      </c>
      <c r="N55" s="21" t="str">
        <f aca="false">IFERROR(INDEX(Resources!$B$2:$B$500,MATCH(I55,Resources!$A$2:$A$500,0)),"")</f>
        <v>Ayesha Schmidt</v>
      </c>
      <c r="O55" s="13" t="n">
        <f aca="false">F55*G55</f>
        <v>8</v>
      </c>
      <c r="P55" s="12" t="str">
        <f aca="false">IF(O55&gt;=RiskCriticalScore,"Critical",IF(O55&gt;=RiskHighScore,"High",IF(O55&gt;=RiskMediumScore,"Medium","Low")))</f>
        <v>Medium</v>
      </c>
      <c r="Q55" s="14" t="n">
        <f aca="false">H55*F55/5</f>
        <v>40800</v>
      </c>
      <c r="R55" s="13" t="n">
        <f aca="false">IF(J55="Closed",0,AsOfDate-K55)</f>
        <v>68</v>
      </c>
      <c r="S55" s="12" t="str">
        <f aca="false">IF(AND(J55&lt;&gt;"Closed",AsOfDate&gt;L55),"Yes","No")</f>
        <v>No</v>
      </c>
    </row>
    <row r="56" customFormat="false" ht="15" hidden="false" customHeight="false" outlineLevel="0" collapsed="false">
      <c r="A56" s="18" t="s">
        <v>2817</v>
      </c>
      <c r="B56" s="18" t="s">
        <v>207</v>
      </c>
      <c r="C56" s="18" t="s">
        <v>2772</v>
      </c>
      <c r="D56" s="18" t="s">
        <v>1013</v>
      </c>
      <c r="E56" s="18" t="s">
        <v>2773</v>
      </c>
      <c r="F56" s="22" t="n">
        <v>4</v>
      </c>
      <c r="G56" s="22" t="n">
        <v>5</v>
      </c>
      <c r="H56" s="23" t="n">
        <v>59000</v>
      </c>
      <c r="I56" s="18" t="s">
        <v>393</v>
      </c>
      <c r="J56" s="18" t="s">
        <v>2728</v>
      </c>
      <c r="K56" s="19" t="n">
        <v>46217</v>
      </c>
      <c r="L56" s="19" t="n">
        <v>46285</v>
      </c>
      <c r="M56" s="18" t="s">
        <v>2774</v>
      </c>
      <c r="N56" s="21" t="str">
        <f aca="false">IFERROR(INDEX(Resources!$B$2:$B$500,MATCH(I56,Resources!$A$2:$A$500,0)),"")</f>
        <v>Isabel Gill</v>
      </c>
      <c r="O56" s="13" t="n">
        <f aca="false">F56*G56</f>
        <v>20</v>
      </c>
      <c r="P56" s="12" t="str">
        <f aca="false">IF(O56&gt;=RiskCriticalScore,"Critical",IF(O56&gt;=RiskHighScore,"High",IF(O56&gt;=RiskMediumScore,"Medium","Low")))</f>
        <v>Critical</v>
      </c>
      <c r="Q56" s="14" t="n">
        <f aca="false">H56*F56/5</f>
        <v>47200</v>
      </c>
      <c r="R56" s="13" t="n">
        <f aca="false">IF(J56="Closed",0,AsOfDate-K56)</f>
        <v>59</v>
      </c>
      <c r="S56" s="12" t="str">
        <f aca="false">IF(AND(J56&lt;&gt;"Closed",AsOfDate&gt;L56),"Yes","No")</f>
        <v>No</v>
      </c>
    </row>
    <row r="57" customFormat="false" ht="15" hidden="false" customHeight="false" outlineLevel="0" collapsed="false">
      <c r="A57" s="18" t="s">
        <v>2818</v>
      </c>
      <c r="B57" s="18" t="s">
        <v>244</v>
      </c>
      <c r="C57" s="18" t="s">
        <v>2731</v>
      </c>
      <c r="D57" s="18" t="s">
        <v>2781</v>
      </c>
      <c r="E57" s="18" t="s">
        <v>2798</v>
      </c>
      <c r="F57" s="22" t="n">
        <v>1</v>
      </c>
      <c r="G57" s="22" t="n">
        <v>3</v>
      </c>
      <c r="H57" s="23" t="n">
        <v>57000</v>
      </c>
      <c r="I57" s="18" t="s">
        <v>247</v>
      </c>
      <c r="J57" s="18" t="s">
        <v>2737</v>
      </c>
      <c r="K57" s="19" t="n">
        <v>46224</v>
      </c>
      <c r="L57" s="19" t="n">
        <v>46246</v>
      </c>
      <c r="M57" s="18" t="s">
        <v>2799</v>
      </c>
      <c r="N57" s="21" t="str">
        <f aca="false">IFERROR(INDEX(Resources!$B$2:$B$500,MATCH(I57,Resources!$A$2:$A$500,0)),"")</f>
        <v>Arjun Baptiste</v>
      </c>
      <c r="O57" s="13" t="n">
        <f aca="false">F57*G57</f>
        <v>3</v>
      </c>
      <c r="P57" s="12" t="str">
        <f aca="false">IF(O57&gt;=RiskCriticalScore,"Critical",IF(O57&gt;=RiskHighScore,"High",IF(O57&gt;=RiskMediumScore,"Medium","Low")))</f>
        <v>Low</v>
      </c>
      <c r="Q57" s="14" t="n">
        <f aca="false">H57*F57/5</f>
        <v>11400</v>
      </c>
      <c r="R57" s="13" t="n">
        <f aca="false">IF(J57="Closed",0,AsOfDate-K57)</f>
        <v>0</v>
      </c>
      <c r="S57" s="12" t="str">
        <f aca="false">IF(AND(J57&lt;&gt;"Closed",AsOfDate&gt;L57),"Yes","No")</f>
        <v>No</v>
      </c>
    </row>
    <row r="58" customFormat="false" ht="15" hidden="false" customHeight="false" outlineLevel="0" collapsed="false">
      <c r="A58" s="18" t="s">
        <v>2819</v>
      </c>
      <c r="B58" s="18" t="s">
        <v>275</v>
      </c>
      <c r="C58" s="18" t="s">
        <v>2725</v>
      </c>
      <c r="D58" s="18" t="s">
        <v>2781</v>
      </c>
      <c r="E58" s="18" t="s">
        <v>2782</v>
      </c>
      <c r="F58" s="22" t="n">
        <v>5</v>
      </c>
      <c r="G58" s="22" t="n">
        <v>2</v>
      </c>
      <c r="H58" s="23" t="n">
        <v>167000</v>
      </c>
      <c r="I58" s="18" t="s">
        <v>439</v>
      </c>
      <c r="J58" s="18" t="s">
        <v>2728</v>
      </c>
      <c r="K58" s="19" t="n">
        <v>46230</v>
      </c>
      <c r="L58" s="19" t="n">
        <v>46272</v>
      </c>
      <c r="M58" s="18" t="s">
        <v>2783</v>
      </c>
      <c r="N58" s="21" t="str">
        <f aca="false">IFERROR(INDEX(Resources!$B$2:$B$500,MATCH(I58,Resources!$A$2:$A$500,0)),"")</f>
        <v>Victor Chen</v>
      </c>
      <c r="O58" s="13" t="n">
        <f aca="false">F58*G58</f>
        <v>10</v>
      </c>
      <c r="P58" s="12" t="str">
        <f aca="false">IF(O58&gt;=RiskCriticalScore,"Critical",IF(O58&gt;=RiskHighScore,"High",IF(O58&gt;=RiskMediumScore,"Medium","Low")))</f>
        <v>High</v>
      </c>
      <c r="Q58" s="14" t="n">
        <f aca="false">H58*F58/5</f>
        <v>167000</v>
      </c>
      <c r="R58" s="13" t="n">
        <f aca="false">IF(J58="Closed",0,AsOfDate-K58)</f>
        <v>46</v>
      </c>
      <c r="S58" s="12" t="str">
        <f aca="false">IF(AND(J58&lt;&gt;"Closed",AsOfDate&gt;L58),"Yes","No")</f>
        <v>Yes</v>
      </c>
    </row>
    <row r="59" customFormat="false" ht="15" hidden="false" customHeight="false" outlineLevel="0" collapsed="false">
      <c r="A59" s="18" t="s">
        <v>2820</v>
      </c>
      <c r="B59" s="18" t="s">
        <v>272</v>
      </c>
      <c r="C59" s="18" t="s">
        <v>2731</v>
      </c>
      <c r="D59" s="18" t="s">
        <v>1013</v>
      </c>
      <c r="E59" s="18" t="s">
        <v>2732</v>
      </c>
      <c r="F59" s="22" t="n">
        <v>3</v>
      </c>
      <c r="G59" s="22" t="n">
        <v>2</v>
      </c>
      <c r="H59" s="23" t="n">
        <v>53000</v>
      </c>
      <c r="I59" s="18" t="s">
        <v>492</v>
      </c>
      <c r="J59" s="18" t="s">
        <v>2733</v>
      </c>
      <c r="K59" s="19" t="n">
        <v>46238</v>
      </c>
      <c r="L59" s="19" t="n">
        <v>46279</v>
      </c>
      <c r="M59" s="18" t="s">
        <v>2734</v>
      </c>
      <c r="N59" s="21" t="str">
        <f aca="false">IFERROR(INDEX(Resources!$B$2:$B$500,MATCH(I59,Resources!$A$2:$A$500,0)),"")</f>
        <v>Mariam Brooks</v>
      </c>
      <c r="O59" s="13" t="n">
        <f aca="false">F59*G59</f>
        <v>6</v>
      </c>
      <c r="P59" s="12" t="str">
        <f aca="false">IF(O59&gt;=RiskCriticalScore,"Critical",IF(O59&gt;=RiskHighScore,"High",IF(O59&gt;=RiskMediumScore,"Medium","Low")))</f>
        <v>Medium</v>
      </c>
      <c r="Q59" s="14" t="n">
        <f aca="false">H59*F59/5</f>
        <v>31800</v>
      </c>
      <c r="R59" s="13" t="n">
        <f aca="false">IF(J59="Closed",0,AsOfDate-K59)</f>
        <v>38</v>
      </c>
      <c r="S59" s="12" t="str">
        <f aca="false">IF(AND(J59&lt;&gt;"Closed",AsOfDate&gt;L59),"Yes","No")</f>
        <v>No</v>
      </c>
    </row>
    <row r="60" customFormat="false" ht="15" hidden="false" customHeight="false" outlineLevel="0" collapsed="false">
      <c r="A60" s="18" t="s">
        <v>2821</v>
      </c>
      <c r="B60" s="18" t="s">
        <v>222</v>
      </c>
      <c r="C60" s="18" t="s">
        <v>2725</v>
      </c>
      <c r="D60" s="18" t="s">
        <v>2726</v>
      </c>
      <c r="E60" s="18" t="s">
        <v>2727</v>
      </c>
      <c r="F60" s="22" t="n">
        <v>5</v>
      </c>
      <c r="G60" s="22" t="n">
        <v>4</v>
      </c>
      <c r="H60" s="23" t="n">
        <v>33000</v>
      </c>
      <c r="I60" s="18" t="s">
        <v>395</v>
      </c>
      <c r="J60" s="18" t="s">
        <v>2733</v>
      </c>
      <c r="K60" s="19" t="n">
        <v>46242</v>
      </c>
      <c r="L60" s="19" t="n">
        <v>46309</v>
      </c>
      <c r="M60" s="18" t="s">
        <v>2729</v>
      </c>
      <c r="N60" s="21" t="str">
        <f aca="false">IFERROR(INDEX(Resources!$B$2:$B$500,MATCH(I60,Resources!$A$2:$A$500,0)),"")</f>
        <v>Kwame Malik</v>
      </c>
      <c r="O60" s="13" t="n">
        <f aca="false">F60*G60</f>
        <v>20</v>
      </c>
      <c r="P60" s="12" t="str">
        <f aca="false">IF(O60&gt;=RiskCriticalScore,"Critical",IF(O60&gt;=RiskHighScore,"High",IF(O60&gt;=RiskMediumScore,"Medium","Low")))</f>
        <v>Critical</v>
      </c>
      <c r="Q60" s="14" t="n">
        <f aca="false">H60*F60/5</f>
        <v>33000</v>
      </c>
      <c r="R60" s="13" t="n">
        <f aca="false">IF(J60="Closed",0,AsOfDate-K60)</f>
        <v>34</v>
      </c>
      <c r="S60" s="12" t="str">
        <f aca="false">IF(AND(J60&lt;&gt;"Closed",AsOfDate&gt;L60),"Yes","No")</f>
        <v>No</v>
      </c>
    </row>
    <row r="61" customFormat="false" ht="15" hidden="false" customHeight="false" outlineLevel="0" collapsed="false">
      <c r="A61" s="18" t="s">
        <v>2822</v>
      </c>
      <c r="B61" s="18" t="s">
        <v>261</v>
      </c>
      <c r="C61" s="18" t="s">
        <v>2766</v>
      </c>
      <c r="D61" s="18" t="s">
        <v>2746</v>
      </c>
      <c r="E61" s="18" t="s">
        <v>2767</v>
      </c>
      <c r="F61" s="22" t="n">
        <v>2</v>
      </c>
      <c r="G61" s="22" t="n">
        <v>3</v>
      </c>
      <c r="H61" s="23" t="n">
        <v>36000</v>
      </c>
      <c r="I61" s="18" t="s">
        <v>348</v>
      </c>
      <c r="J61" s="18" t="s">
        <v>2737</v>
      </c>
      <c r="K61" s="19" t="n">
        <v>46243</v>
      </c>
      <c r="L61" s="19" t="n">
        <v>46315</v>
      </c>
      <c r="M61" s="18" t="s">
        <v>2768</v>
      </c>
      <c r="N61" s="21" t="str">
        <f aca="false">IFERROR(INDEX(Resources!$B$2:$B$500,MATCH(I61,Resources!$A$2:$A$500,0)),"")</f>
        <v>Chloe Reyes</v>
      </c>
      <c r="O61" s="13" t="n">
        <f aca="false">F61*G61</f>
        <v>6</v>
      </c>
      <c r="P61" s="12" t="str">
        <f aca="false">IF(O61&gt;=RiskCriticalScore,"Critical",IF(O61&gt;=RiskHighScore,"High",IF(O61&gt;=RiskMediumScore,"Medium","Low")))</f>
        <v>Medium</v>
      </c>
      <c r="Q61" s="14" t="n">
        <f aca="false">H61*F61/5</f>
        <v>14400</v>
      </c>
      <c r="R61" s="13" t="n">
        <f aca="false">IF(J61="Closed",0,AsOfDate-K61)</f>
        <v>0</v>
      </c>
      <c r="S61" s="12" t="str">
        <f aca="false">IF(AND(J61&lt;&gt;"Closed",AsOfDate&gt;L61),"Yes","No")</f>
        <v>No</v>
      </c>
    </row>
    <row r="62" customFormat="false" ht="15" hidden="false" customHeight="false" outlineLevel="0" collapsed="false">
      <c r="A62" s="18" t="s">
        <v>2823</v>
      </c>
      <c r="B62" s="18" t="s">
        <v>215</v>
      </c>
      <c r="C62" s="18" t="s">
        <v>2731</v>
      </c>
      <c r="D62" s="18" t="s">
        <v>2746</v>
      </c>
      <c r="E62" s="18" t="s">
        <v>2747</v>
      </c>
      <c r="F62" s="22" t="n">
        <v>2</v>
      </c>
      <c r="G62" s="22" t="n">
        <v>5</v>
      </c>
      <c r="H62" s="23" t="n">
        <v>176000</v>
      </c>
      <c r="I62" s="18" t="s">
        <v>218</v>
      </c>
      <c r="J62" s="18" t="s">
        <v>2728</v>
      </c>
      <c r="K62" s="19" t="n">
        <v>46250</v>
      </c>
      <c r="L62" s="19" t="n">
        <v>46265</v>
      </c>
      <c r="M62" s="18" t="s">
        <v>2748</v>
      </c>
      <c r="N62" s="21" t="str">
        <f aca="false">IFERROR(INDEX(Resources!$B$2:$B$500,MATCH(I62,Resources!$A$2:$A$500,0)),"")</f>
        <v>Mei Fraser</v>
      </c>
      <c r="O62" s="13" t="n">
        <f aca="false">F62*G62</f>
        <v>10</v>
      </c>
      <c r="P62" s="12" t="str">
        <f aca="false">IF(O62&gt;=RiskCriticalScore,"Critical",IF(O62&gt;=RiskHighScore,"High",IF(O62&gt;=RiskMediumScore,"Medium","Low")))</f>
        <v>High</v>
      </c>
      <c r="Q62" s="14" t="n">
        <f aca="false">H62*F62/5</f>
        <v>70400</v>
      </c>
      <c r="R62" s="13" t="n">
        <f aca="false">IF(J62="Closed",0,AsOfDate-K62)</f>
        <v>26</v>
      </c>
      <c r="S62" s="12" t="str">
        <f aca="false">IF(AND(J62&lt;&gt;"Closed",AsOfDate&gt;L62),"Yes","No")</f>
        <v>Yes</v>
      </c>
    </row>
    <row r="63" customFormat="false" ht="15" hidden="false" customHeight="false" outlineLevel="0" collapsed="false">
      <c r="A63" s="18" t="s">
        <v>2824</v>
      </c>
      <c r="B63" s="18" t="s">
        <v>265</v>
      </c>
      <c r="C63" s="18" t="s">
        <v>2725</v>
      </c>
      <c r="D63" s="18" t="s">
        <v>2726</v>
      </c>
      <c r="E63" s="18" t="s">
        <v>2727</v>
      </c>
      <c r="F63" s="22" t="n">
        <v>5</v>
      </c>
      <c r="G63" s="22" t="n">
        <v>3</v>
      </c>
      <c r="H63" s="23" t="n">
        <v>35000</v>
      </c>
      <c r="I63" s="18" t="s">
        <v>403</v>
      </c>
      <c r="J63" s="18" t="s">
        <v>2737</v>
      </c>
      <c r="K63" s="19" t="n">
        <v>46254</v>
      </c>
      <c r="L63" s="19" t="n">
        <v>46312</v>
      </c>
      <c r="M63" s="18" t="s">
        <v>2729</v>
      </c>
      <c r="N63" s="21" t="str">
        <f aca="false">IFERROR(INDEX(Resources!$B$2:$B$500,MATCH(I63,Resources!$A$2:$A$500,0)),"")</f>
        <v>Grace Chowdhury</v>
      </c>
      <c r="O63" s="13" t="n">
        <f aca="false">F63*G63</f>
        <v>15</v>
      </c>
      <c r="P63" s="12" t="str">
        <f aca="false">IF(O63&gt;=RiskCriticalScore,"Critical",IF(O63&gt;=RiskHighScore,"High",IF(O63&gt;=RiskMediumScore,"Medium","Low")))</f>
        <v>Critical</v>
      </c>
      <c r="Q63" s="14" t="n">
        <f aca="false">H63*F63/5</f>
        <v>35000</v>
      </c>
      <c r="R63" s="13" t="n">
        <f aca="false">IF(J63="Closed",0,AsOfDate-K63)</f>
        <v>0</v>
      </c>
      <c r="S63" s="12" t="str">
        <f aca="false">IF(AND(J63&lt;&gt;"Closed",AsOfDate&gt;L63),"Yes","No")</f>
        <v>No</v>
      </c>
    </row>
    <row r="64" customFormat="false" ht="15" hidden="false" customHeight="false" outlineLevel="0" collapsed="false">
      <c r="A64" s="18" t="s">
        <v>2825</v>
      </c>
      <c r="B64" s="18" t="s">
        <v>257</v>
      </c>
      <c r="C64" s="18" t="s">
        <v>2731</v>
      </c>
      <c r="D64" s="18" t="s">
        <v>2781</v>
      </c>
      <c r="E64" s="18" t="s">
        <v>2798</v>
      </c>
      <c r="F64" s="22" t="n">
        <v>3</v>
      </c>
      <c r="G64" s="22" t="n">
        <v>1</v>
      </c>
      <c r="H64" s="23" t="n">
        <v>42000</v>
      </c>
      <c r="I64" s="18" t="s">
        <v>428</v>
      </c>
      <c r="J64" s="18" t="s">
        <v>2733</v>
      </c>
      <c r="K64" s="19" t="n">
        <v>46261</v>
      </c>
      <c r="L64" s="19" t="n">
        <v>46290</v>
      </c>
      <c r="M64" s="18" t="s">
        <v>2799</v>
      </c>
      <c r="N64" s="21" t="str">
        <f aca="false">IFERROR(INDEX(Resources!$B$2:$B$500,MATCH(I64,Resources!$A$2:$A$500,0)),"")</f>
        <v>Theo Siddiqui</v>
      </c>
      <c r="O64" s="13" t="n">
        <f aca="false">F64*G64</f>
        <v>3</v>
      </c>
      <c r="P64" s="12" t="str">
        <f aca="false">IF(O64&gt;=RiskCriticalScore,"Critical",IF(O64&gt;=RiskHighScore,"High",IF(O64&gt;=RiskMediumScore,"Medium","Low")))</f>
        <v>Low</v>
      </c>
      <c r="Q64" s="14" t="n">
        <f aca="false">H64*F64/5</f>
        <v>25200</v>
      </c>
      <c r="R64" s="13" t="n">
        <f aca="false">IF(J64="Closed",0,AsOfDate-K64)</f>
        <v>15</v>
      </c>
      <c r="S64" s="12" t="str">
        <f aca="false">IF(AND(J64&lt;&gt;"Closed",AsOfDate&gt;L64),"Yes","No")</f>
        <v>No</v>
      </c>
    </row>
    <row r="65" customFormat="false" ht="15" hidden="false" customHeight="false" outlineLevel="0" collapsed="false">
      <c r="A65" s="18" t="s">
        <v>2826</v>
      </c>
      <c r="B65" s="18" t="s">
        <v>207</v>
      </c>
      <c r="C65" s="18" t="s">
        <v>2731</v>
      </c>
      <c r="D65" s="18" t="s">
        <v>2726</v>
      </c>
      <c r="E65" s="18" t="s">
        <v>2751</v>
      </c>
      <c r="F65" s="22" t="n">
        <v>4</v>
      </c>
      <c r="G65" s="22" t="n">
        <v>5</v>
      </c>
      <c r="H65" s="23" t="n">
        <v>17000</v>
      </c>
      <c r="I65" s="18" t="s">
        <v>211</v>
      </c>
      <c r="J65" s="18" t="s">
        <v>2728</v>
      </c>
      <c r="K65" s="19" t="n">
        <v>46266</v>
      </c>
      <c r="L65" s="19" t="n">
        <v>46319</v>
      </c>
      <c r="M65" s="18" t="s">
        <v>2752</v>
      </c>
      <c r="N65" s="21" t="str">
        <f aca="false">IFERROR(INDEX(Resources!$B$2:$B$500,MATCH(I65,Resources!$A$2:$A$500,0)),"")</f>
        <v>Liam Roy</v>
      </c>
      <c r="O65" s="13" t="n">
        <f aca="false">F65*G65</f>
        <v>20</v>
      </c>
      <c r="P65" s="12" t="str">
        <f aca="false">IF(O65&gt;=RiskCriticalScore,"Critical",IF(O65&gt;=RiskHighScore,"High",IF(O65&gt;=RiskMediumScore,"Medium","Low")))</f>
        <v>Critical</v>
      </c>
      <c r="Q65" s="14" t="n">
        <f aca="false">H65*F65/5</f>
        <v>13600</v>
      </c>
      <c r="R65" s="13" t="n">
        <f aca="false">IF(J65="Closed",0,AsOfDate-K65)</f>
        <v>10</v>
      </c>
      <c r="S65" s="12" t="str">
        <f aca="false">IF(AND(J65&lt;&gt;"Closed",AsOfDate&gt;L65),"Yes","No")</f>
        <v>No</v>
      </c>
    </row>
    <row r="66" customFormat="false" ht="15" hidden="false" customHeight="false" outlineLevel="0" collapsed="false">
      <c r="A66" s="18" t="s">
        <v>2827</v>
      </c>
      <c r="B66" s="18" t="s">
        <v>275</v>
      </c>
      <c r="C66" s="18" t="s">
        <v>2766</v>
      </c>
      <c r="D66" s="18" t="s">
        <v>2746</v>
      </c>
      <c r="E66" s="18" t="s">
        <v>2767</v>
      </c>
      <c r="F66" s="22" t="n">
        <v>4</v>
      </c>
      <c r="G66" s="22" t="n">
        <v>2</v>
      </c>
      <c r="H66" s="23" t="n">
        <v>112000</v>
      </c>
      <c r="I66" s="18" t="s">
        <v>218</v>
      </c>
      <c r="J66" s="18" t="s">
        <v>2728</v>
      </c>
      <c r="K66" s="19" t="n">
        <v>46270</v>
      </c>
      <c r="L66" s="19" t="n">
        <v>46336</v>
      </c>
      <c r="M66" s="18" t="s">
        <v>2768</v>
      </c>
      <c r="N66" s="21" t="str">
        <f aca="false">IFERROR(INDEX(Resources!$B$2:$B$500,MATCH(I66,Resources!$A$2:$A$500,0)),"")</f>
        <v>Mei Fraser</v>
      </c>
      <c r="O66" s="13" t="n">
        <f aca="false">F66*G66</f>
        <v>8</v>
      </c>
      <c r="P66" s="12" t="str">
        <f aca="false">IF(O66&gt;=RiskCriticalScore,"Critical",IF(O66&gt;=RiskHighScore,"High",IF(O66&gt;=RiskMediumScore,"Medium","Low")))</f>
        <v>Medium</v>
      </c>
      <c r="Q66" s="14" t="n">
        <f aca="false">H66*F66/5</f>
        <v>89600</v>
      </c>
      <c r="R66" s="13" t="n">
        <f aca="false">IF(J66="Closed",0,AsOfDate-K66)</f>
        <v>6</v>
      </c>
      <c r="S66" s="12" t="str">
        <f aca="false">IF(AND(J66&lt;&gt;"Closed",AsOfDate&gt;L66),"Yes","No")</f>
        <v>No</v>
      </c>
    </row>
    <row r="67" customFormat="false" ht="15" hidden="false" customHeight="false" outlineLevel="0" collapsed="false">
      <c r="A67" s="18" t="s">
        <v>2828</v>
      </c>
      <c r="B67" s="18" t="s">
        <v>288</v>
      </c>
      <c r="C67" s="18" t="s">
        <v>2731</v>
      </c>
      <c r="D67" s="18" t="s">
        <v>1013</v>
      </c>
      <c r="E67" s="18" t="s">
        <v>2732</v>
      </c>
      <c r="F67" s="22" t="n">
        <v>2</v>
      </c>
      <c r="G67" s="22" t="n">
        <v>3</v>
      </c>
      <c r="H67" s="23" t="n">
        <v>12000</v>
      </c>
      <c r="I67" s="18" t="s">
        <v>420</v>
      </c>
      <c r="J67" s="18" t="s">
        <v>2728</v>
      </c>
      <c r="K67" s="19" t="n">
        <v>46273</v>
      </c>
      <c r="L67" s="19" t="n">
        <v>46334</v>
      </c>
      <c r="M67" s="18" t="s">
        <v>2734</v>
      </c>
      <c r="N67" s="21" t="str">
        <f aca="false">IFERROR(INDEX(Resources!$B$2:$B$500,MATCH(I67,Resources!$A$2:$A$500,0)),"")</f>
        <v>Felix Singh</v>
      </c>
      <c r="O67" s="13" t="n">
        <f aca="false">F67*G67</f>
        <v>6</v>
      </c>
      <c r="P67" s="12" t="str">
        <f aca="false">IF(O67&gt;=RiskCriticalScore,"Critical",IF(O67&gt;=RiskHighScore,"High",IF(O67&gt;=RiskMediumScore,"Medium","Low")))</f>
        <v>Medium</v>
      </c>
      <c r="Q67" s="14" t="n">
        <f aca="false">H67*F67/5</f>
        <v>4800</v>
      </c>
      <c r="R67" s="13" t="n">
        <f aca="false">IF(J67="Closed",0,AsOfDate-K67)</f>
        <v>3</v>
      </c>
      <c r="S67" s="12" t="str">
        <f aca="false">IF(AND(J67&lt;&gt;"Closed",AsOfDate&gt;L67),"Yes","No")</f>
        <v>No</v>
      </c>
    </row>
    <row r="68" customFormat="false" ht="15" hidden="false" customHeight="false" outlineLevel="0" collapsed="false">
      <c r="A68" s="18" t="s">
        <v>2829</v>
      </c>
      <c r="B68" s="18" t="s">
        <v>288</v>
      </c>
      <c r="C68" s="18" t="s">
        <v>2772</v>
      </c>
      <c r="D68" s="18" t="s">
        <v>1013</v>
      </c>
      <c r="E68" s="18" t="s">
        <v>2773</v>
      </c>
      <c r="F68" s="22" t="n">
        <v>3</v>
      </c>
      <c r="G68" s="22" t="n">
        <v>2</v>
      </c>
      <c r="H68" s="23" t="n">
        <v>22000</v>
      </c>
      <c r="I68" s="18" t="s">
        <v>496</v>
      </c>
      <c r="J68" s="18" t="s">
        <v>2733</v>
      </c>
      <c r="K68" s="19" t="n">
        <v>46273</v>
      </c>
      <c r="L68" s="19" t="n">
        <v>46296</v>
      </c>
      <c r="M68" s="18" t="s">
        <v>2774</v>
      </c>
      <c r="N68" s="21" t="str">
        <f aca="false">IFERROR(INDEX(Resources!$B$2:$B$500,MATCH(I68,Resources!$A$2:$A$500,0)),"")</f>
        <v>Callum Dubois</v>
      </c>
      <c r="O68" s="13" t="n">
        <f aca="false">F68*G68</f>
        <v>6</v>
      </c>
      <c r="P68" s="12" t="str">
        <f aca="false">IF(O68&gt;=RiskCriticalScore,"Critical",IF(O68&gt;=RiskHighScore,"High",IF(O68&gt;=RiskMediumScore,"Medium","Low")))</f>
        <v>Medium</v>
      </c>
      <c r="Q68" s="14" t="n">
        <f aca="false">H68*F68/5</f>
        <v>13200</v>
      </c>
      <c r="R68" s="13" t="n">
        <f aca="false">IF(J68="Closed",0,AsOfDate-K68)</f>
        <v>3</v>
      </c>
      <c r="S68" s="12" t="str">
        <f aca="false">IF(AND(J68&lt;&gt;"Closed",AsOfDate&gt;L68),"Yes","No")</f>
        <v>No</v>
      </c>
    </row>
    <row r="69" customFormat="false" ht="15" hidden="false" customHeight="false" outlineLevel="0" collapsed="false">
      <c r="A69" s="18" t="s">
        <v>2830</v>
      </c>
      <c r="B69" s="18" t="s">
        <v>292</v>
      </c>
      <c r="C69" s="18" t="s">
        <v>2731</v>
      </c>
      <c r="D69" s="18" t="s">
        <v>2755</v>
      </c>
      <c r="E69" s="18" t="s">
        <v>2756</v>
      </c>
      <c r="F69" s="22" t="n">
        <v>3</v>
      </c>
      <c r="G69" s="22" t="n">
        <v>3</v>
      </c>
      <c r="H69" s="23" t="n">
        <v>17000</v>
      </c>
      <c r="I69" s="18" t="s">
        <v>409</v>
      </c>
      <c r="J69" s="18" t="s">
        <v>2737</v>
      </c>
      <c r="K69" s="19" t="n">
        <v>46273</v>
      </c>
      <c r="L69" s="19" t="n">
        <v>46292</v>
      </c>
      <c r="M69" s="18" t="s">
        <v>2757</v>
      </c>
      <c r="N69" s="21" t="str">
        <f aca="false">IFERROR(INDEX(Resources!$B$2:$B$500,MATCH(I69,Resources!$A$2:$A$500,0)),"")</f>
        <v>Jin Alvarez</v>
      </c>
      <c r="O69" s="13" t="n">
        <f aca="false">F69*G69</f>
        <v>9</v>
      </c>
      <c r="P69" s="12" t="str">
        <f aca="false">IF(O69&gt;=RiskCriticalScore,"Critical",IF(O69&gt;=RiskHighScore,"High",IF(O69&gt;=RiskMediumScore,"Medium","Low")))</f>
        <v>Medium</v>
      </c>
      <c r="Q69" s="14" t="n">
        <f aca="false">H69*F69/5</f>
        <v>10200</v>
      </c>
      <c r="R69" s="13" t="n">
        <f aca="false">IF(J69="Closed",0,AsOfDate-K69)</f>
        <v>0</v>
      </c>
      <c r="S69" s="12" t="str">
        <f aca="false">IF(AND(J69&lt;&gt;"Closed",AsOfDate&gt;L69),"Yes","No")</f>
        <v>No</v>
      </c>
    </row>
    <row r="70" customFormat="false" ht="15" hidden="false" customHeight="false" outlineLevel="0" collapsed="false">
      <c r="A70" s="18" t="s">
        <v>2831</v>
      </c>
      <c r="B70" s="18" t="s">
        <v>292</v>
      </c>
      <c r="C70" s="18" t="s">
        <v>2731</v>
      </c>
      <c r="D70" s="18" t="s">
        <v>2726</v>
      </c>
      <c r="E70" s="18" t="s">
        <v>2751</v>
      </c>
      <c r="F70" s="22" t="n">
        <v>1</v>
      </c>
      <c r="G70" s="22" t="n">
        <v>2</v>
      </c>
      <c r="H70" s="23" t="n">
        <v>55000</v>
      </c>
      <c r="I70" s="18" t="s">
        <v>468</v>
      </c>
      <c r="J70" s="18" t="s">
        <v>2737</v>
      </c>
      <c r="K70" s="19" t="n">
        <v>46273</v>
      </c>
      <c r="L70" s="19" t="n">
        <v>46306</v>
      </c>
      <c r="M70" s="18" t="s">
        <v>2752</v>
      </c>
      <c r="N70" s="21" t="str">
        <f aca="false">IFERROR(INDEX(Resources!$B$2:$B$500,MATCH(I70,Resources!$A$2:$A$500,0)),"")</f>
        <v>Lina Lindgren</v>
      </c>
      <c r="O70" s="13" t="n">
        <f aca="false">F70*G70</f>
        <v>2</v>
      </c>
      <c r="P70" s="12" t="str">
        <f aca="false">IF(O70&gt;=RiskCriticalScore,"Critical",IF(O70&gt;=RiskHighScore,"High",IF(O70&gt;=RiskMediumScore,"Medium","Low")))</f>
        <v>Low</v>
      </c>
      <c r="Q70" s="14" t="n">
        <f aca="false">H70*F70/5</f>
        <v>11000</v>
      </c>
      <c r="R70" s="13" t="n">
        <f aca="false">IF(J70="Closed",0,AsOfDate-K70)</f>
        <v>0</v>
      </c>
      <c r="S70" s="12" t="str">
        <f aca="false">IF(AND(J70&lt;&gt;"Closed",AsOfDate&gt;L70),"Yes","No")</f>
        <v>No</v>
      </c>
    </row>
    <row r="71" customFormat="false" ht="15" hidden="false" customHeight="false" outlineLevel="0" collapsed="false">
      <c r="A71" s="18" t="s">
        <v>2832</v>
      </c>
      <c r="B71" s="18" t="s">
        <v>294</v>
      </c>
      <c r="C71" s="18" t="s">
        <v>2772</v>
      </c>
      <c r="D71" s="18" t="s">
        <v>1013</v>
      </c>
      <c r="E71" s="18" t="s">
        <v>2773</v>
      </c>
      <c r="F71" s="22" t="n">
        <v>2</v>
      </c>
      <c r="G71" s="22" t="n">
        <v>3</v>
      </c>
      <c r="H71" s="23" t="n">
        <v>12000</v>
      </c>
      <c r="I71" s="18" t="s">
        <v>496</v>
      </c>
      <c r="J71" s="18" t="s">
        <v>2737</v>
      </c>
      <c r="K71" s="19" t="n">
        <v>46273</v>
      </c>
      <c r="L71" s="19" t="n">
        <v>46304</v>
      </c>
      <c r="M71" s="18" t="s">
        <v>2774</v>
      </c>
      <c r="N71" s="21" t="str">
        <f aca="false">IFERROR(INDEX(Resources!$B$2:$B$500,MATCH(I71,Resources!$A$2:$A$500,0)),"")</f>
        <v>Callum Dubois</v>
      </c>
      <c r="O71" s="13" t="n">
        <f aca="false">F71*G71</f>
        <v>6</v>
      </c>
      <c r="P71" s="12" t="str">
        <f aca="false">IF(O71&gt;=RiskCriticalScore,"Critical",IF(O71&gt;=RiskHighScore,"High",IF(O71&gt;=RiskMediumScore,"Medium","Low")))</f>
        <v>Medium</v>
      </c>
      <c r="Q71" s="14" t="n">
        <f aca="false">H71*F71/5</f>
        <v>4800</v>
      </c>
      <c r="R71" s="13" t="n">
        <f aca="false">IF(J71="Closed",0,AsOfDate-K71)</f>
        <v>0</v>
      </c>
      <c r="S71" s="12" t="str">
        <f aca="false">IF(AND(J71&lt;&gt;"Closed",AsOfDate&gt;L71),"Yes","No")</f>
        <v>No</v>
      </c>
    </row>
    <row r="72" customFormat="false" ht="15" hidden="false" customHeight="false" outlineLevel="0" collapsed="false">
      <c r="A72" s="18" t="s">
        <v>2833</v>
      </c>
      <c r="B72" s="18" t="s">
        <v>294</v>
      </c>
      <c r="C72" s="18" t="s">
        <v>2731</v>
      </c>
      <c r="D72" s="18" t="s">
        <v>2755</v>
      </c>
      <c r="E72" s="18" t="s">
        <v>2756</v>
      </c>
      <c r="F72" s="22" t="n">
        <v>3</v>
      </c>
      <c r="G72" s="22" t="n">
        <v>2</v>
      </c>
      <c r="H72" s="23" t="n">
        <v>58000</v>
      </c>
      <c r="I72" s="18" t="s">
        <v>412</v>
      </c>
      <c r="J72" s="18" t="s">
        <v>2737</v>
      </c>
      <c r="K72" s="19" t="n">
        <v>46273</v>
      </c>
      <c r="L72" s="19" t="n">
        <v>46302</v>
      </c>
      <c r="M72" s="18" t="s">
        <v>2757</v>
      </c>
      <c r="N72" s="21" t="str">
        <f aca="false">IFERROR(INDEX(Resources!$B$2:$B$500,MATCH(I72,Resources!$A$2:$A$500,0)),"")</f>
        <v>Maya Osei</v>
      </c>
      <c r="O72" s="13" t="n">
        <f aca="false">F72*G72</f>
        <v>6</v>
      </c>
      <c r="P72" s="12" t="str">
        <f aca="false">IF(O72&gt;=RiskCriticalScore,"Critical",IF(O72&gt;=RiskHighScore,"High",IF(O72&gt;=RiskMediumScore,"Medium","Low")))</f>
        <v>Medium</v>
      </c>
      <c r="Q72" s="14" t="n">
        <f aca="false">H72*F72/5</f>
        <v>34800</v>
      </c>
      <c r="R72" s="13" t="n">
        <f aca="false">IF(J72="Closed",0,AsOfDate-K72)</f>
        <v>0</v>
      </c>
      <c r="S72" s="12" t="str">
        <f aca="false">IF(AND(J72&lt;&gt;"Closed",AsOfDate&gt;L72),"Yes","No")</f>
        <v>No</v>
      </c>
    </row>
    <row r="73" customFormat="false" ht="15" hidden="false" customHeight="false" outlineLevel="0" collapsed="false">
      <c r="A73" s="18" t="s">
        <v>2834</v>
      </c>
      <c r="B73" s="18" t="s">
        <v>228</v>
      </c>
      <c r="C73" s="18" t="s">
        <v>2725</v>
      </c>
      <c r="D73" s="18" t="s">
        <v>2755</v>
      </c>
      <c r="E73" s="18" t="s">
        <v>2785</v>
      </c>
      <c r="F73" s="22" t="n">
        <v>5</v>
      </c>
      <c r="G73" s="22" t="n">
        <v>2</v>
      </c>
      <c r="H73" s="23" t="n">
        <v>143000</v>
      </c>
      <c r="I73" s="18" t="s">
        <v>454</v>
      </c>
      <c r="J73" s="18" t="s">
        <v>2733</v>
      </c>
      <c r="K73" s="19" t="n">
        <v>46275</v>
      </c>
      <c r="L73" s="19" t="n">
        <v>46331</v>
      </c>
      <c r="M73" s="18" t="s">
        <v>2786</v>
      </c>
      <c r="N73" s="21" t="str">
        <f aca="false">IFERROR(INDEX(Resources!$B$2:$B$500,MATCH(I73,Resources!$A$2:$A$500,0)),"")</f>
        <v>Bilal Novak</v>
      </c>
      <c r="O73" s="13" t="n">
        <f aca="false">F73*G73</f>
        <v>10</v>
      </c>
      <c r="P73" s="12" t="str">
        <f aca="false">IF(O73&gt;=RiskCriticalScore,"Critical",IF(O73&gt;=RiskHighScore,"High",IF(O73&gt;=RiskMediumScore,"Medium","Low")))</f>
        <v>High</v>
      </c>
      <c r="Q73" s="14" t="n">
        <f aca="false">H73*F73/5</f>
        <v>143000</v>
      </c>
      <c r="R73" s="13" t="n">
        <f aca="false">IF(J73="Closed",0,AsOfDate-K73)</f>
        <v>1</v>
      </c>
      <c r="S73" s="12" t="str">
        <f aca="false">IF(AND(J73&lt;&gt;"Closed",AsOfDate&gt;L73),"Yes","No")</f>
        <v>No</v>
      </c>
    </row>
  </sheetData>
  <conditionalFormatting sqref="P2:P73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13">
      <formula>"High"</formula>
    </cfRule>
  </conditionalFormatting>
  <dataValidations count="3">
    <dataValidation allowBlank="true" error="Pick a value from the list." errorStyle="stop" errorTitle="Invalid value" operator="between" showDropDown="false" showErrorMessage="true" showInputMessage="false" sqref="C2:C1073" type="list">
      <formula1>"Risk,Issue,Dependency,Assumption"</formula1>
      <formula2>0</formula2>
    </dataValidation>
    <dataValidation allowBlank="true" error="Pick a value from the list." errorStyle="stop" errorTitle="Invalid value" operator="between" showDropDown="false" showErrorMessage="true" showInputMessage="false" sqref="J2:J1073" type="list">
      <formula1>"Open,Mitigating,Closed"</formula1>
      <formula2>0</formula2>
    </dataValidation>
    <dataValidation allowBlank="false" error="Enter 1-5." errorStyle="stop" operator="between" showDropDown="false" showErrorMessage="true" showInputMessage="false" sqref="F2:G107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7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9"/>
  </cols>
  <sheetData>
    <row r="1" customFormat="false" ht="30" hidden="false" customHeight="true" outlineLevel="0" collapsed="false">
      <c r="A1" s="20" t="s">
        <v>2835</v>
      </c>
      <c r="B1" s="20" t="s">
        <v>41</v>
      </c>
      <c r="C1" s="20" t="s">
        <v>2710</v>
      </c>
      <c r="D1" s="20" t="s">
        <v>2836</v>
      </c>
      <c r="E1" s="20" t="s">
        <v>2715</v>
      </c>
      <c r="F1" s="20" t="s">
        <v>2837</v>
      </c>
      <c r="G1" s="20" t="s">
        <v>153</v>
      </c>
      <c r="H1" s="20" t="s">
        <v>2838</v>
      </c>
      <c r="I1" s="20" t="s">
        <v>2839</v>
      </c>
      <c r="J1" s="20" t="s">
        <v>2840</v>
      </c>
      <c r="K1" s="20" t="s">
        <v>2841</v>
      </c>
      <c r="L1" s="20" t="s">
        <v>2842</v>
      </c>
      <c r="M1" s="20" t="s">
        <v>2843</v>
      </c>
      <c r="N1" s="20" t="s">
        <v>2844</v>
      </c>
      <c r="O1" s="20" t="s">
        <v>2845</v>
      </c>
      <c r="P1" s="20" t="s">
        <v>2846</v>
      </c>
      <c r="Q1" s="20" t="s">
        <v>2847</v>
      </c>
    </row>
    <row r="2" customFormat="false" ht="15" hidden="false" customHeight="false" outlineLevel="0" collapsed="false">
      <c r="A2" s="18" t="s">
        <v>2848</v>
      </c>
      <c r="B2" s="18" t="s">
        <v>197</v>
      </c>
      <c r="C2" s="18" t="s">
        <v>2849</v>
      </c>
      <c r="D2" s="18" t="s">
        <v>2746</v>
      </c>
      <c r="E2" s="19" t="n">
        <v>46090</v>
      </c>
      <c r="F2" s="18" t="s">
        <v>201</v>
      </c>
      <c r="G2" s="18" t="s">
        <v>2850</v>
      </c>
      <c r="H2" s="23" t="n">
        <v>35000</v>
      </c>
      <c r="I2" s="23" t="n">
        <v>22000</v>
      </c>
      <c r="J2" s="33" t="n">
        <v>10</v>
      </c>
      <c r="K2" s="19" t="n">
        <v>46105</v>
      </c>
      <c r="L2" s="18" t="s">
        <v>317</v>
      </c>
      <c r="M2" s="21" t="str">
        <f aca="false">IFERROR(INDEX(Resources!$B$2:$B$500,MATCH(F2,Resources!$A$2:$A$500,0)),"")</f>
        <v>Aisha Tremblay</v>
      </c>
      <c r="N2" s="14" t="n">
        <f aca="false">H2-I2</f>
        <v>13000</v>
      </c>
      <c r="O2" s="12" t="str">
        <f aca="false">IF(N2&lt;0,"Erodes margin",IF(N2=0,"Neutral","Accretive"))</f>
        <v>Accretive</v>
      </c>
      <c r="P2" s="12" t="str">
        <f aca="false">IF(OR(G2="Draft",G2="Submitted"),"Yes","No")</f>
        <v>No</v>
      </c>
      <c r="Q2" s="13" t="n">
        <f aca="false">IF(ISNUMBER(K2),K2-E2,AsOfDate-E2)</f>
        <v>15</v>
      </c>
    </row>
    <row r="3" customFormat="false" ht="15" hidden="false" customHeight="false" outlineLevel="0" collapsed="false">
      <c r="A3" s="18" t="s">
        <v>2851</v>
      </c>
      <c r="B3" s="18" t="s">
        <v>207</v>
      </c>
      <c r="C3" s="18" t="s">
        <v>2852</v>
      </c>
      <c r="D3" s="18" t="s">
        <v>2746</v>
      </c>
      <c r="E3" s="19" t="n">
        <v>46126</v>
      </c>
      <c r="F3" s="18" t="s">
        <v>211</v>
      </c>
      <c r="G3" s="18" t="s">
        <v>2850</v>
      </c>
      <c r="H3" s="23" t="n">
        <v>85000</v>
      </c>
      <c r="I3" s="23" t="n">
        <v>70000</v>
      </c>
      <c r="J3" s="33" t="n">
        <v>21</v>
      </c>
      <c r="K3" s="19" t="n">
        <v>46147</v>
      </c>
      <c r="L3" s="18" t="s">
        <v>317</v>
      </c>
      <c r="M3" s="21" t="str">
        <f aca="false">IFERROR(INDEX(Resources!$B$2:$B$500,MATCH(F3,Resources!$A$2:$A$500,0)),"")</f>
        <v>Liam Roy</v>
      </c>
      <c r="N3" s="14" t="n">
        <f aca="false">H3-I3</f>
        <v>15000</v>
      </c>
      <c r="O3" s="12" t="str">
        <f aca="false">IF(N3&lt;0,"Erodes margin",IF(N3=0,"Neutral","Accretive"))</f>
        <v>Accretive</v>
      </c>
      <c r="P3" s="12" t="str">
        <f aca="false">IF(OR(G3="Draft",G3="Submitted"),"Yes","No")</f>
        <v>No</v>
      </c>
      <c r="Q3" s="13" t="n">
        <f aca="false">IF(ISNUMBER(K3),K3-E3,AsOfDate-E3)</f>
        <v>21</v>
      </c>
    </row>
    <row r="4" customFormat="false" ht="15" hidden="false" customHeight="false" outlineLevel="0" collapsed="false">
      <c r="A4" s="18" t="s">
        <v>2853</v>
      </c>
      <c r="B4" s="18" t="s">
        <v>207</v>
      </c>
      <c r="C4" s="18" t="s">
        <v>2854</v>
      </c>
      <c r="D4" s="18" t="s">
        <v>2726</v>
      </c>
      <c r="E4" s="19" t="n">
        <v>46223</v>
      </c>
      <c r="F4" s="18" t="s">
        <v>211</v>
      </c>
      <c r="G4" s="18" t="s">
        <v>2855</v>
      </c>
      <c r="H4" s="23" t="n">
        <v>0</v>
      </c>
      <c r="I4" s="23" t="n">
        <v>60000</v>
      </c>
      <c r="J4" s="33" t="n">
        <v>14</v>
      </c>
      <c r="K4" s="19"/>
      <c r="L4" s="18"/>
      <c r="M4" s="21" t="str">
        <f aca="false">IFERROR(INDEX(Resources!$B$2:$B$500,MATCH(F4,Resources!$A$2:$A$500,0)),"")</f>
        <v>Liam Roy</v>
      </c>
      <c r="N4" s="14" t="n">
        <f aca="false">H4-I4</f>
        <v>-60000</v>
      </c>
      <c r="O4" s="12" t="str">
        <f aca="false">IF(N4&lt;0,"Erodes margin",IF(N4=0,"Neutral","Accretive"))</f>
        <v>Erodes margin</v>
      </c>
      <c r="P4" s="12" t="str">
        <f aca="false">IF(OR(G4="Draft",G4="Submitted"),"Yes","No")</f>
        <v>Yes</v>
      </c>
      <c r="Q4" s="13" t="n">
        <f aca="false">IF(ISNUMBER(K4),K4-E4,AsOfDate-E4)</f>
        <v>53</v>
      </c>
    </row>
    <row r="5" customFormat="false" ht="15" hidden="false" customHeight="false" outlineLevel="0" collapsed="false">
      <c r="A5" s="18" t="s">
        <v>2856</v>
      </c>
      <c r="B5" s="18" t="s">
        <v>215</v>
      </c>
      <c r="C5" s="18" t="s">
        <v>2857</v>
      </c>
      <c r="D5" s="18" t="s">
        <v>2746</v>
      </c>
      <c r="E5" s="19" t="n">
        <v>46055</v>
      </c>
      <c r="F5" s="18" t="s">
        <v>218</v>
      </c>
      <c r="G5" s="18" t="s">
        <v>2850</v>
      </c>
      <c r="H5" s="23" t="n">
        <v>180000</v>
      </c>
      <c r="I5" s="23" t="n">
        <v>110000</v>
      </c>
      <c r="J5" s="33" t="n">
        <v>30</v>
      </c>
      <c r="K5" s="19" t="n">
        <v>46080</v>
      </c>
      <c r="L5" s="18" t="s">
        <v>317</v>
      </c>
      <c r="M5" s="21" t="str">
        <f aca="false">IFERROR(INDEX(Resources!$B$2:$B$500,MATCH(F5,Resources!$A$2:$A$500,0)),"")</f>
        <v>Mei Fraser</v>
      </c>
      <c r="N5" s="14" t="n">
        <f aca="false">H5-I5</f>
        <v>70000</v>
      </c>
      <c r="O5" s="12" t="str">
        <f aca="false">IF(N5&lt;0,"Erodes margin",IF(N5=0,"Neutral","Accretive"))</f>
        <v>Accretive</v>
      </c>
      <c r="P5" s="12" t="str">
        <f aca="false">IF(OR(G5="Draft",G5="Submitted"),"Yes","No")</f>
        <v>No</v>
      </c>
      <c r="Q5" s="13" t="n">
        <f aca="false">IF(ISNUMBER(K5),K5-E5,AsOfDate-E5)</f>
        <v>25</v>
      </c>
    </row>
    <row r="6" customFormat="false" ht="15" hidden="false" customHeight="false" outlineLevel="0" collapsed="false">
      <c r="A6" s="18" t="s">
        <v>2858</v>
      </c>
      <c r="B6" s="18" t="s">
        <v>215</v>
      </c>
      <c r="C6" s="18" t="s">
        <v>2859</v>
      </c>
      <c r="D6" s="18" t="s">
        <v>2746</v>
      </c>
      <c r="E6" s="19" t="n">
        <v>46238</v>
      </c>
      <c r="F6" s="18" t="s">
        <v>218</v>
      </c>
      <c r="G6" s="18" t="s">
        <v>2860</v>
      </c>
      <c r="H6" s="23" t="n">
        <v>45000</v>
      </c>
      <c r="I6" s="23" t="n">
        <v>30000</v>
      </c>
      <c r="J6" s="33" t="n">
        <v>7</v>
      </c>
      <c r="K6" s="19"/>
      <c r="L6" s="18"/>
      <c r="M6" s="21" t="str">
        <f aca="false">IFERROR(INDEX(Resources!$B$2:$B$500,MATCH(F6,Resources!$A$2:$A$500,0)),"")</f>
        <v>Mei Fraser</v>
      </c>
      <c r="N6" s="14" t="n">
        <f aca="false">H6-I6</f>
        <v>15000</v>
      </c>
      <c r="O6" s="12" t="str">
        <f aca="false">IF(N6&lt;0,"Erodes margin",IF(N6=0,"Neutral","Accretive"))</f>
        <v>Accretive</v>
      </c>
      <c r="P6" s="12" t="str">
        <f aca="false">IF(OR(G6="Draft",G6="Submitted"),"Yes","No")</f>
        <v>Yes</v>
      </c>
      <c r="Q6" s="13" t="n">
        <f aca="false">IF(ISNUMBER(K6),K6-E6,AsOfDate-E6)</f>
        <v>38</v>
      </c>
    </row>
    <row r="7" customFormat="false" ht="15" hidden="false" customHeight="false" outlineLevel="0" collapsed="false">
      <c r="A7" s="18" t="s">
        <v>2861</v>
      </c>
      <c r="B7" s="18" t="s">
        <v>222</v>
      </c>
      <c r="C7" s="18" t="s">
        <v>2862</v>
      </c>
      <c r="D7" s="18" t="s">
        <v>2746</v>
      </c>
      <c r="E7" s="19" t="n">
        <v>46195</v>
      </c>
      <c r="F7" s="18" t="s">
        <v>226</v>
      </c>
      <c r="G7" s="18" t="s">
        <v>2855</v>
      </c>
      <c r="H7" s="23" t="n">
        <v>70000</v>
      </c>
      <c r="I7" s="23" t="n">
        <v>45000</v>
      </c>
      <c r="J7" s="33" t="n">
        <v>10</v>
      </c>
      <c r="K7" s="19"/>
      <c r="L7" s="18"/>
      <c r="M7" s="21" t="str">
        <f aca="false">IFERROR(INDEX(Resources!$B$2:$B$500,MATCH(F7,Resources!$A$2:$A$500,0)),"")</f>
        <v>Noah Rahimi</v>
      </c>
      <c r="N7" s="14" t="n">
        <f aca="false">H7-I7</f>
        <v>25000</v>
      </c>
      <c r="O7" s="12" t="str">
        <f aca="false">IF(N7&lt;0,"Erodes margin",IF(N7=0,"Neutral","Accretive"))</f>
        <v>Accretive</v>
      </c>
      <c r="P7" s="12" t="str">
        <f aca="false">IF(OR(G7="Draft",G7="Submitted"),"Yes","No")</f>
        <v>Yes</v>
      </c>
      <c r="Q7" s="13" t="n">
        <f aca="false">IF(ISNUMBER(K7),K7-E7,AsOfDate-E7)</f>
        <v>81</v>
      </c>
    </row>
    <row r="8" customFormat="false" ht="15" hidden="false" customHeight="false" outlineLevel="0" collapsed="false">
      <c r="A8" s="18" t="s">
        <v>2863</v>
      </c>
      <c r="B8" s="18" t="s">
        <v>228</v>
      </c>
      <c r="C8" s="18" t="s">
        <v>2864</v>
      </c>
      <c r="D8" s="18" t="s">
        <v>2746</v>
      </c>
      <c r="E8" s="19" t="n">
        <v>46153</v>
      </c>
      <c r="F8" s="18" t="s">
        <v>231</v>
      </c>
      <c r="G8" s="18" t="s">
        <v>2850</v>
      </c>
      <c r="H8" s="23" t="n">
        <v>120000</v>
      </c>
      <c r="I8" s="23" t="n">
        <v>95000</v>
      </c>
      <c r="J8" s="33" t="n">
        <v>30</v>
      </c>
      <c r="K8" s="19" t="n">
        <v>46174</v>
      </c>
      <c r="L8" s="18" t="s">
        <v>317</v>
      </c>
      <c r="M8" s="21" t="str">
        <f aca="false">IFERROR(INDEX(Resources!$B$2:$B$500,MATCH(F8,Resources!$A$2:$A$500,0)),"")</f>
        <v>Fatima Cohen</v>
      </c>
      <c r="N8" s="14" t="n">
        <f aca="false">H8-I8</f>
        <v>25000</v>
      </c>
      <c r="O8" s="12" t="str">
        <f aca="false">IF(N8&lt;0,"Erodes margin",IF(N8=0,"Neutral","Accretive"))</f>
        <v>Accretive</v>
      </c>
      <c r="P8" s="12" t="str">
        <f aca="false">IF(OR(G8="Draft",G8="Submitted"),"Yes","No")</f>
        <v>No</v>
      </c>
      <c r="Q8" s="13" t="n">
        <f aca="false">IF(ISNUMBER(K8),K8-E8,AsOfDate-E8)</f>
        <v>21</v>
      </c>
    </row>
    <row r="9" customFormat="false" ht="15" hidden="false" customHeight="false" outlineLevel="0" collapsed="false">
      <c r="A9" s="18" t="s">
        <v>2865</v>
      </c>
      <c r="B9" s="18" t="s">
        <v>228</v>
      </c>
      <c r="C9" s="18" t="s">
        <v>2866</v>
      </c>
      <c r="D9" s="18" t="s">
        <v>2726</v>
      </c>
      <c r="E9" s="19" t="n">
        <v>46209</v>
      </c>
      <c r="F9" s="18" t="s">
        <v>231</v>
      </c>
      <c r="G9" s="18" t="s">
        <v>2855</v>
      </c>
      <c r="H9" s="23" t="n">
        <v>60000</v>
      </c>
      <c r="I9" s="23" t="n">
        <v>80000</v>
      </c>
      <c r="J9" s="33" t="n">
        <v>20</v>
      </c>
      <c r="K9" s="19"/>
      <c r="L9" s="18"/>
      <c r="M9" s="21" t="str">
        <f aca="false">IFERROR(INDEX(Resources!$B$2:$B$500,MATCH(F9,Resources!$A$2:$A$500,0)),"")</f>
        <v>Fatima Cohen</v>
      </c>
      <c r="N9" s="14" t="n">
        <f aca="false">H9-I9</f>
        <v>-20000</v>
      </c>
      <c r="O9" s="12" t="str">
        <f aca="false">IF(N9&lt;0,"Erodes margin",IF(N9=0,"Neutral","Accretive"))</f>
        <v>Erodes margin</v>
      </c>
      <c r="P9" s="12" t="str">
        <f aca="false">IF(OR(G9="Draft",G9="Submitted"),"Yes","No")</f>
        <v>Yes</v>
      </c>
      <c r="Q9" s="13" t="n">
        <f aca="false">IF(ISNUMBER(K9),K9-E9,AsOfDate-E9)</f>
        <v>67</v>
      </c>
    </row>
    <row r="10" customFormat="false" ht="15" hidden="false" customHeight="false" outlineLevel="0" collapsed="false">
      <c r="A10" s="18" t="s">
        <v>2867</v>
      </c>
      <c r="B10" s="18" t="s">
        <v>228</v>
      </c>
      <c r="C10" s="18" t="s">
        <v>2868</v>
      </c>
      <c r="D10" s="18" t="s">
        <v>2726</v>
      </c>
      <c r="E10" s="19" t="n">
        <v>46258</v>
      </c>
      <c r="F10" s="18" t="s">
        <v>231</v>
      </c>
      <c r="G10" s="18" t="s">
        <v>2860</v>
      </c>
      <c r="H10" s="23" t="n">
        <v>0</v>
      </c>
      <c r="I10" s="23" t="n">
        <v>110000</v>
      </c>
      <c r="J10" s="33" t="n">
        <v>35</v>
      </c>
      <c r="K10" s="19"/>
      <c r="L10" s="18"/>
      <c r="M10" s="21" t="str">
        <f aca="false">IFERROR(INDEX(Resources!$B$2:$B$500,MATCH(F10,Resources!$A$2:$A$500,0)),"")</f>
        <v>Fatima Cohen</v>
      </c>
      <c r="N10" s="14" t="n">
        <f aca="false">H10-I10</f>
        <v>-110000</v>
      </c>
      <c r="O10" s="12" t="str">
        <f aca="false">IF(N10&lt;0,"Erodes margin",IF(N10=0,"Neutral","Accretive"))</f>
        <v>Erodes margin</v>
      </c>
      <c r="P10" s="12" t="str">
        <f aca="false">IF(OR(G10="Draft",G10="Submitted"),"Yes","No")</f>
        <v>Yes</v>
      </c>
      <c r="Q10" s="13" t="n">
        <f aca="false">IF(ISNUMBER(K10),K10-E10,AsOfDate-E10)</f>
        <v>18</v>
      </c>
    </row>
    <row r="11" customFormat="false" ht="15" hidden="false" customHeight="false" outlineLevel="0" collapsed="false">
      <c r="A11" s="18" t="s">
        <v>2869</v>
      </c>
      <c r="B11" s="18" t="s">
        <v>233</v>
      </c>
      <c r="C11" s="18" t="s">
        <v>2870</v>
      </c>
      <c r="D11" s="18" t="s">
        <v>2746</v>
      </c>
      <c r="E11" s="19" t="n">
        <v>46113</v>
      </c>
      <c r="F11" s="18" t="s">
        <v>237</v>
      </c>
      <c r="G11" s="18" t="s">
        <v>2850</v>
      </c>
      <c r="H11" s="23" t="n">
        <v>40000</v>
      </c>
      <c r="I11" s="23" t="n">
        <v>48000</v>
      </c>
      <c r="J11" s="33" t="n">
        <v>12</v>
      </c>
      <c r="K11" s="19" t="n">
        <v>46132</v>
      </c>
      <c r="L11" s="18" t="s">
        <v>317</v>
      </c>
      <c r="M11" s="21" t="str">
        <f aca="false">IFERROR(INDEX(Resources!$B$2:$B$500,MATCH(F11,Resources!$A$2:$A$500,0)),"")</f>
        <v>Olivia Silva</v>
      </c>
      <c r="N11" s="14" t="n">
        <f aca="false">H11-I11</f>
        <v>-8000</v>
      </c>
      <c r="O11" s="12" t="str">
        <f aca="false">IF(N11&lt;0,"Erodes margin",IF(N11=0,"Neutral","Accretive"))</f>
        <v>Erodes margin</v>
      </c>
      <c r="P11" s="12" t="str">
        <f aca="false">IF(OR(G11="Draft",G11="Submitted"),"Yes","No")</f>
        <v>No</v>
      </c>
      <c r="Q11" s="13" t="n">
        <f aca="false">IF(ISNUMBER(K11),K11-E11,AsOfDate-E11)</f>
        <v>19</v>
      </c>
    </row>
    <row r="12" customFormat="false" ht="15" hidden="false" customHeight="false" outlineLevel="0" collapsed="false">
      <c r="A12" s="18" t="s">
        <v>2871</v>
      </c>
      <c r="B12" s="18" t="s">
        <v>233</v>
      </c>
      <c r="C12" s="18" t="s">
        <v>2872</v>
      </c>
      <c r="D12" s="18" t="s">
        <v>2755</v>
      </c>
      <c r="E12" s="19" t="n">
        <v>46231</v>
      </c>
      <c r="F12" s="18" t="s">
        <v>237</v>
      </c>
      <c r="G12" s="18" t="s">
        <v>2873</v>
      </c>
      <c r="H12" s="23" t="n">
        <v>0</v>
      </c>
      <c r="I12" s="23" t="n">
        <v>15000</v>
      </c>
      <c r="J12" s="33" t="n">
        <v>21</v>
      </c>
      <c r="K12" s="19" t="n">
        <v>46244</v>
      </c>
      <c r="L12" s="18" t="s">
        <v>2874</v>
      </c>
      <c r="M12" s="21" t="str">
        <f aca="false">IFERROR(INDEX(Resources!$B$2:$B$500,MATCH(F12,Resources!$A$2:$A$500,0)),"")</f>
        <v>Olivia Silva</v>
      </c>
      <c r="N12" s="14" t="n">
        <f aca="false">H12-I12</f>
        <v>-15000</v>
      </c>
      <c r="O12" s="12" t="str">
        <f aca="false">IF(N12&lt;0,"Erodes margin",IF(N12=0,"Neutral","Accretive"))</f>
        <v>Erodes margin</v>
      </c>
      <c r="P12" s="12" t="str">
        <f aca="false">IF(OR(G12="Draft",G12="Submitted"),"Yes","No")</f>
        <v>No</v>
      </c>
      <c r="Q12" s="13" t="n">
        <f aca="false">IF(ISNUMBER(K12),K12-E12,AsOfDate-E12)</f>
        <v>13</v>
      </c>
    </row>
    <row r="13" customFormat="false" ht="15" hidden="false" customHeight="false" outlineLevel="0" collapsed="false">
      <c r="A13" s="18" t="s">
        <v>2875</v>
      </c>
      <c r="B13" s="18" t="s">
        <v>239</v>
      </c>
      <c r="C13" s="18" t="s">
        <v>2876</v>
      </c>
      <c r="D13" s="18" t="s">
        <v>2746</v>
      </c>
      <c r="E13" s="19" t="n">
        <v>46251</v>
      </c>
      <c r="F13" s="18" t="s">
        <v>242</v>
      </c>
      <c r="G13" s="18" t="s">
        <v>2860</v>
      </c>
      <c r="H13" s="23" t="n">
        <v>90000</v>
      </c>
      <c r="I13" s="23" t="n">
        <v>62000</v>
      </c>
      <c r="J13" s="33" t="n">
        <v>25</v>
      </c>
      <c r="K13" s="19"/>
      <c r="L13" s="18"/>
      <c r="M13" s="21" t="str">
        <f aca="false">IFERROR(INDEX(Resources!$B$2:$B$500,MATCH(F13,Resources!$A$2:$A$500,0)),"")</f>
        <v>Ethan Park</v>
      </c>
      <c r="N13" s="14" t="n">
        <f aca="false">H13-I13</f>
        <v>28000</v>
      </c>
      <c r="O13" s="12" t="str">
        <f aca="false">IF(N13&lt;0,"Erodes margin",IF(N13=0,"Neutral","Accretive"))</f>
        <v>Accretive</v>
      </c>
      <c r="P13" s="12" t="str">
        <f aca="false">IF(OR(G13="Draft",G13="Submitted"),"Yes","No")</f>
        <v>Yes</v>
      </c>
      <c r="Q13" s="13" t="n">
        <f aca="false">IF(ISNUMBER(K13),K13-E13,AsOfDate-E13)</f>
        <v>25</v>
      </c>
    </row>
    <row r="14" customFormat="false" ht="15" hidden="false" customHeight="false" outlineLevel="0" collapsed="false">
      <c r="A14" s="18" t="s">
        <v>2877</v>
      </c>
      <c r="B14" s="18" t="s">
        <v>244</v>
      </c>
      <c r="C14" s="18" t="s">
        <v>2878</v>
      </c>
      <c r="D14" s="18" t="s">
        <v>2746</v>
      </c>
      <c r="E14" s="19" t="n">
        <v>46161</v>
      </c>
      <c r="F14" s="18" t="s">
        <v>247</v>
      </c>
      <c r="G14" s="18" t="s">
        <v>2850</v>
      </c>
      <c r="H14" s="23" t="n">
        <v>55000</v>
      </c>
      <c r="I14" s="23" t="n">
        <v>38000</v>
      </c>
      <c r="J14" s="33" t="n">
        <v>14</v>
      </c>
      <c r="K14" s="19" t="n">
        <v>46175</v>
      </c>
      <c r="L14" s="18" t="s">
        <v>317</v>
      </c>
      <c r="M14" s="21" t="str">
        <f aca="false">IFERROR(INDEX(Resources!$B$2:$B$500,MATCH(F14,Resources!$A$2:$A$500,0)),"")</f>
        <v>Arjun Baptiste</v>
      </c>
      <c r="N14" s="14" t="n">
        <f aca="false">H14-I14</f>
        <v>17000</v>
      </c>
      <c r="O14" s="12" t="str">
        <f aca="false">IF(N14&lt;0,"Erodes margin",IF(N14=0,"Neutral","Accretive"))</f>
        <v>Accretive</v>
      </c>
      <c r="P14" s="12" t="str">
        <f aca="false">IF(OR(G14="Draft",G14="Submitted"),"Yes","No")</f>
        <v>No</v>
      </c>
      <c r="Q14" s="13" t="n">
        <f aca="false">IF(ISNUMBER(K14),K14-E14,AsOfDate-E14)</f>
        <v>14</v>
      </c>
    </row>
    <row r="15" customFormat="false" ht="15" hidden="false" customHeight="false" outlineLevel="0" collapsed="false">
      <c r="A15" s="18" t="s">
        <v>2879</v>
      </c>
      <c r="B15" s="18" t="s">
        <v>253</v>
      </c>
      <c r="C15" s="18" t="s">
        <v>2880</v>
      </c>
      <c r="D15" s="18" t="s">
        <v>2746</v>
      </c>
      <c r="E15" s="19" t="n">
        <v>46146</v>
      </c>
      <c r="F15" s="18" t="s">
        <v>231</v>
      </c>
      <c r="G15" s="18" t="s">
        <v>2850</v>
      </c>
      <c r="H15" s="23" t="n">
        <v>30000</v>
      </c>
      <c r="I15" s="23" t="n">
        <v>42000</v>
      </c>
      <c r="J15" s="33" t="n">
        <v>21</v>
      </c>
      <c r="K15" s="19" t="n">
        <v>46168</v>
      </c>
      <c r="L15" s="18" t="s">
        <v>317</v>
      </c>
      <c r="M15" s="21" t="str">
        <f aca="false">IFERROR(INDEX(Resources!$B$2:$B$500,MATCH(F15,Resources!$A$2:$A$500,0)),"")</f>
        <v>Fatima Cohen</v>
      </c>
      <c r="N15" s="14" t="n">
        <f aca="false">H15-I15</f>
        <v>-12000</v>
      </c>
      <c r="O15" s="12" t="str">
        <f aca="false">IF(N15&lt;0,"Erodes margin",IF(N15=0,"Neutral","Accretive"))</f>
        <v>Erodes margin</v>
      </c>
      <c r="P15" s="12" t="str">
        <f aca="false">IF(OR(G15="Draft",G15="Submitted"),"Yes","No")</f>
        <v>No</v>
      </c>
      <c r="Q15" s="13" t="n">
        <f aca="false">IF(ISNUMBER(K15),K15-E15,AsOfDate-E15)</f>
        <v>22</v>
      </c>
    </row>
    <row r="16" customFormat="false" ht="15" hidden="false" customHeight="false" outlineLevel="0" collapsed="false">
      <c r="A16" s="18" t="s">
        <v>2881</v>
      </c>
      <c r="B16" s="18" t="s">
        <v>257</v>
      </c>
      <c r="C16" s="18" t="s">
        <v>2882</v>
      </c>
      <c r="D16" s="18" t="s">
        <v>2746</v>
      </c>
      <c r="E16" s="19" t="n">
        <v>46181</v>
      </c>
      <c r="F16" s="18" t="s">
        <v>226</v>
      </c>
      <c r="G16" s="18" t="s">
        <v>2850</v>
      </c>
      <c r="H16" s="23" t="n">
        <v>75000</v>
      </c>
      <c r="I16" s="23" t="n">
        <v>48000</v>
      </c>
      <c r="J16" s="33" t="n">
        <v>0</v>
      </c>
      <c r="K16" s="19" t="n">
        <v>46202</v>
      </c>
      <c r="L16" s="18" t="s">
        <v>317</v>
      </c>
      <c r="M16" s="21" t="str">
        <f aca="false">IFERROR(INDEX(Resources!$B$2:$B$500,MATCH(F16,Resources!$A$2:$A$500,0)),"")</f>
        <v>Noah Rahimi</v>
      </c>
      <c r="N16" s="14" t="n">
        <f aca="false">H16-I16</f>
        <v>27000</v>
      </c>
      <c r="O16" s="12" t="str">
        <f aca="false">IF(N16&lt;0,"Erodes margin",IF(N16=0,"Neutral","Accretive"))</f>
        <v>Accretive</v>
      </c>
      <c r="P16" s="12" t="str">
        <f aca="false">IF(OR(G16="Draft",G16="Submitted"),"Yes","No")</f>
        <v>No</v>
      </c>
      <c r="Q16" s="13" t="n">
        <f aca="false">IF(ISNUMBER(K16),K16-E16,AsOfDate-E16)</f>
        <v>21</v>
      </c>
    </row>
    <row r="17" customFormat="false" ht="15" hidden="false" customHeight="false" outlineLevel="0" collapsed="false">
      <c r="A17" s="18" t="s">
        <v>2883</v>
      </c>
      <c r="B17" s="18" t="s">
        <v>265</v>
      </c>
      <c r="C17" s="18" t="s">
        <v>2884</v>
      </c>
      <c r="D17" s="18" t="s">
        <v>2746</v>
      </c>
      <c r="E17" s="19" t="n">
        <v>46041</v>
      </c>
      <c r="F17" s="18" t="s">
        <v>211</v>
      </c>
      <c r="G17" s="18" t="s">
        <v>2850</v>
      </c>
      <c r="H17" s="23" t="n">
        <v>95000</v>
      </c>
      <c r="I17" s="23" t="n">
        <v>88000</v>
      </c>
      <c r="J17" s="33" t="n">
        <v>21</v>
      </c>
      <c r="K17" s="19" t="n">
        <v>46062</v>
      </c>
      <c r="L17" s="18" t="s">
        <v>317</v>
      </c>
      <c r="M17" s="21" t="str">
        <f aca="false">IFERROR(INDEX(Resources!$B$2:$B$500,MATCH(F17,Resources!$A$2:$A$500,0)),"")</f>
        <v>Liam Roy</v>
      </c>
      <c r="N17" s="14" t="n">
        <f aca="false">H17-I17</f>
        <v>7000</v>
      </c>
      <c r="O17" s="12" t="str">
        <f aca="false">IF(N17&lt;0,"Erodes margin",IF(N17=0,"Neutral","Accretive"))</f>
        <v>Accretive</v>
      </c>
      <c r="P17" s="12" t="str">
        <f aca="false">IF(OR(G17="Draft",G17="Submitted"),"Yes","No")</f>
        <v>No</v>
      </c>
      <c r="Q17" s="13" t="n">
        <f aca="false">IF(ISNUMBER(K17),K17-E17,AsOfDate-E17)</f>
        <v>21</v>
      </c>
    </row>
    <row r="18" customFormat="false" ht="15" hidden="false" customHeight="false" outlineLevel="0" collapsed="false">
      <c r="A18" s="18" t="s">
        <v>2885</v>
      </c>
      <c r="B18" s="18" t="s">
        <v>265</v>
      </c>
      <c r="C18" s="18" t="s">
        <v>2886</v>
      </c>
      <c r="D18" s="18" t="s">
        <v>2726</v>
      </c>
      <c r="E18" s="19" t="n">
        <v>46237</v>
      </c>
      <c r="F18" s="18" t="s">
        <v>211</v>
      </c>
      <c r="G18" s="18" t="s">
        <v>2855</v>
      </c>
      <c r="H18" s="23" t="n">
        <v>0</v>
      </c>
      <c r="I18" s="23" t="n">
        <v>40000</v>
      </c>
      <c r="J18" s="33" t="n">
        <v>10</v>
      </c>
      <c r="K18" s="19"/>
      <c r="L18" s="18"/>
      <c r="M18" s="21" t="str">
        <f aca="false">IFERROR(INDEX(Resources!$B$2:$B$500,MATCH(F18,Resources!$A$2:$A$500,0)),"")</f>
        <v>Liam Roy</v>
      </c>
      <c r="N18" s="14" t="n">
        <f aca="false">H18-I18</f>
        <v>-40000</v>
      </c>
      <c r="O18" s="12" t="str">
        <f aca="false">IF(N18&lt;0,"Erodes margin",IF(N18=0,"Neutral","Accretive"))</f>
        <v>Erodes margin</v>
      </c>
      <c r="P18" s="12" t="str">
        <f aca="false">IF(OR(G18="Draft",G18="Submitted"),"Yes","No")</f>
        <v>Yes</v>
      </c>
      <c r="Q18" s="13" t="n">
        <f aca="false">IF(ISNUMBER(K18),K18-E18,AsOfDate-E18)</f>
        <v>39</v>
      </c>
    </row>
    <row r="19" customFormat="false" ht="15" hidden="false" customHeight="false" outlineLevel="0" collapsed="false">
      <c r="A19" s="18" t="s">
        <v>2887</v>
      </c>
      <c r="B19" s="18" t="s">
        <v>270</v>
      </c>
      <c r="C19" s="18" t="s">
        <v>2888</v>
      </c>
      <c r="D19" s="18" t="s">
        <v>2746</v>
      </c>
      <c r="E19" s="19" t="n">
        <v>46167</v>
      </c>
      <c r="F19" s="18" t="s">
        <v>237</v>
      </c>
      <c r="G19" s="18" t="s">
        <v>2850</v>
      </c>
      <c r="H19" s="23" t="n">
        <v>150000</v>
      </c>
      <c r="I19" s="23" t="n">
        <v>185000</v>
      </c>
      <c r="J19" s="33" t="n">
        <v>45</v>
      </c>
      <c r="K19" s="19" t="n">
        <v>46192</v>
      </c>
      <c r="L19" s="18" t="s">
        <v>317</v>
      </c>
      <c r="M19" s="21" t="str">
        <f aca="false">IFERROR(INDEX(Resources!$B$2:$B$500,MATCH(F19,Resources!$A$2:$A$500,0)),"")</f>
        <v>Olivia Silva</v>
      </c>
      <c r="N19" s="14" t="n">
        <f aca="false">H19-I19</f>
        <v>-35000</v>
      </c>
      <c r="O19" s="12" t="str">
        <f aca="false">IF(N19&lt;0,"Erodes margin",IF(N19=0,"Neutral","Accretive"))</f>
        <v>Erodes margin</v>
      </c>
      <c r="P19" s="12" t="str">
        <f aca="false">IF(OR(G19="Draft",G19="Submitted"),"Yes","No")</f>
        <v>No</v>
      </c>
      <c r="Q19" s="13" t="n">
        <f aca="false">IF(ISNUMBER(K19),K19-E19,AsOfDate-E19)</f>
        <v>25</v>
      </c>
    </row>
    <row r="20" customFormat="false" ht="15" hidden="false" customHeight="false" outlineLevel="0" collapsed="false">
      <c r="A20" s="18" t="s">
        <v>2889</v>
      </c>
      <c r="B20" s="18" t="s">
        <v>272</v>
      </c>
      <c r="C20" s="18" t="s">
        <v>2890</v>
      </c>
      <c r="D20" s="18" t="s">
        <v>2746</v>
      </c>
      <c r="E20" s="19" t="n">
        <v>46216</v>
      </c>
      <c r="F20" s="18" t="s">
        <v>201</v>
      </c>
      <c r="G20" s="18" t="s">
        <v>2850</v>
      </c>
      <c r="H20" s="23" t="n">
        <v>65000</v>
      </c>
      <c r="I20" s="23" t="n">
        <v>41000</v>
      </c>
      <c r="J20" s="33" t="n">
        <v>0</v>
      </c>
      <c r="K20" s="19" t="n">
        <v>46230</v>
      </c>
      <c r="L20" s="18" t="s">
        <v>317</v>
      </c>
      <c r="M20" s="21" t="str">
        <f aca="false">IFERROR(INDEX(Resources!$B$2:$B$500,MATCH(F20,Resources!$A$2:$A$500,0)),"")</f>
        <v>Aisha Tremblay</v>
      </c>
      <c r="N20" s="14" t="n">
        <f aca="false">H20-I20</f>
        <v>24000</v>
      </c>
      <c r="O20" s="12" t="str">
        <f aca="false">IF(N20&lt;0,"Erodes margin",IF(N20=0,"Neutral","Accretive"))</f>
        <v>Accretive</v>
      </c>
      <c r="P20" s="12" t="str">
        <f aca="false">IF(OR(G20="Draft",G20="Submitted"),"Yes","No")</f>
        <v>No</v>
      </c>
      <c r="Q20" s="13" t="n">
        <f aca="false">IF(ISNUMBER(K20),K20-E20,AsOfDate-E20)</f>
        <v>14</v>
      </c>
    </row>
    <row r="21" customFormat="false" ht="15" hidden="false" customHeight="false" outlineLevel="0" collapsed="false">
      <c r="A21" s="18" t="s">
        <v>2891</v>
      </c>
      <c r="B21" s="18" t="s">
        <v>275</v>
      </c>
      <c r="C21" s="18" t="s">
        <v>2892</v>
      </c>
      <c r="D21" s="18" t="s">
        <v>2726</v>
      </c>
      <c r="E21" s="19" t="n">
        <v>46160</v>
      </c>
      <c r="F21" s="18" t="s">
        <v>218</v>
      </c>
      <c r="G21" s="18" t="s">
        <v>2850</v>
      </c>
      <c r="H21" s="23" t="n">
        <v>0</v>
      </c>
      <c r="I21" s="23" t="n">
        <v>65000</v>
      </c>
      <c r="J21" s="33" t="n">
        <v>30</v>
      </c>
      <c r="K21" s="19" t="n">
        <v>46181</v>
      </c>
      <c r="L21" s="18" t="s">
        <v>317</v>
      </c>
      <c r="M21" s="21" t="str">
        <f aca="false">IFERROR(INDEX(Resources!$B$2:$B$500,MATCH(F21,Resources!$A$2:$A$500,0)),"")</f>
        <v>Mei Fraser</v>
      </c>
      <c r="N21" s="14" t="n">
        <f aca="false">H21-I21</f>
        <v>-65000</v>
      </c>
      <c r="O21" s="12" t="str">
        <f aca="false">IF(N21&lt;0,"Erodes margin",IF(N21=0,"Neutral","Accretive"))</f>
        <v>Erodes margin</v>
      </c>
      <c r="P21" s="12" t="str">
        <f aca="false">IF(OR(G21="Draft",G21="Submitted"),"Yes","No")</f>
        <v>No</v>
      </c>
      <c r="Q21" s="13" t="n">
        <f aca="false">IF(ISNUMBER(K21),K21-E21,AsOfDate-E21)</f>
        <v>21</v>
      </c>
    </row>
    <row r="22" customFormat="false" ht="15" hidden="false" customHeight="false" outlineLevel="0" collapsed="false">
      <c r="A22" s="18" t="s">
        <v>2893</v>
      </c>
      <c r="B22" s="18" t="s">
        <v>275</v>
      </c>
      <c r="C22" s="18" t="s">
        <v>2894</v>
      </c>
      <c r="D22" s="18" t="s">
        <v>2746</v>
      </c>
      <c r="E22" s="19" t="n">
        <v>46260</v>
      </c>
      <c r="F22" s="18" t="s">
        <v>218</v>
      </c>
      <c r="G22" s="18" t="s">
        <v>2855</v>
      </c>
      <c r="H22" s="23" t="n">
        <v>-40000</v>
      </c>
      <c r="I22" s="23" t="n">
        <v>-25000</v>
      </c>
      <c r="J22" s="33" t="n">
        <v>-10</v>
      </c>
      <c r="K22" s="19"/>
      <c r="L22" s="18"/>
      <c r="M22" s="21" t="str">
        <f aca="false">IFERROR(INDEX(Resources!$B$2:$B$500,MATCH(F22,Resources!$A$2:$A$500,0)),"")</f>
        <v>Mei Fraser</v>
      </c>
      <c r="N22" s="14" t="n">
        <f aca="false">H22-I22</f>
        <v>-15000</v>
      </c>
      <c r="O22" s="12" t="str">
        <f aca="false">IF(N22&lt;0,"Erodes margin",IF(N22=0,"Neutral","Accretive"))</f>
        <v>Erodes margin</v>
      </c>
      <c r="P22" s="12" t="str">
        <f aca="false">IF(OR(G22="Draft",G22="Submitted"),"Yes","No")</f>
        <v>Yes</v>
      </c>
      <c r="Q22" s="13" t="n">
        <f aca="false">IF(ISNUMBER(K22),K22-E22,AsOfDate-E22)</f>
        <v>16</v>
      </c>
    </row>
    <row r="23" customFormat="false" ht="15" hidden="false" customHeight="false" outlineLevel="0" collapsed="false">
      <c r="A23" s="18" t="s">
        <v>2895</v>
      </c>
      <c r="B23" s="18" t="s">
        <v>281</v>
      </c>
      <c r="C23" s="18" t="s">
        <v>2896</v>
      </c>
      <c r="D23" s="18" t="s">
        <v>2746</v>
      </c>
      <c r="E23" s="19" t="n">
        <v>45936</v>
      </c>
      <c r="F23" s="18" t="s">
        <v>247</v>
      </c>
      <c r="G23" s="18" t="s">
        <v>2850</v>
      </c>
      <c r="H23" s="23" t="n">
        <v>60000</v>
      </c>
      <c r="I23" s="23" t="n">
        <v>52000</v>
      </c>
      <c r="J23" s="33" t="n">
        <v>28</v>
      </c>
      <c r="K23" s="19" t="n">
        <v>45957</v>
      </c>
      <c r="L23" s="18" t="s">
        <v>317</v>
      </c>
      <c r="M23" s="21" t="str">
        <f aca="false">IFERROR(INDEX(Resources!$B$2:$B$500,MATCH(F23,Resources!$A$2:$A$500,0)),"")</f>
        <v>Arjun Baptiste</v>
      </c>
      <c r="N23" s="14" t="n">
        <f aca="false">H23-I23</f>
        <v>8000</v>
      </c>
      <c r="O23" s="12" t="str">
        <f aca="false">IF(N23&lt;0,"Erodes margin",IF(N23=0,"Neutral","Accretive"))</f>
        <v>Accretive</v>
      </c>
      <c r="P23" s="12" t="str">
        <f aca="false">IF(OR(G23="Draft",G23="Submitted"),"Yes","No")</f>
        <v>No</v>
      </c>
      <c r="Q23" s="13" t="n">
        <f aca="false">IF(ISNUMBER(K23),K23-E23,AsOfDate-E23)</f>
        <v>21</v>
      </c>
    </row>
    <row r="24" customFormat="false" ht="15" hidden="false" customHeight="false" outlineLevel="0" collapsed="false">
      <c r="A24" s="18" t="s">
        <v>2897</v>
      </c>
      <c r="B24" s="18" t="s">
        <v>285</v>
      </c>
      <c r="C24" s="18" t="s">
        <v>2898</v>
      </c>
      <c r="D24" s="18" t="s">
        <v>2746</v>
      </c>
      <c r="E24" s="19" t="n">
        <v>46188</v>
      </c>
      <c r="F24" s="18" t="s">
        <v>247</v>
      </c>
      <c r="G24" s="18" t="s">
        <v>2873</v>
      </c>
      <c r="H24" s="23" t="n">
        <v>45000</v>
      </c>
      <c r="I24" s="23" t="n">
        <v>51000</v>
      </c>
      <c r="J24" s="33" t="n">
        <v>20</v>
      </c>
      <c r="K24" s="19" t="n">
        <v>46209</v>
      </c>
      <c r="L24" s="18" t="s">
        <v>2874</v>
      </c>
      <c r="M24" s="21" t="str">
        <f aca="false">IFERROR(INDEX(Resources!$B$2:$B$500,MATCH(F24,Resources!$A$2:$A$500,0)),"")</f>
        <v>Arjun Baptiste</v>
      </c>
      <c r="N24" s="14" t="n">
        <f aca="false">H24-I24</f>
        <v>-6000</v>
      </c>
      <c r="O24" s="12" t="str">
        <f aca="false">IF(N24&lt;0,"Erodes margin",IF(N24=0,"Neutral","Accretive"))</f>
        <v>Erodes margin</v>
      </c>
      <c r="P24" s="12" t="str">
        <f aca="false">IF(OR(G24="Draft",G24="Submitted"),"Yes","No")</f>
        <v>No</v>
      </c>
      <c r="Q24" s="13" t="n">
        <f aca="false">IF(ISNUMBER(K24),K24-E24,AsOfDate-E24)</f>
        <v>21</v>
      </c>
    </row>
  </sheetData>
  <conditionalFormatting sqref="O2:O24">
    <cfRule type="cellIs" priority="2" operator="equal" aboveAverage="0" equalAverage="0" bottom="0" percent="0" rank="0" text="" dxfId="12">
      <formula>"Erodes margin"</formula>
    </cfRule>
    <cfRule type="cellIs" priority="3" operator="equal" aboveAverage="0" equalAverage="0" bottom="0" percent="0" rank="0" text="" dxfId="14">
      <formula>"Accretive"</formula>
    </cfRule>
  </conditionalFormatting>
  <dataValidations count="1">
    <dataValidation allowBlank="true" error="Pick a value from the list." errorStyle="stop" errorTitle="Invalid value" operator="between" showDropDown="false" showErrorMessage="true" showInputMessage="false" sqref="G2:G1000" type="list">
      <formula1>"Draft,Submitted,Approved,Rejected"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7" min="5" style="0" width="13"/>
    <col collapsed="false" customWidth="true" hidden="false" outlineLevel="0" max="9" min="8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20" t="s">
        <v>2899</v>
      </c>
      <c r="B1" s="20" t="s">
        <v>41</v>
      </c>
      <c r="C1" s="20" t="s">
        <v>153</v>
      </c>
      <c r="D1" s="20" t="s">
        <v>163</v>
      </c>
      <c r="E1" s="20" t="s">
        <v>2900</v>
      </c>
      <c r="F1" s="20" t="s">
        <v>169</v>
      </c>
      <c r="G1" s="20" t="s">
        <v>129</v>
      </c>
      <c r="H1" s="20" t="s">
        <v>130</v>
      </c>
      <c r="I1" s="20" t="s">
        <v>181</v>
      </c>
      <c r="J1" s="20" t="s">
        <v>192</v>
      </c>
      <c r="K1" s="20" t="s">
        <v>193</v>
      </c>
      <c r="L1" s="20" t="s">
        <v>194</v>
      </c>
      <c r="M1" s="20" t="s">
        <v>195</v>
      </c>
      <c r="N1" s="20" t="s">
        <v>866</v>
      </c>
      <c r="O1" s="20" t="s">
        <v>2901</v>
      </c>
    </row>
    <row r="2" customFormat="false" ht="15" hidden="false" customHeight="false" outlineLevel="0" collapsed="false">
      <c r="A2" s="19" t="n">
        <v>46053</v>
      </c>
      <c r="B2" s="18" t="s">
        <v>197</v>
      </c>
      <c r="C2" s="18" t="s">
        <v>203</v>
      </c>
      <c r="D2" s="24" t="n">
        <v>0.28</v>
      </c>
      <c r="E2" s="23" t="n">
        <v>181025.03</v>
      </c>
      <c r="F2" s="23" t="n">
        <v>726500</v>
      </c>
      <c r="G2" s="23" t="n">
        <v>646517.96</v>
      </c>
      <c r="H2" s="24" t="n">
        <v>0.4123</v>
      </c>
      <c r="I2" s="33" t="n">
        <v>1</v>
      </c>
      <c r="J2" s="18" t="s">
        <v>2902</v>
      </c>
      <c r="K2" s="18" t="s">
        <v>2902</v>
      </c>
      <c r="L2" s="18" t="s">
        <v>2902</v>
      </c>
      <c r="M2" s="18" t="s">
        <v>2902</v>
      </c>
      <c r="N2" s="15" t="n">
        <f aca="false">IF(F2=0,0,E2/F2)</f>
        <v>0.249174163799036</v>
      </c>
      <c r="O2" s="12" t="str">
        <f aca="false">TEXT(A2,"yyyymmdd")&amp;"-"&amp;B2</f>
        <v>20260131-P-1001</v>
      </c>
    </row>
    <row r="3" customFormat="false" ht="15" hidden="false" customHeight="false" outlineLevel="0" collapsed="false">
      <c r="A3" s="19" t="n">
        <v>46053</v>
      </c>
      <c r="B3" s="18" t="s">
        <v>207</v>
      </c>
      <c r="C3" s="18" t="s">
        <v>203</v>
      </c>
      <c r="D3" s="24" t="n">
        <v>0.05</v>
      </c>
      <c r="E3" s="23" t="n">
        <v>30142.44</v>
      </c>
      <c r="F3" s="23" t="n">
        <v>466100</v>
      </c>
      <c r="G3" s="23" t="n">
        <v>602848.8</v>
      </c>
      <c r="H3" s="24" t="n">
        <v>0.1199</v>
      </c>
      <c r="I3" s="33" t="n">
        <v>1</v>
      </c>
      <c r="J3" s="18" t="s">
        <v>2902</v>
      </c>
      <c r="K3" s="18" t="s">
        <v>2902</v>
      </c>
      <c r="L3" s="18" t="s">
        <v>2903</v>
      </c>
      <c r="M3" s="18" t="s">
        <v>2903</v>
      </c>
      <c r="N3" s="15" t="n">
        <f aca="false">IF(F3=0,0,E3/F3)</f>
        <v>0.0646694700708003</v>
      </c>
      <c r="O3" s="12" t="str">
        <f aca="false">TEXT(A3,"yyyymmdd")&amp;"-"&amp;B3</f>
        <v>20260131-P-1002</v>
      </c>
    </row>
    <row r="4" customFormat="false" ht="15" hidden="false" customHeight="false" outlineLevel="0" collapsed="false">
      <c r="A4" s="19" t="n">
        <v>46053</v>
      </c>
      <c r="B4" s="18" t="s">
        <v>215</v>
      </c>
      <c r="C4" s="18" t="s">
        <v>203</v>
      </c>
      <c r="D4" s="24" t="n">
        <v>0.24</v>
      </c>
      <c r="E4" s="23" t="n">
        <v>228237.9</v>
      </c>
      <c r="F4" s="23" t="n">
        <v>769600</v>
      </c>
      <c r="G4" s="23" t="n">
        <v>950991.25</v>
      </c>
      <c r="H4" s="24" t="n">
        <v>0.1837</v>
      </c>
      <c r="I4" s="33" t="n">
        <v>17</v>
      </c>
      <c r="J4" s="18" t="s">
        <v>2902</v>
      </c>
      <c r="K4" s="18" t="s">
        <v>2904</v>
      </c>
      <c r="L4" s="18" t="s">
        <v>2904</v>
      </c>
      <c r="M4" s="18" t="s">
        <v>2904</v>
      </c>
      <c r="N4" s="15" t="n">
        <f aca="false">IF(F4=0,0,E4/F4)</f>
        <v>0.296566917879418</v>
      </c>
      <c r="O4" s="12" t="str">
        <f aca="false">TEXT(A4,"yyyymmdd")&amp;"-"&amp;B4</f>
        <v>20260131-P-1003</v>
      </c>
    </row>
    <row r="5" customFormat="false" ht="15" hidden="false" customHeight="false" outlineLevel="0" collapsed="false">
      <c r="A5" s="19" t="n">
        <v>46053</v>
      </c>
      <c r="B5" s="18" t="s">
        <v>233</v>
      </c>
      <c r="C5" s="18" t="s">
        <v>203</v>
      </c>
      <c r="D5" s="24" t="n">
        <v>0.36</v>
      </c>
      <c r="E5" s="23" t="n">
        <v>244237.26</v>
      </c>
      <c r="F5" s="23" t="n">
        <v>582300</v>
      </c>
      <c r="G5" s="23" t="n">
        <v>678436.83</v>
      </c>
      <c r="H5" s="24" t="n">
        <v>0.2783</v>
      </c>
      <c r="I5" s="33" t="n">
        <v>4</v>
      </c>
      <c r="J5" s="18" t="s">
        <v>2902</v>
      </c>
      <c r="K5" s="18" t="s">
        <v>2902</v>
      </c>
      <c r="L5" s="18" t="s">
        <v>2904</v>
      </c>
      <c r="M5" s="18" t="s">
        <v>2904</v>
      </c>
      <c r="N5" s="15" t="n">
        <f aca="false">IF(F5=0,0,E5/F5)</f>
        <v>0.419435445646574</v>
      </c>
      <c r="O5" s="12" t="str">
        <f aca="false">TEXT(A5,"yyyymmdd")&amp;"-"&amp;B5</f>
        <v>20260131-P-1006</v>
      </c>
    </row>
    <row r="6" customFormat="false" ht="15" hidden="false" customHeight="false" outlineLevel="0" collapsed="false">
      <c r="A6" s="19" t="n">
        <v>46053</v>
      </c>
      <c r="B6" s="18" t="s">
        <v>244</v>
      </c>
      <c r="C6" s="18" t="s">
        <v>203</v>
      </c>
      <c r="D6" s="24" t="n">
        <v>0.1</v>
      </c>
      <c r="E6" s="23" t="n">
        <v>52657.97</v>
      </c>
      <c r="F6" s="23" t="n">
        <v>498500</v>
      </c>
      <c r="G6" s="23" t="n">
        <v>526579.7</v>
      </c>
      <c r="H6" s="24" t="n">
        <v>0.2583</v>
      </c>
      <c r="I6" s="33" t="n">
        <v>2</v>
      </c>
      <c r="J6" s="18" t="s">
        <v>2902</v>
      </c>
      <c r="K6" s="18" t="s">
        <v>2902</v>
      </c>
      <c r="L6" s="18" t="s">
        <v>2904</v>
      </c>
      <c r="M6" s="18" t="s">
        <v>2904</v>
      </c>
      <c r="N6" s="15" t="n">
        <f aca="false">IF(F6=0,0,E6/F6)</f>
        <v>0.105632838515547</v>
      </c>
      <c r="O6" s="12" t="str">
        <f aca="false">TEXT(A6,"yyyymmdd")&amp;"-"&amp;B6</f>
        <v>20260131-P-1008</v>
      </c>
    </row>
    <row r="7" customFormat="false" ht="15" hidden="false" customHeight="false" outlineLevel="0" collapsed="false">
      <c r="A7" s="19" t="n">
        <v>46053</v>
      </c>
      <c r="B7" s="18" t="s">
        <v>253</v>
      </c>
      <c r="C7" s="18" t="s">
        <v>203</v>
      </c>
      <c r="D7" s="24" t="n">
        <v>0.21</v>
      </c>
      <c r="E7" s="23" t="n">
        <v>123108.69</v>
      </c>
      <c r="F7" s="23" t="n">
        <v>455000</v>
      </c>
      <c r="G7" s="23" t="n">
        <v>586231.86</v>
      </c>
      <c r="H7" s="24" t="n">
        <v>0.2024</v>
      </c>
      <c r="I7" s="33" t="n">
        <v>11</v>
      </c>
      <c r="J7" s="18" t="s">
        <v>2902</v>
      </c>
      <c r="K7" s="18" t="s">
        <v>2902</v>
      </c>
      <c r="L7" s="18" t="s">
        <v>2904</v>
      </c>
      <c r="M7" s="18" t="s">
        <v>2904</v>
      </c>
      <c r="N7" s="15" t="n">
        <f aca="false">IF(F7=0,0,E7/F7)</f>
        <v>0.27056854945055</v>
      </c>
      <c r="O7" s="12" t="str">
        <f aca="false">TEXT(A7,"yyyymmdd")&amp;"-"&amp;B7</f>
        <v>20260131-P-1010</v>
      </c>
    </row>
    <row r="8" customFormat="false" ht="15" hidden="false" customHeight="false" outlineLevel="0" collapsed="false">
      <c r="A8" s="19" t="n">
        <v>46053</v>
      </c>
      <c r="B8" s="18" t="s">
        <v>265</v>
      </c>
      <c r="C8" s="18" t="s">
        <v>203</v>
      </c>
      <c r="D8" s="24" t="n">
        <v>0.37</v>
      </c>
      <c r="E8" s="23" t="n">
        <v>408346.83</v>
      </c>
      <c r="F8" s="23" t="n">
        <v>934500</v>
      </c>
      <c r="G8" s="23" t="n">
        <v>1103640.08</v>
      </c>
      <c r="H8" s="24" t="n">
        <v>0.22</v>
      </c>
      <c r="I8" s="33" t="n">
        <v>8</v>
      </c>
      <c r="J8" s="18" t="s">
        <v>2902</v>
      </c>
      <c r="K8" s="18" t="s">
        <v>2902</v>
      </c>
      <c r="L8" s="18" t="s">
        <v>2904</v>
      </c>
      <c r="M8" s="18" t="s">
        <v>2904</v>
      </c>
      <c r="N8" s="15" t="n">
        <f aca="false">IF(F8=0,0,E8/F8)</f>
        <v>0.436968250401284</v>
      </c>
      <c r="O8" s="12" t="str">
        <f aca="false">TEXT(A8,"yyyymmdd")&amp;"-"&amp;B8</f>
        <v>20260131-P-1013</v>
      </c>
    </row>
    <row r="9" customFormat="false" ht="15" hidden="false" customHeight="false" outlineLevel="0" collapsed="false">
      <c r="A9" s="19" t="n">
        <v>46053</v>
      </c>
      <c r="B9" s="18" t="s">
        <v>267</v>
      </c>
      <c r="C9" s="18" t="s">
        <v>203</v>
      </c>
      <c r="D9" s="24" t="n">
        <v>0.42</v>
      </c>
      <c r="E9" s="23" t="n">
        <v>387451.61</v>
      </c>
      <c r="F9" s="23" t="n">
        <v>943900</v>
      </c>
      <c r="G9" s="23" t="n">
        <v>922503.83</v>
      </c>
      <c r="H9" s="24" t="n">
        <v>0.3638</v>
      </c>
      <c r="I9" s="33" t="n">
        <v>2</v>
      </c>
      <c r="J9" s="18" t="s">
        <v>2902</v>
      </c>
      <c r="K9" s="18" t="s">
        <v>2902</v>
      </c>
      <c r="L9" s="18" t="s">
        <v>2902</v>
      </c>
      <c r="M9" s="18" t="s">
        <v>2902</v>
      </c>
      <c r="N9" s="15" t="n">
        <f aca="false">IF(F9=0,0,E9/F9)</f>
        <v>0.410479510541371</v>
      </c>
      <c r="O9" s="12" t="str">
        <f aca="false">TEXT(A9,"yyyymmdd")&amp;"-"&amp;B9</f>
        <v>20260131-P-1014</v>
      </c>
    </row>
    <row r="10" customFormat="false" ht="15" hidden="false" customHeight="false" outlineLevel="0" collapsed="false">
      <c r="A10" s="19" t="n">
        <v>46053</v>
      </c>
      <c r="B10" s="18" t="s">
        <v>275</v>
      </c>
      <c r="C10" s="18" t="s">
        <v>203</v>
      </c>
      <c r="D10" s="24" t="n">
        <v>0.04</v>
      </c>
      <c r="E10" s="23" t="n">
        <v>26063.25</v>
      </c>
      <c r="F10" s="23" t="n">
        <v>324000</v>
      </c>
      <c r="G10" s="23" t="n">
        <v>324000</v>
      </c>
      <c r="H10" s="24" t="n">
        <v>0.3032</v>
      </c>
      <c r="I10" s="33" t="n">
        <v>3</v>
      </c>
      <c r="J10" s="18" t="s">
        <v>2902</v>
      </c>
      <c r="K10" s="18" t="s">
        <v>2902</v>
      </c>
      <c r="L10" s="18" t="s">
        <v>2902</v>
      </c>
      <c r="M10" s="18" t="s">
        <v>2902</v>
      </c>
      <c r="N10" s="15" t="n">
        <f aca="false">IF(F10=0,0,E10/F10)</f>
        <v>0.0804421296296296</v>
      </c>
      <c r="O10" s="12" t="str">
        <f aca="false">TEXT(A10,"yyyymmdd")&amp;"-"&amp;B10</f>
        <v>20260131-P-1017</v>
      </c>
    </row>
    <row r="11" customFormat="false" ht="15" hidden="false" customHeight="false" outlineLevel="0" collapsed="false">
      <c r="A11" s="19" t="n">
        <v>46053</v>
      </c>
      <c r="B11" s="18" t="s">
        <v>281</v>
      </c>
      <c r="C11" s="18" t="s">
        <v>203</v>
      </c>
      <c r="D11" s="24" t="n">
        <v>0.91</v>
      </c>
      <c r="E11" s="23" t="n">
        <v>548104.54</v>
      </c>
      <c r="F11" s="23" t="n">
        <v>661200</v>
      </c>
      <c r="G11" s="23" t="n">
        <v>602312.68</v>
      </c>
      <c r="H11" s="24" t="n">
        <v>0.4236</v>
      </c>
      <c r="I11" s="33" t="n">
        <v>38</v>
      </c>
      <c r="J11" s="18" t="s">
        <v>2902</v>
      </c>
      <c r="K11" s="18" t="s">
        <v>2904</v>
      </c>
      <c r="L11" s="18" t="s">
        <v>2902</v>
      </c>
      <c r="M11" s="18" t="s">
        <v>2904</v>
      </c>
      <c r="N11" s="15" t="n">
        <f aca="false">IF(F11=0,0,E11/F11)</f>
        <v>0.828954234724743</v>
      </c>
      <c r="O11" s="12" t="str">
        <f aca="false">TEXT(A11,"yyyymmdd")&amp;"-"&amp;B11</f>
        <v>20260131-P-1019</v>
      </c>
    </row>
    <row r="12" customFormat="false" ht="15" hidden="false" customHeight="false" outlineLevel="0" collapsed="false">
      <c r="A12" s="19" t="n">
        <v>46053</v>
      </c>
      <c r="B12" s="18" t="s">
        <v>283</v>
      </c>
      <c r="C12" s="18" t="s">
        <v>203</v>
      </c>
      <c r="D12" s="24" t="n">
        <v>0.48</v>
      </c>
      <c r="E12" s="23" t="n">
        <v>180006.13</v>
      </c>
      <c r="F12" s="23" t="n">
        <v>412900</v>
      </c>
      <c r="G12" s="23" t="n">
        <v>375012.77</v>
      </c>
      <c r="H12" s="24" t="n">
        <v>0.3644</v>
      </c>
      <c r="I12" s="33" t="n">
        <v>1</v>
      </c>
      <c r="J12" s="18" t="s">
        <v>2902</v>
      </c>
      <c r="K12" s="18" t="s">
        <v>2902</v>
      </c>
      <c r="L12" s="18" t="s">
        <v>2904</v>
      </c>
      <c r="M12" s="18" t="s">
        <v>2904</v>
      </c>
      <c r="N12" s="15" t="n">
        <f aca="false">IF(F12=0,0,E12/F12)</f>
        <v>0.435955751998062</v>
      </c>
      <c r="O12" s="12" t="str">
        <f aca="false">TEXT(A12,"yyyymmdd")&amp;"-"&amp;B12</f>
        <v>20260131-P-1020</v>
      </c>
    </row>
    <row r="13" customFormat="false" ht="15" hidden="false" customHeight="false" outlineLevel="0" collapsed="false">
      <c r="A13" s="19" t="n">
        <v>46081</v>
      </c>
      <c r="B13" s="18" t="s">
        <v>197</v>
      </c>
      <c r="C13" s="18" t="s">
        <v>203</v>
      </c>
      <c r="D13" s="24" t="n">
        <v>0.36</v>
      </c>
      <c r="E13" s="23" t="n">
        <v>236158.26</v>
      </c>
      <c r="F13" s="23" t="n">
        <v>726500</v>
      </c>
      <c r="G13" s="23" t="n">
        <v>655995.17</v>
      </c>
      <c r="H13" s="24" t="n">
        <v>0.4036</v>
      </c>
      <c r="I13" s="33" t="n">
        <v>2</v>
      </c>
      <c r="J13" s="18" t="s">
        <v>2902</v>
      </c>
      <c r="K13" s="18" t="s">
        <v>2902</v>
      </c>
      <c r="L13" s="18" t="s">
        <v>2902</v>
      </c>
      <c r="M13" s="18" t="s">
        <v>2902</v>
      </c>
      <c r="N13" s="15" t="n">
        <f aca="false">IF(F13=0,0,E13/F13)</f>
        <v>0.325062986923606</v>
      </c>
      <c r="O13" s="12" t="str">
        <f aca="false">TEXT(A13,"yyyymmdd")&amp;"-"&amp;B13</f>
        <v>20260228-P-1001</v>
      </c>
    </row>
    <row r="14" customFormat="false" ht="15" hidden="false" customHeight="false" outlineLevel="0" collapsed="false">
      <c r="A14" s="19" t="n">
        <v>46081</v>
      </c>
      <c r="B14" s="18" t="s">
        <v>207</v>
      </c>
      <c r="C14" s="18" t="s">
        <v>203</v>
      </c>
      <c r="D14" s="24" t="n">
        <v>0.11</v>
      </c>
      <c r="E14" s="23" t="n">
        <v>69555.54</v>
      </c>
      <c r="F14" s="23" t="n">
        <v>466100</v>
      </c>
      <c r="G14" s="23" t="n">
        <v>632323.09</v>
      </c>
      <c r="H14" s="24" t="n">
        <v>0.0769</v>
      </c>
      <c r="I14" s="33" t="n">
        <v>3</v>
      </c>
      <c r="J14" s="18" t="s">
        <v>2902</v>
      </c>
      <c r="K14" s="18" t="s">
        <v>2902</v>
      </c>
      <c r="L14" s="18" t="s">
        <v>2903</v>
      </c>
      <c r="M14" s="18" t="s">
        <v>2903</v>
      </c>
      <c r="N14" s="15" t="n">
        <f aca="false">IF(F14=0,0,E14/F14)</f>
        <v>0.149228792104699</v>
      </c>
      <c r="O14" s="12" t="str">
        <f aca="false">TEXT(A14,"yyyymmdd")&amp;"-"&amp;B14</f>
        <v>20260228-P-1002</v>
      </c>
    </row>
    <row r="15" customFormat="false" ht="15" hidden="false" customHeight="false" outlineLevel="0" collapsed="false">
      <c r="A15" s="19" t="n">
        <v>46081</v>
      </c>
      <c r="B15" s="18" t="s">
        <v>215</v>
      </c>
      <c r="C15" s="18" t="s">
        <v>203</v>
      </c>
      <c r="D15" s="24" t="n">
        <v>0.3</v>
      </c>
      <c r="E15" s="23" t="n">
        <v>279801.34</v>
      </c>
      <c r="F15" s="23" t="n">
        <v>879600</v>
      </c>
      <c r="G15" s="23" t="n">
        <v>932671.13</v>
      </c>
      <c r="H15" s="24" t="n">
        <v>0.3066</v>
      </c>
      <c r="I15" s="33" t="n">
        <v>20</v>
      </c>
      <c r="J15" s="18" t="s">
        <v>2902</v>
      </c>
      <c r="K15" s="18" t="s">
        <v>2904</v>
      </c>
      <c r="L15" s="18" t="s">
        <v>2904</v>
      </c>
      <c r="M15" s="18" t="s">
        <v>2904</v>
      </c>
      <c r="N15" s="15" t="n">
        <f aca="false">IF(F15=0,0,E15/F15)</f>
        <v>0.318100659390632</v>
      </c>
      <c r="O15" s="12" t="str">
        <f aca="false">TEXT(A15,"yyyymmdd")&amp;"-"&amp;B15</f>
        <v>20260228-P-1003</v>
      </c>
    </row>
    <row r="16" customFormat="false" ht="15" hidden="false" customHeight="false" outlineLevel="0" collapsed="false">
      <c r="A16" s="19" t="n">
        <v>46081</v>
      </c>
      <c r="B16" s="18" t="s">
        <v>222</v>
      </c>
      <c r="C16" s="18" t="s">
        <v>203</v>
      </c>
      <c r="D16" s="24" t="n">
        <v>0.08</v>
      </c>
      <c r="E16" s="23" t="n">
        <v>54322.53</v>
      </c>
      <c r="F16" s="23" t="n">
        <v>738500</v>
      </c>
      <c r="G16" s="23" t="n">
        <v>679031.62</v>
      </c>
      <c r="H16" s="24" t="n">
        <v>0.4121</v>
      </c>
      <c r="I16" s="33" t="n">
        <v>1</v>
      </c>
      <c r="J16" s="18" t="s">
        <v>2902</v>
      </c>
      <c r="K16" s="18" t="s">
        <v>2902</v>
      </c>
      <c r="L16" s="18" t="s">
        <v>2902</v>
      </c>
      <c r="M16" s="18" t="s">
        <v>2902</v>
      </c>
      <c r="N16" s="15" t="n">
        <f aca="false">IF(F16=0,0,E16/F16)</f>
        <v>0.0735579282329045</v>
      </c>
      <c r="O16" s="12" t="str">
        <f aca="false">TEXT(A16,"yyyymmdd")&amp;"-"&amp;B16</f>
        <v>20260228-P-1004</v>
      </c>
    </row>
    <row r="17" customFormat="false" ht="15" hidden="false" customHeight="false" outlineLevel="0" collapsed="false">
      <c r="A17" s="19" t="n">
        <v>46081</v>
      </c>
      <c r="B17" s="18" t="s">
        <v>233</v>
      </c>
      <c r="C17" s="18" t="s">
        <v>203</v>
      </c>
      <c r="D17" s="24" t="n">
        <v>0.44</v>
      </c>
      <c r="E17" s="23" t="n">
        <v>303819.99</v>
      </c>
      <c r="F17" s="23" t="n">
        <v>582300</v>
      </c>
      <c r="G17" s="23" t="n">
        <v>690499.98</v>
      </c>
      <c r="H17" s="24" t="n">
        <v>0.2654</v>
      </c>
      <c r="I17" s="33" t="n">
        <v>4</v>
      </c>
      <c r="J17" s="18" t="s">
        <v>2902</v>
      </c>
      <c r="K17" s="18" t="s">
        <v>2902</v>
      </c>
      <c r="L17" s="18" t="s">
        <v>2904</v>
      </c>
      <c r="M17" s="18" t="s">
        <v>2904</v>
      </c>
      <c r="N17" s="15" t="n">
        <f aca="false">IF(F17=0,0,E17/F17)</f>
        <v>0.521758526532715</v>
      </c>
      <c r="O17" s="12" t="str">
        <f aca="false">TEXT(A17,"yyyymmdd")&amp;"-"&amp;B17</f>
        <v>20260228-P-1006</v>
      </c>
    </row>
    <row r="18" customFormat="false" ht="15" hidden="false" customHeight="false" outlineLevel="0" collapsed="false">
      <c r="A18" s="19" t="n">
        <v>46081</v>
      </c>
      <c r="B18" s="18" t="s">
        <v>244</v>
      </c>
      <c r="C18" s="18" t="s">
        <v>203</v>
      </c>
      <c r="D18" s="24" t="n">
        <v>0.2</v>
      </c>
      <c r="E18" s="23" t="n">
        <v>104887.8</v>
      </c>
      <c r="F18" s="23" t="n">
        <v>498500</v>
      </c>
      <c r="G18" s="23" t="n">
        <v>524439</v>
      </c>
      <c r="H18" s="24" t="n">
        <v>0.2614</v>
      </c>
      <c r="I18" s="33" t="n">
        <v>4</v>
      </c>
      <c r="J18" s="18" t="s">
        <v>2902</v>
      </c>
      <c r="K18" s="18" t="s">
        <v>2902</v>
      </c>
      <c r="L18" s="18" t="s">
        <v>2904</v>
      </c>
      <c r="M18" s="18" t="s">
        <v>2904</v>
      </c>
      <c r="N18" s="15" t="n">
        <f aca="false">IF(F18=0,0,E18/F18)</f>
        <v>0.210406820461384</v>
      </c>
      <c r="O18" s="12" t="str">
        <f aca="false">TEXT(A18,"yyyymmdd")&amp;"-"&amp;B18</f>
        <v>20260228-P-1008</v>
      </c>
    </row>
    <row r="19" customFormat="false" ht="15" hidden="false" customHeight="false" outlineLevel="0" collapsed="false">
      <c r="A19" s="19" t="n">
        <v>46081</v>
      </c>
      <c r="B19" s="18" t="s">
        <v>253</v>
      </c>
      <c r="C19" s="18" t="s">
        <v>203</v>
      </c>
      <c r="D19" s="24" t="n">
        <v>0.3</v>
      </c>
      <c r="E19" s="23" t="n">
        <v>182500.37</v>
      </c>
      <c r="F19" s="23" t="n">
        <v>455000</v>
      </c>
      <c r="G19" s="23" t="n">
        <v>608334.57</v>
      </c>
      <c r="H19" s="24" t="n">
        <v>0.1723</v>
      </c>
      <c r="I19" s="33" t="n">
        <v>16</v>
      </c>
      <c r="J19" s="18" t="s">
        <v>2904</v>
      </c>
      <c r="K19" s="18" t="s">
        <v>2904</v>
      </c>
      <c r="L19" s="18" t="s">
        <v>2904</v>
      </c>
      <c r="M19" s="18" t="s">
        <v>2904</v>
      </c>
      <c r="N19" s="15" t="n">
        <f aca="false">IF(F19=0,0,E19/F19)</f>
        <v>0.401099714285714</v>
      </c>
      <c r="O19" s="12" t="str">
        <f aca="false">TEXT(A19,"yyyymmdd")&amp;"-"&amp;B19</f>
        <v>20260228-P-1010</v>
      </c>
    </row>
    <row r="20" customFormat="false" ht="15" hidden="false" customHeight="false" outlineLevel="0" collapsed="false">
      <c r="A20" s="19" t="n">
        <v>46081</v>
      </c>
      <c r="B20" s="18" t="s">
        <v>257</v>
      </c>
      <c r="C20" s="18" t="s">
        <v>203</v>
      </c>
      <c r="D20" s="24" t="n">
        <v>0.02</v>
      </c>
      <c r="E20" s="23" t="n">
        <v>16660.24</v>
      </c>
      <c r="F20" s="23" t="n">
        <v>620700</v>
      </c>
      <c r="G20" s="23" t="n">
        <v>620700</v>
      </c>
      <c r="H20" s="24" t="n">
        <v>0.3634</v>
      </c>
      <c r="I20" s="33" t="n">
        <v>0</v>
      </c>
      <c r="J20" s="18" t="s">
        <v>2902</v>
      </c>
      <c r="K20" s="18" t="s">
        <v>2902</v>
      </c>
      <c r="L20" s="18" t="s">
        <v>2904</v>
      </c>
      <c r="M20" s="18" t="s">
        <v>2904</v>
      </c>
      <c r="N20" s="15" t="n">
        <f aca="false">IF(F20=0,0,E20/F20)</f>
        <v>0.0268410504269373</v>
      </c>
      <c r="O20" s="12" t="str">
        <f aca="false">TEXT(A20,"yyyymmdd")&amp;"-"&amp;B20</f>
        <v>20260228-P-1011</v>
      </c>
    </row>
    <row r="21" customFormat="false" ht="15" hidden="false" customHeight="false" outlineLevel="0" collapsed="false">
      <c r="A21" s="19" t="n">
        <v>46081</v>
      </c>
      <c r="B21" s="18" t="s">
        <v>265</v>
      </c>
      <c r="C21" s="18" t="s">
        <v>203</v>
      </c>
      <c r="D21" s="24" t="n">
        <v>0.43</v>
      </c>
      <c r="E21" s="23" t="n">
        <v>473619.52</v>
      </c>
      <c r="F21" s="23" t="n">
        <v>1022500</v>
      </c>
      <c r="G21" s="23" t="n">
        <v>1101440.74</v>
      </c>
      <c r="H21" s="24" t="n">
        <v>0.2706</v>
      </c>
      <c r="I21" s="33" t="n">
        <v>9</v>
      </c>
      <c r="J21" s="18" t="s">
        <v>2902</v>
      </c>
      <c r="K21" s="18" t="s">
        <v>2902</v>
      </c>
      <c r="L21" s="18" t="s">
        <v>2904</v>
      </c>
      <c r="M21" s="18" t="s">
        <v>2904</v>
      </c>
      <c r="N21" s="15" t="n">
        <f aca="false">IF(F21=0,0,E21/F21)</f>
        <v>0.463197574572127</v>
      </c>
      <c r="O21" s="12" t="str">
        <f aca="false">TEXT(A21,"yyyymmdd")&amp;"-"&amp;B21</f>
        <v>20260228-P-1013</v>
      </c>
    </row>
    <row r="22" customFormat="false" ht="15" hidden="false" customHeight="false" outlineLevel="0" collapsed="false">
      <c r="A22" s="19" t="n">
        <v>46081</v>
      </c>
      <c r="B22" s="18" t="s">
        <v>267</v>
      </c>
      <c r="C22" s="18" t="s">
        <v>203</v>
      </c>
      <c r="D22" s="24" t="n">
        <v>0.48</v>
      </c>
      <c r="E22" s="23" t="n">
        <v>432981.9</v>
      </c>
      <c r="F22" s="23" t="n">
        <v>943900</v>
      </c>
      <c r="G22" s="23" t="n">
        <v>902045.63</v>
      </c>
      <c r="H22" s="24" t="n">
        <v>0.3779</v>
      </c>
      <c r="I22" s="33" t="n">
        <v>2</v>
      </c>
      <c r="J22" s="18" t="s">
        <v>2902</v>
      </c>
      <c r="K22" s="18" t="s">
        <v>2902</v>
      </c>
      <c r="L22" s="18" t="s">
        <v>2902</v>
      </c>
      <c r="M22" s="18" t="s">
        <v>2902</v>
      </c>
      <c r="N22" s="15" t="n">
        <f aca="false">IF(F22=0,0,E22/F22)</f>
        <v>0.458715859730904</v>
      </c>
      <c r="O22" s="12" t="str">
        <f aca="false">TEXT(A22,"yyyymmdd")&amp;"-"&amp;B22</f>
        <v>20260228-P-1014</v>
      </c>
    </row>
    <row r="23" customFormat="false" ht="15" hidden="false" customHeight="false" outlineLevel="0" collapsed="false">
      <c r="A23" s="19" t="n">
        <v>46081</v>
      </c>
      <c r="B23" s="18" t="s">
        <v>275</v>
      </c>
      <c r="C23" s="18" t="s">
        <v>203</v>
      </c>
      <c r="D23" s="24" t="n">
        <v>0.13</v>
      </c>
      <c r="E23" s="23" t="n">
        <v>73552.84</v>
      </c>
      <c r="F23" s="23" t="n">
        <v>324000</v>
      </c>
      <c r="G23" s="23" t="n">
        <v>565791.08</v>
      </c>
      <c r="H23" s="24" t="n">
        <v>-0.2168</v>
      </c>
      <c r="I23" s="33" t="n">
        <v>10</v>
      </c>
      <c r="J23" s="18" t="s">
        <v>2902</v>
      </c>
      <c r="K23" s="18" t="s">
        <v>2902</v>
      </c>
      <c r="L23" s="18" t="s">
        <v>2903</v>
      </c>
      <c r="M23" s="18" t="s">
        <v>2903</v>
      </c>
      <c r="N23" s="15" t="n">
        <f aca="false">IF(F23=0,0,E23/F23)</f>
        <v>0.227014938271605</v>
      </c>
      <c r="O23" s="12" t="str">
        <f aca="false">TEXT(A23,"yyyymmdd")&amp;"-"&amp;B23</f>
        <v>20260228-P-1017</v>
      </c>
    </row>
    <row r="24" customFormat="false" ht="15" hidden="false" customHeight="false" outlineLevel="0" collapsed="false">
      <c r="A24" s="19" t="n">
        <v>46081</v>
      </c>
      <c r="B24" s="18" t="s">
        <v>281</v>
      </c>
      <c r="C24" s="18" t="s">
        <v>203</v>
      </c>
      <c r="D24" s="24" t="n">
        <v>0.97</v>
      </c>
      <c r="E24" s="23" t="n">
        <v>604081.35</v>
      </c>
      <c r="F24" s="23" t="n">
        <v>661200</v>
      </c>
      <c r="G24" s="23" t="n">
        <v>622764.28</v>
      </c>
      <c r="H24" s="24" t="n">
        <v>0.4041</v>
      </c>
      <c r="I24" s="33" t="n">
        <v>42</v>
      </c>
      <c r="J24" s="18" t="s">
        <v>2902</v>
      </c>
      <c r="K24" s="18" t="s">
        <v>2904</v>
      </c>
      <c r="L24" s="18" t="s">
        <v>2902</v>
      </c>
      <c r="M24" s="18" t="s">
        <v>2904</v>
      </c>
      <c r="N24" s="15" t="n">
        <f aca="false">IF(F24=0,0,E24/F24)</f>
        <v>0.913613656987296</v>
      </c>
      <c r="O24" s="12" t="str">
        <f aca="false">TEXT(A24,"yyyymmdd")&amp;"-"&amp;B24</f>
        <v>20260228-P-1019</v>
      </c>
    </row>
    <row r="25" customFormat="false" ht="15" hidden="false" customHeight="false" outlineLevel="0" collapsed="false">
      <c r="A25" s="19" t="n">
        <v>46081</v>
      </c>
      <c r="B25" s="18" t="s">
        <v>283</v>
      </c>
      <c r="C25" s="18" t="s">
        <v>203</v>
      </c>
      <c r="D25" s="24" t="n">
        <v>0.61</v>
      </c>
      <c r="E25" s="23" t="n">
        <v>231452.88</v>
      </c>
      <c r="F25" s="23" t="n">
        <v>412900</v>
      </c>
      <c r="G25" s="23" t="n">
        <v>379430.95</v>
      </c>
      <c r="H25" s="24" t="n">
        <v>0.3569</v>
      </c>
      <c r="I25" s="33" t="n">
        <v>2</v>
      </c>
      <c r="J25" s="18" t="s">
        <v>2902</v>
      </c>
      <c r="K25" s="18" t="s">
        <v>2902</v>
      </c>
      <c r="L25" s="18" t="s">
        <v>2904</v>
      </c>
      <c r="M25" s="18" t="s">
        <v>2904</v>
      </c>
      <c r="N25" s="15" t="n">
        <f aca="false">IF(F25=0,0,E25/F25)</f>
        <v>0.560554323080649</v>
      </c>
      <c r="O25" s="12" t="str">
        <f aca="false">TEXT(A25,"yyyymmdd")&amp;"-"&amp;B25</f>
        <v>20260228-P-1020</v>
      </c>
    </row>
    <row r="26" customFormat="false" ht="15" hidden="false" customHeight="false" outlineLevel="0" collapsed="false">
      <c r="A26" s="19" t="n">
        <v>46081</v>
      </c>
      <c r="B26" s="18" t="s">
        <v>285</v>
      </c>
      <c r="C26" s="18" t="s">
        <v>203</v>
      </c>
      <c r="D26" s="24" t="n">
        <v>0.06</v>
      </c>
      <c r="E26" s="23" t="n">
        <v>23095.5</v>
      </c>
      <c r="F26" s="23" t="n">
        <v>398600</v>
      </c>
      <c r="G26" s="23" t="n">
        <v>384925</v>
      </c>
      <c r="H26" s="24" t="n">
        <v>0.3841</v>
      </c>
      <c r="I26" s="33" t="n">
        <v>8</v>
      </c>
      <c r="J26" s="18" t="s">
        <v>2902</v>
      </c>
      <c r="K26" s="18" t="s">
        <v>2902</v>
      </c>
      <c r="L26" s="18" t="s">
        <v>2902</v>
      </c>
      <c r="M26" s="18" t="s">
        <v>2902</v>
      </c>
      <c r="N26" s="15" t="n">
        <f aca="false">IF(F26=0,0,E26/F26)</f>
        <v>0.0579415454089313</v>
      </c>
      <c r="O26" s="12" t="str">
        <f aca="false">TEXT(A26,"yyyymmdd")&amp;"-"&amp;B26</f>
        <v>20260228-P-1021</v>
      </c>
    </row>
    <row r="27" customFormat="false" ht="15" hidden="false" customHeight="false" outlineLevel="0" collapsed="false">
      <c r="A27" s="19" t="n">
        <v>46112</v>
      </c>
      <c r="B27" s="18" t="s">
        <v>197</v>
      </c>
      <c r="C27" s="18" t="s">
        <v>203</v>
      </c>
      <c r="D27" s="24" t="n">
        <v>0.46</v>
      </c>
      <c r="E27" s="23" t="n">
        <v>296718.6</v>
      </c>
      <c r="F27" s="23" t="n">
        <v>748500</v>
      </c>
      <c r="G27" s="23" t="n">
        <v>645040.43</v>
      </c>
      <c r="H27" s="24" t="n">
        <v>0.4317</v>
      </c>
      <c r="I27" s="33" t="n">
        <v>2</v>
      </c>
      <c r="J27" s="18" t="s">
        <v>2902</v>
      </c>
      <c r="K27" s="18" t="s">
        <v>2902</v>
      </c>
      <c r="L27" s="18" t="s">
        <v>2902</v>
      </c>
      <c r="M27" s="18" t="s">
        <v>2902</v>
      </c>
      <c r="N27" s="15" t="n">
        <f aca="false">IF(F27=0,0,E27/F27)</f>
        <v>0.396417635270541</v>
      </c>
      <c r="O27" s="12" t="str">
        <f aca="false">TEXT(A27,"yyyymmdd")&amp;"-"&amp;B27</f>
        <v>20260331-P-1001</v>
      </c>
    </row>
    <row r="28" customFormat="false" ht="15" hidden="false" customHeight="false" outlineLevel="0" collapsed="false">
      <c r="A28" s="19" t="n">
        <v>46112</v>
      </c>
      <c r="B28" s="18" t="s">
        <v>207</v>
      </c>
      <c r="C28" s="18" t="s">
        <v>203</v>
      </c>
      <c r="D28" s="24" t="n">
        <v>0.18</v>
      </c>
      <c r="E28" s="23" t="n">
        <v>113559.1</v>
      </c>
      <c r="F28" s="23" t="n">
        <v>466100</v>
      </c>
      <c r="G28" s="23" t="n">
        <v>630883.89</v>
      </c>
      <c r="H28" s="24" t="n">
        <v>0.079</v>
      </c>
      <c r="I28" s="33" t="n">
        <v>6</v>
      </c>
      <c r="J28" s="18" t="s">
        <v>2902</v>
      </c>
      <c r="K28" s="18" t="s">
        <v>2902</v>
      </c>
      <c r="L28" s="18" t="s">
        <v>2903</v>
      </c>
      <c r="M28" s="18" t="s">
        <v>2903</v>
      </c>
      <c r="N28" s="15" t="n">
        <f aca="false">IF(F28=0,0,E28/F28)</f>
        <v>0.24363677322463</v>
      </c>
      <c r="O28" s="12" t="str">
        <f aca="false">TEXT(A28,"yyyymmdd")&amp;"-"&amp;B28</f>
        <v>20260331-P-1002</v>
      </c>
    </row>
    <row r="29" customFormat="false" ht="15" hidden="false" customHeight="false" outlineLevel="0" collapsed="false">
      <c r="A29" s="19" t="n">
        <v>46112</v>
      </c>
      <c r="B29" s="18" t="s">
        <v>215</v>
      </c>
      <c r="C29" s="18" t="s">
        <v>203</v>
      </c>
      <c r="D29" s="24" t="n">
        <v>0.36</v>
      </c>
      <c r="E29" s="23" t="n">
        <v>333911.57</v>
      </c>
      <c r="F29" s="23" t="n">
        <v>879600</v>
      </c>
      <c r="G29" s="23" t="n">
        <v>927532.14</v>
      </c>
      <c r="H29" s="24" t="n">
        <v>0.3104</v>
      </c>
      <c r="I29" s="33" t="n">
        <v>23</v>
      </c>
      <c r="J29" s="18" t="s">
        <v>2902</v>
      </c>
      <c r="K29" s="18" t="s">
        <v>2904</v>
      </c>
      <c r="L29" s="18" t="s">
        <v>2904</v>
      </c>
      <c r="M29" s="18" t="s">
        <v>2904</v>
      </c>
      <c r="N29" s="15" t="n">
        <f aca="false">IF(F29=0,0,E29/F29)</f>
        <v>0.379617519326967</v>
      </c>
      <c r="O29" s="12" t="str">
        <f aca="false">TEXT(A29,"yyyymmdd")&amp;"-"&amp;B29</f>
        <v>20260331-P-1003</v>
      </c>
    </row>
    <row r="30" customFormat="false" ht="15" hidden="false" customHeight="false" outlineLevel="0" collapsed="false">
      <c r="A30" s="19" t="n">
        <v>46112</v>
      </c>
      <c r="B30" s="18" t="s">
        <v>222</v>
      </c>
      <c r="C30" s="18" t="s">
        <v>203</v>
      </c>
      <c r="D30" s="24" t="n">
        <v>0.17</v>
      </c>
      <c r="E30" s="23" t="n">
        <v>111167.63</v>
      </c>
      <c r="F30" s="23" t="n">
        <v>738500</v>
      </c>
      <c r="G30" s="23" t="n">
        <v>653927.24</v>
      </c>
      <c r="H30" s="24" t="n">
        <v>0.4338</v>
      </c>
      <c r="I30" s="33" t="n">
        <v>2</v>
      </c>
      <c r="J30" s="18" t="s">
        <v>2902</v>
      </c>
      <c r="K30" s="18" t="s">
        <v>2902</v>
      </c>
      <c r="L30" s="18" t="s">
        <v>2902</v>
      </c>
      <c r="M30" s="18" t="s">
        <v>2902</v>
      </c>
      <c r="N30" s="15" t="n">
        <f aca="false">IF(F30=0,0,E30/F30)</f>
        <v>0.150531658767773</v>
      </c>
      <c r="O30" s="12" t="str">
        <f aca="false">TEXT(A30,"yyyymmdd")&amp;"-"&amp;B30</f>
        <v>20260331-P-1004</v>
      </c>
    </row>
    <row r="31" customFormat="false" ht="15" hidden="false" customHeight="false" outlineLevel="0" collapsed="false">
      <c r="A31" s="19" t="n">
        <v>46112</v>
      </c>
      <c r="B31" s="18" t="s">
        <v>228</v>
      </c>
      <c r="C31" s="18" t="s">
        <v>203</v>
      </c>
      <c r="D31" s="24" t="n">
        <v>0.05</v>
      </c>
      <c r="E31" s="23" t="n">
        <v>38595.31</v>
      </c>
      <c r="F31" s="23" t="n">
        <v>459200</v>
      </c>
      <c r="G31" s="23" t="n">
        <v>771906.2</v>
      </c>
      <c r="H31" s="24" t="n">
        <v>-0.0431</v>
      </c>
      <c r="I31" s="33" t="n">
        <v>11</v>
      </c>
      <c r="J31" s="18" t="s">
        <v>2902</v>
      </c>
      <c r="K31" s="18" t="s">
        <v>2902</v>
      </c>
      <c r="L31" s="18" t="s">
        <v>2903</v>
      </c>
      <c r="M31" s="18" t="s">
        <v>2903</v>
      </c>
      <c r="N31" s="15" t="n">
        <f aca="false">IF(F31=0,0,E31/F31)</f>
        <v>0.0840490200348432</v>
      </c>
      <c r="O31" s="12" t="str">
        <f aca="false">TEXT(A31,"yyyymmdd")&amp;"-"&amp;B31</f>
        <v>20260331-P-1005</v>
      </c>
    </row>
    <row r="32" customFormat="false" ht="15" hidden="false" customHeight="false" outlineLevel="0" collapsed="false">
      <c r="A32" s="19" t="n">
        <v>46112</v>
      </c>
      <c r="B32" s="18" t="s">
        <v>233</v>
      </c>
      <c r="C32" s="18" t="s">
        <v>203</v>
      </c>
      <c r="D32" s="24" t="n">
        <v>0.54</v>
      </c>
      <c r="E32" s="23" t="n">
        <v>369581.84</v>
      </c>
      <c r="F32" s="23" t="n">
        <v>582300</v>
      </c>
      <c r="G32" s="23" t="n">
        <v>684410.81</v>
      </c>
      <c r="H32" s="24" t="n">
        <v>0.2719</v>
      </c>
      <c r="I32" s="33" t="n">
        <v>5</v>
      </c>
      <c r="J32" s="18" t="s">
        <v>2902</v>
      </c>
      <c r="K32" s="18" t="s">
        <v>2902</v>
      </c>
      <c r="L32" s="18" t="s">
        <v>2904</v>
      </c>
      <c r="M32" s="18" t="s">
        <v>2904</v>
      </c>
      <c r="N32" s="15" t="n">
        <f aca="false">IF(F32=0,0,E32/F32)</f>
        <v>0.634693182208484</v>
      </c>
      <c r="O32" s="12" t="str">
        <f aca="false">TEXT(A32,"yyyymmdd")&amp;"-"&amp;B32</f>
        <v>20260331-P-1006</v>
      </c>
    </row>
    <row r="33" customFormat="false" ht="15" hidden="false" customHeight="false" outlineLevel="0" collapsed="false">
      <c r="A33" s="19" t="n">
        <v>46112</v>
      </c>
      <c r="B33" s="18" t="s">
        <v>244</v>
      </c>
      <c r="C33" s="18" t="s">
        <v>203</v>
      </c>
      <c r="D33" s="24" t="n">
        <v>0.32</v>
      </c>
      <c r="E33" s="23" t="n">
        <v>183595.06</v>
      </c>
      <c r="F33" s="23" t="n">
        <v>498500</v>
      </c>
      <c r="G33" s="23" t="n">
        <v>573734.56</v>
      </c>
      <c r="H33" s="24" t="n">
        <v>0.1919</v>
      </c>
      <c r="I33" s="33" t="n">
        <v>6</v>
      </c>
      <c r="J33" s="18" t="s">
        <v>2902</v>
      </c>
      <c r="K33" s="18" t="s">
        <v>2902</v>
      </c>
      <c r="L33" s="18" t="s">
        <v>2904</v>
      </c>
      <c r="M33" s="18" t="s">
        <v>2904</v>
      </c>
      <c r="N33" s="15" t="n">
        <f aca="false">IF(F33=0,0,E33/F33)</f>
        <v>0.368295005015045</v>
      </c>
      <c r="O33" s="12" t="str">
        <f aca="false">TEXT(A33,"yyyymmdd")&amp;"-"&amp;B33</f>
        <v>20260331-P-1008</v>
      </c>
    </row>
    <row r="34" customFormat="false" ht="15" hidden="false" customHeight="false" outlineLevel="0" collapsed="false">
      <c r="A34" s="19" t="n">
        <v>46112</v>
      </c>
      <c r="B34" s="18" t="s">
        <v>253</v>
      </c>
      <c r="C34" s="18" t="s">
        <v>203</v>
      </c>
      <c r="D34" s="24" t="n">
        <v>0.41</v>
      </c>
      <c r="E34" s="23" t="n">
        <v>242787.9</v>
      </c>
      <c r="F34" s="23" t="n">
        <v>455000</v>
      </c>
      <c r="G34" s="23" t="n">
        <v>592165.61</v>
      </c>
      <c r="H34" s="24" t="n">
        <v>0.1943</v>
      </c>
      <c r="I34" s="33" t="n">
        <v>22</v>
      </c>
      <c r="J34" s="18" t="s">
        <v>2904</v>
      </c>
      <c r="K34" s="18" t="s">
        <v>2904</v>
      </c>
      <c r="L34" s="18" t="s">
        <v>2904</v>
      </c>
      <c r="M34" s="18" t="s">
        <v>2904</v>
      </c>
      <c r="N34" s="15" t="n">
        <f aca="false">IF(F34=0,0,E34/F34)</f>
        <v>0.53359978021978</v>
      </c>
      <c r="O34" s="12" t="str">
        <f aca="false">TEXT(A34,"yyyymmdd")&amp;"-"&amp;B34</f>
        <v>20260331-P-1010</v>
      </c>
    </row>
    <row r="35" customFormat="false" ht="15" hidden="false" customHeight="false" outlineLevel="0" collapsed="false">
      <c r="A35" s="19" t="n">
        <v>46112</v>
      </c>
      <c r="B35" s="18" t="s">
        <v>257</v>
      </c>
      <c r="C35" s="18" t="s">
        <v>203</v>
      </c>
      <c r="D35" s="24" t="n">
        <v>0.08</v>
      </c>
      <c r="E35" s="23" t="n">
        <v>46050.47</v>
      </c>
      <c r="F35" s="23" t="n">
        <v>620700</v>
      </c>
      <c r="G35" s="23" t="n">
        <v>575630.88</v>
      </c>
      <c r="H35" s="24" t="n">
        <v>0.4096</v>
      </c>
      <c r="I35" s="33" t="n">
        <v>0</v>
      </c>
      <c r="J35" s="18" t="s">
        <v>2902</v>
      </c>
      <c r="K35" s="18" t="s">
        <v>2902</v>
      </c>
      <c r="L35" s="18" t="s">
        <v>2902</v>
      </c>
      <c r="M35" s="18" t="s">
        <v>2902</v>
      </c>
      <c r="N35" s="15" t="n">
        <f aca="false">IF(F35=0,0,E35/F35)</f>
        <v>0.0741911873690994</v>
      </c>
      <c r="O35" s="12" t="str">
        <f aca="false">TEXT(A35,"yyyymmdd")&amp;"-"&amp;B35</f>
        <v>20260331-P-1011</v>
      </c>
    </row>
    <row r="36" customFormat="false" ht="15" hidden="false" customHeight="false" outlineLevel="0" collapsed="false">
      <c r="A36" s="19" t="n">
        <v>46112</v>
      </c>
      <c r="B36" s="18" t="s">
        <v>265</v>
      </c>
      <c r="C36" s="18" t="s">
        <v>203</v>
      </c>
      <c r="D36" s="24" t="n">
        <v>0.51</v>
      </c>
      <c r="E36" s="23" t="n">
        <v>554447.45</v>
      </c>
      <c r="F36" s="23" t="n">
        <v>1022500</v>
      </c>
      <c r="G36" s="23" t="n">
        <v>1087151.86</v>
      </c>
      <c r="H36" s="24" t="n">
        <v>0.28</v>
      </c>
      <c r="I36" s="33" t="n">
        <v>10</v>
      </c>
      <c r="J36" s="18" t="s">
        <v>2902</v>
      </c>
      <c r="K36" s="18" t="s">
        <v>2902</v>
      </c>
      <c r="L36" s="18" t="s">
        <v>2904</v>
      </c>
      <c r="M36" s="18" t="s">
        <v>2904</v>
      </c>
      <c r="N36" s="15" t="n">
        <f aca="false">IF(F36=0,0,E36/F36)</f>
        <v>0.542246894865526</v>
      </c>
      <c r="O36" s="12" t="str">
        <f aca="false">TEXT(A36,"yyyymmdd")&amp;"-"&amp;B36</f>
        <v>20260331-P-1013</v>
      </c>
    </row>
    <row r="37" customFormat="false" ht="15" hidden="false" customHeight="false" outlineLevel="0" collapsed="false">
      <c r="A37" s="19" t="n">
        <v>46112</v>
      </c>
      <c r="B37" s="18" t="s">
        <v>267</v>
      </c>
      <c r="C37" s="18" t="s">
        <v>203</v>
      </c>
      <c r="D37" s="24" t="n">
        <v>0.54</v>
      </c>
      <c r="E37" s="23" t="n">
        <v>480204.58</v>
      </c>
      <c r="F37" s="23" t="n">
        <v>943900</v>
      </c>
      <c r="G37" s="23" t="n">
        <v>889267.74</v>
      </c>
      <c r="H37" s="24" t="n">
        <v>0.3867</v>
      </c>
      <c r="I37" s="33" t="n">
        <v>3</v>
      </c>
      <c r="J37" s="18" t="s">
        <v>2902</v>
      </c>
      <c r="K37" s="18" t="s">
        <v>2902</v>
      </c>
      <c r="L37" s="18" t="s">
        <v>2902</v>
      </c>
      <c r="M37" s="18" t="s">
        <v>2902</v>
      </c>
      <c r="N37" s="15" t="n">
        <f aca="false">IF(F37=0,0,E37/F37)</f>
        <v>0.508745184871279</v>
      </c>
      <c r="O37" s="12" t="str">
        <f aca="false">TEXT(A37,"yyyymmdd")&amp;"-"&amp;B37</f>
        <v>20260331-P-1014</v>
      </c>
    </row>
    <row r="38" customFormat="false" ht="15" hidden="false" customHeight="false" outlineLevel="0" collapsed="false">
      <c r="A38" s="19" t="n">
        <v>46112</v>
      </c>
      <c r="B38" s="18" t="s">
        <v>270</v>
      </c>
      <c r="C38" s="18" t="s">
        <v>203</v>
      </c>
      <c r="D38" s="24" t="n">
        <v>0.03</v>
      </c>
      <c r="E38" s="23" t="n">
        <v>37834.75</v>
      </c>
      <c r="F38" s="23" t="n">
        <v>892800</v>
      </c>
      <c r="G38" s="23" t="n">
        <v>892800</v>
      </c>
      <c r="H38" s="24" t="n">
        <v>0.3211</v>
      </c>
      <c r="I38" s="33" t="n">
        <v>1</v>
      </c>
      <c r="J38" s="18" t="s">
        <v>2902</v>
      </c>
      <c r="K38" s="18" t="s">
        <v>2902</v>
      </c>
      <c r="L38" s="18" t="s">
        <v>2902</v>
      </c>
      <c r="M38" s="18" t="s">
        <v>2902</v>
      </c>
      <c r="N38" s="15" t="n">
        <f aca="false">IF(F38=0,0,E38/F38)</f>
        <v>0.0423776321684588</v>
      </c>
      <c r="O38" s="12" t="str">
        <f aca="false">TEXT(A38,"yyyymmdd")&amp;"-"&amp;B38</f>
        <v>20260331-P-1015</v>
      </c>
    </row>
    <row r="39" customFormat="false" ht="15" hidden="false" customHeight="false" outlineLevel="0" collapsed="false">
      <c r="A39" s="19" t="n">
        <v>46112</v>
      </c>
      <c r="B39" s="18" t="s">
        <v>275</v>
      </c>
      <c r="C39" s="18" t="s">
        <v>203</v>
      </c>
      <c r="D39" s="24" t="n">
        <v>0.23</v>
      </c>
      <c r="E39" s="23" t="n">
        <v>126034.39</v>
      </c>
      <c r="F39" s="23" t="n">
        <v>324000</v>
      </c>
      <c r="G39" s="23" t="n">
        <v>547975.61</v>
      </c>
      <c r="H39" s="24" t="n">
        <v>-0.1784</v>
      </c>
      <c r="I39" s="33" t="n">
        <v>17</v>
      </c>
      <c r="J39" s="18" t="s">
        <v>2904</v>
      </c>
      <c r="K39" s="18" t="s">
        <v>2904</v>
      </c>
      <c r="L39" s="18" t="s">
        <v>2903</v>
      </c>
      <c r="M39" s="18" t="s">
        <v>2903</v>
      </c>
      <c r="N39" s="15" t="n">
        <f aca="false">IF(F39=0,0,E39/F39)</f>
        <v>0.388995030864198</v>
      </c>
      <c r="O39" s="12" t="str">
        <f aca="false">TEXT(A39,"yyyymmdd")&amp;"-"&amp;B39</f>
        <v>20260331-P-1017</v>
      </c>
    </row>
    <row r="40" customFormat="false" ht="15" hidden="false" customHeight="false" outlineLevel="0" collapsed="false">
      <c r="A40" s="19" t="n">
        <v>46112</v>
      </c>
      <c r="B40" s="18" t="s">
        <v>281</v>
      </c>
      <c r="C40" s="18" t="s">
        <v>203</v>
      </c>
      <c r="D40" s="24" t="n">
        <v>0.97</v>
      </c>
      <c r="E40" s="23" t="n">
        <v>669259.85</v>
      </c>
      <c r="F40" s="23" t="n">
        <v>661200</v>
      </c>
      <c r="G40" s="23" t="n">
        <v>689958.61</v>
      </c>
      <c r="H40" s="24" t="n">
        <v>0.3398</v>
      </c>
      <c r="I40" s="33" t="n">
        <v>42</v>
      </c>
      <c r="J40" s="18" t="s">
        <v>2902</v>
      </c>
      <c r="K40" s="18" t="s">
        <v>2904</v>
      </c>
      <c r="L40" s="18" t="s">
        <v>2902</v>
      </c>
      <c r="M40" s="18" t="s">
        <v>2904</v>
      </c>
      <c r="N40" s="15" t="n">
        <f aca="false">IF(F40=0,0,E40/F40)</f>
        <v>1.0121897307925</v>
      </c>
      <c r="O40" s="12" t="str">
        <f aca="false">TEXT(A40,"yyyymmdd")&amp;"-"&amp;B40</f>
        <v>20260331-P-1019</v>
      </c>
    </row>
    <row r="41" customFormat="false" ht="15" hidden="false" customHeight="false" outlineLevel="0" collapsed="false">
      <c r="A41" s="19" t="n">
        <v>46112</v>
      </c>
      <c r="B41" s="18" t="s">
        <v>283</v>
      </c>
      <c r="C41" s="18" t="s">
        <v>203</v>
      </c>
      <c r="D41" s="24" t="n">
        <v>0.75</v>
      </c>
      <c r="E41" s="23" t="n">
        <v>285872.2</v>
      </c>
      <c r="F41" s="23" t="n">
        <v>412900</v>
      </c>
      <c r="G41" s="23" t="n">
        <v>381162.93</v>
      </c>
      <c r="H41" s="24" t="n">
        <v>0.354</v>
      </c>
      <c r="I41" s="33" t="n">
        <v>2</v>
      </c>
      <c r="J41" s="18" t="s">
        <v>2902</v>
      </c>
      <c r="K41" s="18" t="s">
        <v>2902</v>
      </c>
      <c r="L41" s="18" t="s">
        <v>2904</v>
      </c>
      <c r="M41" s="18" t="s">
        <v>2904</v>
      </c>
      <c r="N41" s="15" t="n">
        <f aca="false">IF(F41=0,0,E41/F41)</f>
        <v>0.69235214337612</v>
      </c>
      <c r="O41" s="12" t="str">
        <f aca="false">TEXT(A41,"yyyymmdd")&amp;"-"&amp;B41</f>
        <v>20260331-P-1020</v>
      </c>
    </row>
    <row r="42" customFormat="false" ht="15" hidden="false" customHeight="false" outlineLevel="0" collapsed="false">
      <c r="A42" s="19" t="n">
        <v>46112</v>
      </c>
      <c r="B42" s="18" t="s">
        <v>285</v>
      </c>
      <c r="C42" s="18" t="s">
        <v>203</v>
      </c>
      <c r="D42" s="24" t="n">
        <v>0.14</v>
      </c>
      <c r="E42" s="23" t="n">
        <v>54365.73</v>
      </c>
      <c r="F42" s="23" t="n">
        <v>398600</v>
      </c>
      <c r="G42" s="23" t="n">
        <v>388326.64</v>
      </c>
      <c r="H42" s="24" t="n">
        <v>0.3787</v>
      </c>
      <c r="I42" s="33" t="n">
        <v>22</v>
      </c>
      <c r="J42" s="18" t="s">
        <v>2902</v>
      </c>
      <c r="K42" s="18" t="s">
        <v>2904</v>
      </c>
      <c r="L42" s="18" t="s">
        <v>2902</v>
      </c>
      <c r="M42" s="18" t="s">
        <v>2904</v>
      </c>
      <c r="N42" s="15" t="n">
        <f aca="false">IF(F42=0,0,E42/F42)</f>
        <v>0.136391695935775</v>
      </c>
      <c r="O42" s="12" t="str">
        <f aca="false">TEXT(A42,"yyyymmdd")&amp;"-"&amp;B42</f>
        <v>20260331-P-1021</v>
      </c>
    </row>
    <row r="43" customFormat="false" ht="15" hidden="false" customHeight="false" outlineLevel="0" collapsed="false">
      <c r="A43" s="19" t="n">
        <v>46142</v>
      </c>
      <c r="B43" s="18" t="s">
        <v>197</v>
      </c>
      <c r="C43" s="18" t="s">
        <v>203</v>
      </c>
      <c r="D43" s="24" t="n">
        <v>0.56</v>
      </c>
      <c r="E43" s="23" t="n">
        <v>362043.81</v>
      </c>
      <c r="F43" s="23" t="n">
        <v>748500</v>
      </c>
      <c r="G43" s="23" t="n">
        <v>646506.8</v>
      </c>
      <c r="H43" s="24" t="n">
        <v>0.4304</v>
      </c>
      <c r="I43" s="33" t="n">
        <v>2</v>
      </c>
      <c r="J43" s="18" t="s">
        <v>2902</v>
      </c>
      <c r="K43" s="18" t="s">
        <v>2902</v>
      </c>
      <c r="L43" s="18" t="s">
        <v>2902</v>
      </c>
      <c r="M43" s="18" t="s">
        <v>2902</v>
      </c>
      <c r="N43" s="15" t="n">
        <f aca="false">IF(F43=0,0,E43/F43)</f>
        <v>0.48369246492986</v>
      </c>
      <c r="O43" s="12" t="str">
        <f aca="false">TEXT(A43,"yyyymmdd")&amp;"-"&amp;B43</f>
        <v>20260430-P-1001</v>
      </c>
    </row>
    <row r="44" customFormat="false" ht="15" hidden="false" customHeight="false" outlineLevel="0" collapsed="false">
      <c r="A44" s="19" t="n">
        <v>46142</v>
      </c>
      <c r="B44" s="18" t="s">
        <v>207</v>
      </c>
      <c r="C44" s="18" t="s">
        <v>203</v>
      </c>
      <c r="D44" s="24" t="n">
        <v>0.25</v>
      </c>
      <c r="E44" s="23" t="n">
        <v>177100.32</v>
      </c>
      <c r="F44" s="23" t="n">
        <v>466100</v>
      </c>
      <c r="G44" s="23" t="n">
        <v>708401.28</v>
      </c>
      <c r="H44" s="24" t="n">
        <v>-0.0342</v>
      </c>
      <c r="I44" s="33" t="n">
        <v>8</v>
      </c>
      <c r="J44" s="18" t="s">
        <v>2904</v>
      </c>
      <c r="K44" s="18" t="s">
        <v>2902</v>
      </c>
      <c r="L44" s="18" t="s">
        <v>2903</v>
      </c>
      <c r="M44" s="18" t="s">
        <v>2903</v>
      </c>
      <c r="N44" s="15" t="n">
        <f aca="false">IF(F44=0,0,E44/F44)</f>
        <v>0.379962068225703</v>
      </c>
      <c r="O44" s="12" t="str">
        <f aca="false">TEXT(A44,"yyyymmdd")&amp;"-"&amp;B44</f>
        <v>20260430-P-1002</v>
      </c>
    </row>
    <row r="45" customFormat="false" ht="15" hidden="false" customHeight="false" outlineLevel="0" collapsed="false">
      <c r="A45" s="19" t="n">
        <v>46142</v>
      </c>
      <c r="B45" s="18" t="s">
        <v>215</v>
      </c>
      <c r="C45" s="18" t="s">
        <v>203</v>
      </c>
      <c r="D45" s="24" t="n">
        <v>0.42</v>
      </c>
      <c r="E45" s="23" t="n">
        <v>395445.81</v>
      </c>
      <c r="F45" s="23" t="n">
        <v>879600</v>
      </c>
      <c r="G45" s="23" t="n">
        <v>941537.64</v>
      </c>
      <c r="H45" s="24" t="n">
        <v>0.3</v>
      </c>
      <c r="I45" s="33" t="n">
        <v>27</v>
      </c>
      <c r="J45" s="18" t="s">
        <v>2902</v>
      </c>
      <c r="K45" s="18" t="s">
        <v>2904</v>
      </c>
      <c r="L45" s="18" t="s">
        <v>2904</v>
      </c>
      <c r="M45" s="18" t="s">
        <v>2904</v>
      </c>
      <c r="N45" s="15" t="n">
        <f aca="false">IF(F45=0,0,E45/F45)</f>
        <v>0.449574590723056</v>
      </c>
      <c r="O45" s="12" t="str">
        <f aca="false">TEXT(A45,"yyyymmdd")&amp;"-"&amp;B45</f>
        <v>20260430-P-1003</v>
      </c>
    </row>
    <row r="46" customFormat="false" ht="15" hidden="false" customHeight="false" outlineLevel="0" collapsed="false">
      <c r="A46" s="19" t="n">
        <v>46142</v>
      </c>
      <c r="B46" s="18" t="s">
        <v>222</v>
      </c>
      <c r="C46" s="18" t="s">
        <v>203</v>
      </c>
      <c r="D46" s="24" t="n">
        <v>0.26</v>
      </c>
      <c r="E46" s="23" t="n">
        <v>167364.4</v>
      </c>
      <c r="F46" s="23" t="n">
        <v>738500</v>
      </c>
      <c r="G46" s="23" t="n">
        <v>643709.23</v>
      </c>
      <c r="H46" s="24" t="n">
        <v>0.4427</v>
      </c>
      <c r="I46" s="33" t="n">
        <v>2</v>
      </c>
      <c r="J46" s="18" t="s">
        <v>2902</v>
      </c>
      <c r="K46" s="18" t="s">
        <v>2902</v>
      </c>
      <c r="L46" s="18" t="s">
        <v>2902</v>
      </c>
      <c r="M46" s="18" t="s">
        <v>2902</v>
      </c>
      <c r="N46" s="15" t="n">
        <f aca="false">IF(F46=0,0,E46/F46)</f>
        <v>0.226627488151659</v>
      </c>
      <c r="O46" s="12" t="str">
        <f aca="false">TEXT(A46,"yyyymmdd")&amp;"-"&amp;B46</f>
        <v>20260430-P-1004</v>
      </c>
    </row>
    <row r="47" customFormat="false" ht="15" hidden="false" customHeight="false" outlineLevel="0" collapsed="false">
      <c r="A47" s="19" t="n">
        <v>46142</v>
      </c>
      <c r="B47" s="18" t="s">
        <v>228</v>
      </c>
      <c r="C47" s="18" t="s">
        <v>203</v>
      </c>
      <c r="D47" s="24" t="n">
        <v>0.11</v>
      </c>
      <c r="E47" s="23" t="n">
        <v>76489.28</v>
      </c>
      <c r="F47" s="23" t="n">
        <v>459200</v>
      </c>
      <c r="G47" s="23" t="n">
        <v>695357.09</v>
      </c>
      <c r="H47" s="24" t="n">
        <v>0.0603</v>
      </c>
      <c r="I47" s="33" t="n">
        <v>21</v>
      </c>
      <c r="J47" s="18" t="s">
        <v>2902</v>
      </c>
      <c r="K47" s="18" t="s">
        <v>2904</v>
      </c>
      <c r="L47" s="18" t="s">
        <v>2903</v>
      </c>
      <c r="M47" s="18" t="s">
        <v>2903</v>
      </c>
      <c r="N47" s="15" t="n">
        <f aca="false">IF(F47=0,0,E47/F47)</f>
        <v>0.166570731707317</v>
      </c>
      <c r="O47" s="12" t="str">
        <f aca="false">TEXT(A47,"yyyymmdd")&amp;"-"&amp;B47</f>
        <v>20260430-P-1005</v>
      </c>
    </row>
    <row r="48" customFormat="false" ht="15" hidden="false" customHeight="false" outlineLevel="0" collapsed="false">
      <c r="A48" s="19" t="n">
        <v>46142</v>
      </c>
      <c r="B48" s="18" t="s">
        <v>233</v>
      </c>
      <c r="C48" s="18" t="s">
        <v>203</v>
      </c>
      <c r="D48" s="24" t="n">
        <v>0.63</v>
      </c>
      <c r="E48" s="23" t="n">
        <v>430078.31</v>
      </c>
      <c r="F48" s="23" t="n">
        <v>630300</v>
      </c>
      <c r="G48" s="23" t="n">
        <v>682663.98</v>
      </c>
      <c r="H48" s="24" t="n">
        <v>0.3034</v>
      </c>
      <c r="I48" s="33" t="n">
        <v>6</v>
      </c>
      <c r="J48" s="18" t="s">
        <v>2902</v>
      </c>
      <c r="K48" s="18" t="s">
        <v>2902</v>
      </c>
      <c r="L48" s="18" t="s">
        <v>2904</v>
      </c>
      <c r="M48" s="18" t="s">
        <v>2904</v>
      </c>
      <c r="N48" s="15" t="n">
        <f aca="false">IF(F48=0,0,E48/F48)</f>
        <v>0.682339060764715</v>
      </c>
      <c r="O48" s="12" t="str">
        <f aca="false">TEXT(A48,"yyyymmdd")&amp;"-"&amp;B48</f>
        <v>20260430-P-1006</v>
      </c>
    </row>
    <row r="49" customFormat="false" ht="15" hidden="false" customHeight="false" outlineLevel="0" collapsed="false">
      <c r="A49" s="19" t="n">
        <v>46142</v>
      </c>
      <c r="B49" s="18" t="s">
        <v>239</v>
      </c>
      <c r="C49" s="18" t="s">
        <v>203</v>
      </c>
      <c r="D49" s="24" t="n">
        <v>0.08</v>
      </c>
      <c r="E49" s="23" t="n">
        <v>45587.42</v>
      </c>
      <c r="F49" s="23" t="n">
        <v>639400</v>
      </c>
      <c r="G49" s="23" t="n">
        <v>569842.75</v>
      </c>
      <c r="H49" s="24" t="n">
        <v>0.4125</v>
      </c>
      <c r="I49" s="33" t="n">
        <v>0</v>
      </c>
      <c r="J49" s="18" t="s">
        <v>2902</v>
      </c>
      <c r="K49" s="18" t="s">
        <v>2902</v>
      </c>
      <c r="L49" s="18" t="s">
        <v>2902</v>
      </c>
      <c r="M49" s="18" t="s">
        <v>2902</v>
      </c>
      <c r="N49" s="15" t="n">
        <f aca="false">IF(F49=0,0,E49/F49)</f>
        <v>0.071297184860807</v>
      </c>
      <c r="O49" s="12" t="str">
        <f aca="false">TEXT(A49,"yyyymmdd")&amp;"-"&amp;B49</f>
        <v>20260430-P-1007</v>
      </c>
    </row>
    <row r="50" customFormat="false" ht="15" hidden="false" customHeight="false" outlineLevel="0" collapsed="false">
      <c r="A50" s="19" t="n">
        <v>46142</v>
      </c>
      <c r="B50" s="18" t="s">
        <v>244</v>
      </c>
      <c r="C50" s="18" t="s">
        <v>203</v>
      </c>
      <c r="D50" s="24" t="n">
        <v>0.43</v>
      </c>
      <c r="E50" s="23" t="n">
        <v>238384.99</v>
      </c>
      <c r="F50" s="23" t="n">
        <v>498500</v>
      </c>
      <c r="G50" s="23" t="n">
        <v>554383.7</v>
      </c>
      <c r="H50" s="24" t="n">
        <v>0.2192</v>
      </c>
      <c r="I50" s="33" t="n">
        <v>8</v>
      </c>
      <c r="J50" s="18" t="s">
        <v>2902</v>
      </c>
      <c r="K50" s="18" t="s">
        <v>2902</v>
      </c>
      <c r="L50" s="18" t="s">
        <v>2904</v>
      </c>
      <c r="M50" s="18" t="s">
        <v>2904</v>
      </c>
      <c r="N50" s="15" t="n">
        <f aca="false">IF(F50=0,0,E50/F50)</f>
        <v>0.478204593781344</v>
      </c>
      <c r="O50" s="12" t="str">
        <f aca="false">TEXT(A50,"yyyymmdd")&amp;"-"&amp;B50</f>
        <v>20260430-P-1008</v>
      </c>
    </row>
    <row r="51" customFormat="false" ht="15" hidden="false" customHeight="false" outlineLevel="0" collapsed="false">
      <c r="A51" s="19" t="n">
        <v>46142</v>
      </c>
      <c r="B51" s="18" t="s">
        <v>253</v>
      </c>
      <c r="C51" s="18" t="s">
        <v>203</v>
      </c>
      <c r="D51" s="24" t="n">
        <v>0.52</v>
      </c>
      <c r="E51" s="23" t="n">
        <v>309014.23</v>
      </c>
      <c r="F51" s="23" t="n">
        <v>455000</v>
      </c>
      <c r="G51" s="23" t="n">
        <v>594258.13</v>
      </c>
      <c r="H51" s="24" t="n">
        <v>0.1915</v>
      </c>
      <c r="I51" s="33" t="n">
        <v>27</v>
      </c>
      <c r="J51" s="18" t="s">
        <v>2904</v>
      </c>
      <c r="K51" s="18" t="s">
        <v>2904</v>
      </c>
      <c r="L51" s="18" t="s">
        <v>2904</v>
      </c>
      <c r="M51" s="18" t="s">
        <v>2904</v>
      </c>
      <c r="N51" s="15" t="n">
        <f aca="false">IF(F51=0,0,E51/F51)</f>
        <v>0.679152153846154</v>
      </c>
      <c r="O51" s="12" t="str">
        <f aca="false">TEXT(A51,"yyyymmdd")&amp;"-"&amp;B51</f>
        <v>20260430-P-1010</v>
      </c>
    </row>
    <row r="52" customFormat="false" ht="15" hidden="false" customHeight="false" outlineLevel="0" collapsed="false">
      <c r="A52" s="19" t="n">
        <v>46142</v>
      </c>
      <c r="B52" s="18" t="s">
        <v>257</v>
      </c>
      <c r="C52" s="18" t="s">
        <v>203</v>
      </c>
      <c r="D52" s="24" t="n">
        <v>0.13</v>
      </c>
      <c r="E52" s="23" t="n">
        <v>77458.23</v>
      </c>
      <c r="F52" s="23" t="n">
        <v>620700</v>
      </c>
      <c r="G52" s="23" t="n">
        <v>595832.54</v>
      </c>
      <c r="H52" s="24" t="n">
        <v>0.3889</v>
      </c>
      <c r="I52" s="33" t="n">
        <v>0</v>
      </c>
      <c r="J52" s="18" t="s">
        <v>2902</v>
      </c>
      <c r="K52" s="18" t="s">
        <v>2902</v>
      </c>
      <c r="L52" s="18" t="s">
        <v>2902</v>
      </c>
      <c r="M52" s="18" t="s">
        <v>2902</v>
      </c>
      <c r="N52" s="15" t="n">
        <f aca="false">IF(F52=0,0,E52/F52)</f>
        <v>0.124791735137748</v>
      </c>
      <c r="O52" s="12" t="str">
        <f aca="false">TEXT(A52,"yyyymmdd")&amp;"-"&amp;B52</f>
        <v>20260430-P-1011</v>
      </c>
    </row>
    <row r="53" customFormat="false" ht="15" hidden="false" customHeight="false" outlineLevel="0" collapsed="false">
      <c r="A53" s="19" t="n">
        <v>46142</v>
      </c>
      <c r="B53" s="18" t="s">
        <v>265</v>
      </c>
      <c r="C53" s="18" t="s">
        <v>203</v>
      </c>
      <c r="D53" s="24" t="n">
        <v>0.57</v>
      </c>
      <c r="E53" s="23" t="n">
        <v>629259.47</v>
      </c>
      <c r="F53" s="23" t="n">
        <v>1022500</v>
      </c>
      <c r="G53" s="23" t="n">
        <v>1103963.98</v>
      </c>
      <c r="H53" s="24" t="n">
        <v>0.2689</v>
      </c>
      <c r="I53" s="33" t="n">
        <v>12</v>
      </c>
      <c r="J53" s="18" t="s">
        <v>2902</v>
      </c>
      <c r="K53" s="18" t="s">
        <v>2902</v>
      </c>
      <c r="L53" s="18" t="s">
        <v>2904</v>
      </c>
      <c r="M53" s="18" t="s">
        <v>2904</v>
      </c>
      <c r="N53" s="15" t="n">
        <f aca="false">IF(F53=0,0,E53/F53)</f>
        <v>0.615412684596577</v>
      </c>
      <c r="O53" s="12" t="str">
        <f aca="false">TEXT(A53,"yyyymmdd")&amp;"-"&amp;B53</f>
        <v>20260430-P-1013</v>
      </c>
    </row>
    <row r="54" customFormat="false" ht="15" hidden="false" customHeight="false" outlineLevel="0" collapsed="false">
      <c r="A54" s="19" t="n">
        <v>46142</v>
      </c>
      <c r="B54" s="18" t="s">
        <v>267</v>
      </c>
      <c r="C54" s="18" t="s">
        <v>203</v>
      </c>
      <c r="D54" s="24" t="n">
        <v>0.6</v>
      </c>
      <c r="E54" s="23" t="n">
        <v>560073.19</v>
      </c>
      <c r="F54" s="23" t="n">
        <v>943900</v>
      </c>
      <c r="G54" s="23" t="n">
        <v>933455.32</v>
      </c>
      <c r="H54" s="24" t="n">
        <v>0.3562</v>
      </c>
      <c r="I54" s="33" t="n">
        <v>3</v>
      </c>
      <c r="J54" s="18" t="s">
        <v>2902</v>
      </c>
      <c r="K54" s="18" t="s">
        <v>2902</v>
      </c>
      <c r="L54" s="18" t="s">
        <v>2902</v>
      </c>
      <c r="M54" s="18" t="s">
        <v>2902</v>
      </c>
      <c r="N54" s="15" t="n">
        <f aca="false">IF(F54=0,0,E54/F54)</f>
        <v>0.593360726771904</v>
      </c>
      <c r="O54" s="12" t="str">
        <f aca="false">TEXT(A54,"yyyymmdd")&amp;"-"&amp;B54</f>
        <v>20260430-P-1014</v>
      </c>
    </row>
    <row r="55" customFormat="false" ht="15" hidden="false" customHeight="false" outlineLevel="0" collapsed="false">
      <c r="A55" s="19" t="n">
        <v>46142</v>
      </c>
      <c r="B55" s="18" t="s">
        <v>270</v>
      </c>
      <c r="C55" s="18" t="s">
        <v>203</v>
      </c>
      <c r="D55" s="24" t="n">
        <v>0.09</v>
      </c>
      <c r="E55" s="23" t="n">
        <v>98289.96</v>
      </c>
      <c r="F55" s="23" t="n">
        <v>892800</v>
      </c>
      <c r="G55" s="23" t="n">
        <v>1092110.67</v>
      </c>
      <c r="H55" s="24" t="n">
        <v>0.1695</v>
      </c>
      <c r="I55" s="33" t="n">
        <v>3</v>
      </c>
      <c r="J55" s="18" t="s">
        <v>2902</v>
      </c>
      <c r="K55" s="18" t="s">
        <v>2902</v>
      </c>
      <c r="L55" s="18" t="s">
        <v>2904</v>
      </c>
      <c r="M55" s="18" t="s">
        <v>2904</v>
      </c>
      <c r="N55" s="15" t="n">
        <f aca="false">IF(F55=0,0,E55/F55)</f>
        <v>0.110091801075269</v>
      </c>
      <c r="O55" s="12" t="str">
        <f aca="false">TEXT(A55,"yyyymmdd")&amp;"-"&amp;B55</f>
        <v>20260430-P-1015</v>
      </c>
    </row>
    <row r="56" customFormat="false" ht="15" hidden="false" customHeight="false" outlineLevel="0" collapsed="false">
      <c r="A56" s="19" t="n">
        <v>46142</v>
      </c>
      <c r="B56" s="18" t="s">
        <v>272</v>
      </c>
      <c r="C56" s="18" t="s">
        <v>203</v>
      </c>
      <c r="D56" s="24" t="n">
        <v>0.08</v>
      </c>
      <c r="E56" s="23" t="n">
        <v>19851.6</v>
      </c>
      <c r="F56" s="23" t="n">
        <v>283700</v>
      </c>
      <c r="G56" s="23" t="n">
        <v>248145</v>
      </c>
      <c r="H56" s="24" t="n">
        <v>0.3873</v>
      </c>
      <c r="I56" s="33" t="n">
        <v>0</v>
      </c>
      <c r="J56" s="18" t="s">
        <v>2902</v>
      </c>
      <c r="K56" s="18" t="s">
        <v>2902</v>
      </c>
      <c r="L56" s="18" t="s">
        <v>2902</v>
      </c>
      <c r="M56" s="18" t="s">
        <v>2902</v>
      </c>
      <c r="N56" s="15" t="n">
        <f aca="false">IF(F56=0,0,E56/F56)</f>
        <v>0.0699739161085654</v>
      </c>
      <c r="O56" s="12" t="str">
        <f aca="false">TEXT(A56,"yyyymmdd")&amp;"-"&amp;B56</f>
        <v>20260430-P-1016</v>
      </c>
    </row>
    <row r="57" customFormat="false" ht="15" hidden="false" customHeight="false" outlineLevel="0" collapsed="false">
      <c r="A57" s="19" t="n">
        <v>46142</v>
      </c>
      <c r="B57" s="18" t="s">
        <v>275</v>
      </c>
      <c r="C57" s="18" t="s">
        <v>203</v>
      </c>
      <c r="D57" s="24" t="n">
        <v>0.33</v>
      </c>
      <c r="E57" s="23" t="n">
        <v>178418.98</v>
      </c>
      <c r="F57" s="23" t="n">
        <v>324000</v>
      </c>
      <c r="G57" s="23" t="n">
        <v>540663.58</v>
      </c>
      <c r="H57" s="24" t="n">
        <v>-0.1627</v>
      </c>
      <c r="I57" s="33" t="n">
        <v>25</v>
      </c>
      <c r="J57" s="18" t="s">
        <v>2903</v>
      </c>
      <c r="K57" s="18" t="s">
        <v>2904</v>
      </c>
      <c r="L57" s="18" t="s">
        <v>2903</v>
      </c>
      <c r="M57" s="18" t="s">
        <v>2903</v>
      </c>
      <c r="N57" s="15" t="n">
        <f aca="false">IF(F57=0,0,E57/F57)</f>
        <v>0.550675864197531</v>
      </c>
      <c r="O57" s="12" t="str">
        <f aca="false">TEXT(A57,"yyyymmdd")&amp;"-"&amp;B57</f>
        <v>20260430-P-1017</v>
      </c>
    </row>
    <row r="58" customFormat="false" ht="15" hidden="false" customHeight="false" outlineLevel="0" collapsed="false">
      <c r="A58" s="19" t="n">
        <v>46142</v>
      </c>
      <c r="B58" s="18" t="s">
        <v>281</v>
      </c>
      <c r="C58" s="18" t="s">
        <v>279</v>
      </c>
      <c r="D58" s="24" t="n">
        <v>1</v>
      </c>
      <c r="E58" s="23" t="n">
        <v>699825.98</v>
      </c>
      <c r="F58" s="23" t="n">
        <v>661200</v>
      </c>
      <c r="G58" s="23" t="n">
        <v>699825.98</v>
      </c>
      <c r="H58" s="24" t="n">
        <v>0.3303</v>
      </c>
      <c r="I58" s="33" t="n">
        <v>42</v>
      </c>
      <c r="J58" s="18" t="s">
        <v>2902</v>
      </c>
      <c r="K58" s="18" t="s">
        <v>2904</v>
      </c>
      <c r="L58" s="18" t="s">
        <v>2902</v>
      </c>
      <c r="M58" s="18" t="s">
        <v>2904</v>
      </c>
      <c r="N58" s="15" t="n">
        <f aca="false">IF(F58=0,0,E58/F58)</f>
        <v>1.05841799758016</v>
      </c>
      <c r="O58" s="12" t="str">
        <f aca="false">TEXT(A58,"yyyymmdd")&amp;"-"&amp;B58</f>
        <v>20260430-P-1019</v>
      </c>
    </row>
    <row r="59" customFormat="false" ht="15" hidden="false" customHeight="false" outlineLevel="0" collapsed="false">
      <c r="A59" s="19" t="n">
        <v>46142</v>
      </c>
      <c r="B59" s="18" t="s">
        <v>283</v>
      </c>
      <c r="C59" s="18" t="s">
        <v>203</v>
      </c>
      <c r="D59" s="24" t="n">
        <v>0.89</v>
      </c>
      <c r="E59" s="23" t="n">
        <v>335374.28</v>
      </c>
      <c r="F59" s="23" t="n">
        <v>412900</v>
      </c>
      <c r="G59" s="23" t="n">
        <v>376825.03</v>
      </c>
      <c r="H59" s="24" t="n">
        <v>0.3613</v>
      </c>
      <c r="I59" s="33" t="n">
        <v>3</v>
      </c>
      <c r="J59" s="18" t="s">
        <v>2902</v>
      </c>
      <c r="K59" s="18" t="s">
        <v>2902</v>
      </c>
      <c r="L59" s="18" t="s">
        <v>2904</v>
      </c>
      <c r="M59" s="18" t="s">
        <v>2904</v>
      </c>
      <c r="N59" s="15" t="n">
        <f aca="false">IF(F59=0,0,E59/F59)</f>
        <v>0.812240930007266</v>
      </c>
      <c r="O59" s="12" t="str">
        <f aca="false">TEXT(A59,"yyyymmdd")&amp;"-"&amp;B59</f>
        <v>20260430-P-1020</v>
      </c>
    </row>
    <row r="60" customFormat="false" ht="15" hidden="false" customHeight="false" outlineLevel="0" collapsed="false">
      <c r="A60" s="19" t="n">
        <v>46142</v>
      </c>
      <c r="B60" s="18" t="s">
        <v>285</v>
      </c>
      <c r="C60" s="18" t="s">
        <v>203</v>
      </c>
      <c r="D60" s="24" t="n">
        <v>0.22</v>
      </c>
      <c r="E60" s="23" t="n">
        <v>104312.72</v>
      </c>
      <c r="F60" s="23" t="n">
        <v>398600</v>
      </c>
      <c r="G60" s="23" t="n">
        <v>474148.73</v>
      </c>
      <c r="H60" s="24" t="n">
        <v>0.2414</v>
      </c>
      <c r="I60" s="33" t="n">
        <v>35</v>
      </c>
      <c r="J60" s="18" t="s">
        <v>2902</v>
      </c>
      <c r="K60" s="18" t="s">
        <v>2904</v>
      </c>
      <c r="L60" s="18" t="s">
        <v>2904</v>
      </c>
      <c r="M60" s="18" t="s">
        <v>2904</v>
      </c>
      <c r="N60" s="15" t="n">
        <f aca="false">IF(F60=0,0,E60/F60)</f>
        <v>0.261697742097341</v>
      </c>
      <c r="O60" s="12" t="str">
        <f aca="false">TEXT(A60,"yyyymmdd")&amp;"-"&amp;B60</f>
        <v>20260430-P-1021</v>
      </c>
    </row>
    <row r="61" customFormat="false" ht="15" hidden="false" customHeight="false" outlineLevel="0" collapsed="false">
      <c r="A61" s="19" t="n">
        <v>46173</v>
      </c>
      <c r="B61" s="18" t="s">
        <v>197</v>
      </c>
      <c r="C61" s="18" t="s">
        <v>203</v>
      </c>
      <c r="D61" s="24" t="n">
        <v>0.65</v>
      </c>
      <c r="E61" s="23" t="n">
        <v>421047.63</v>
      </c>
      <c r="F61" s="23" t="n">
        <v>748500</v>
      </c>
      <c r="G61" s="23" t="n">
        <v>647765.58</v>
      </c>
      <c r="H61" s="24" t="n">
        <v>0.4293</v>
      </c>
      <c r="I61" s="33" t="n">
        <v>3</v>
      </c>
      <c r="J61" s="18" t="s">
        <v>2902</v>
      </c>
      <c r="K61" s="18" t="s">
        <v>2902</v>
      </c>
      <c r="L61" s="18" t="s">
        <v>2902</v>
      </c>
      <c r="M61" s="18" t="s">
        <v>2902</v>
      </c>
      <c r="N61" s="15" t="n">
        <f aca="false">IF(F61=0,0,E61/F61)</f>
        <v>0.562521883767535</v>
      </c>
      <c r="O61" s="12" t="str">
        <f aca="false">TEXT(A61,"yyyymmdd")&amp;"-"&amp;B61</f>
        <v>20260531-P-1001</v>
      </c>
    </row>
    <row r="62" customFormat="false" ht="15" hidden="false" customHeight="false" outlineLevel="0" collapsed="false">
      <c r="A62" s="19" t="n">
        <v>46173</v>
      </c>
      <c r="B62" s="18" t="s">
        <v>207</v>
      </c>
      <c r="C62" s="18" t="s">
        <v>203</v>
      </c>
      <c r="D62" s="24" t="n">
        <v>0.32</v>
      </c>
      <c r="E62" s="23" t="n">
        <v>216623.85</v>
      </c>
      <c r="F62" s="23" t="n">
        <v>536100</v>
      </c>
      <c r="G62" s="23" t="n">
        <v>676949.53</v>
      </c>
      <c r="H62" s="24" t="n">
        <v>0.1208</v>
      </c>
      <c r="I62" s="33" t="n">
        <v>10</v>
      </c>
      <c r="J62" s="18" t="s">
        <v>2902</v>
      </c>
      <c r="K62" s="18" t="s">
        <v>2902</v>
      </c>
      <c r="L62" s="18" t="s">
        <v>2903</v>
      </c>
      <c r="M62" s="18" t="s">
        <v>2903</v>
      </c>
      <c r="N62" s="15" t="n">
        <f aca="false">IF(F62=0,0,E62/F62)</f>
        <v>0.404073587017348</v>
      </c>
      <c r="O62" s="12" t="str">
        <f aca="false">TEXT(A62,"yyyymmdd")&amp;"-"&amp;B62</f>
        <v>20260531-P-1002</v>
      </c>
    </row>
    <row r="63" customFormat="false" ht="15" hidden="false" customHeight="false" outlineLevel="0" collapsed="false">
      <c r="A63" s="19" t="n">
        <v>46173</v>
      </c>
      <c r="B63" s="18" t="s">
        <v>215</v>
      </c>
      <c r="C63" s="18" t="s">
        <v>203</v>
      </c>
      <c r="D63" s="24" t="n">
        <v>0.48</v>
      </c>
      <c r="E63" s="23" t="n">
        <v>450709.44</v>
      </c>
      <c r="F63" s="23" t="n">
        <v>879600</v>
      </c>
      <c r="G63" s="23" t="n">
        <v>938978</v>
      </c>
      <c r="H63" s="24" t="n">
        <v>0.3019</v>
      </c>
      <c r="I63" s="33" t="n">
        <v>30</v>
      </c>
      <c r="J63" s="18" t="s">
        <v>2902</v>
      </c>
      <c r="K63" s="18" t="s">
        <v>2904</v>
      </c>
      <c r="L63" s="18" t="s">
        <v>2904</v>
      </c>
      <c r="M63" s="18" t="s">
        <v>2904</v>
      </c>
      <c r="N63" s="15" t="n">
        <f aca="false">IF(F63=0,0,E63/F63)</f>
        <v>0.51240272851296</v>
      </c>
      <c r="O63" s="12" t="str">
        <f aca="false">TEXT(A63,"yyyymmdd")&amp;"-"&amp;B63</f>
        <v>20260531-P-1003</v>
      </c>
    </row>
    <row r="64" customFormat="false" ht="15" hidden="false" customHeight="false" outlineLevel="0" collapsed="false">
      <c r="A64" s="19" t="n">
        <v>46173</v>
      </c>
      <c r="B64" s="18" t="s">
        <v>222</v>
      </c>
      <c r="C64" s="18" t="s">
        <v>203</v>
      </c>
      <c r="D64" s="24" t="n">
        <v>0.35</v>
      </c>
      <c r="E64" s="23" t="n">
        <v>255713.41</v>
      </c>
      <c r="F64" s="23" t="n">
        <v>738500</v>
      </c>
      <c r="G64" s="23" t="n">
        <v>730609.74</v>
      </c>
      <c r="H64" s="24" t="n">
        <v>0.3674</v>
      </c>
      <c r="I64" s="33" t="n">
        <v>3</v>
      </c>
      <c r="J64" s="18" t="s">
        <v>2902</v>
      </c>
      <c r="K64" s="18" t="s">
        <v>2902</v>
      </c>
      <c r="L64" s="18" t="s">
        <v>2902</v>
      </c>
      <c r="M64" s="18" t="s">
        <v>2902</v>
      </c>
      <c r="N64" s="15" t="n">
        <f aca="false">IF(F64=0,0,E64/F64)</f>
        <v>0.346260541638456</v>
      </c>
      <c r="O64" s="12" t="str">
        <f aca="false">TEXT(A64,"yyyymmdd")&amp;"-"&amp;B64</f>
        <v>20260531-P-1004</v>
      </c>
    </row>
    <row r="65" customFormat="false" ht="15" hidden="false" customHeight="false" outlineLevel="0" collapsed="false">
      <c r="A65" s="19" t="n">
        <v>46173</v>
      </c>
      <c r="B65" s="18" t="s">
        <v>228</v>
      </c>
      <c r="C65" s="18" t="s">
        <v>203</v>
      </c>
      <c r="D65" s="24" t="n">
        <v>0.17</v>
      </c>
      <c r="E65" s="23" t="n">
        <v>123347.11</v>
      </c>
      <c r="F65" s="23" t="n">
        <v>459200</v>
      </c>
      <c r="G65" s="23" t="n">
        <v>725571.24</v>
      </c>
      <c r="H65" s="24" t="n">
        <v>0.0195</v>
      </c>
      <c r="I65" s="33" t="n">
        <v>33</v>
      </c>
      <c r="J65" s="18" t="s">
        <v>2902</v>
      </c>
      <c r="K65" s="18" t="s">
        <v>2904</v>
      </c>
      <c r="L65" s="18" t="s">
        <v>2903</v>
      </c>
      <c r="M65" s="18" t="s">
        <v>2903</v>
      </c>
      <c r="N65" s="15" t="n">
        <f aca="false">IF(F65=0,0,E65/F65)</f>
        <v>0.268613044425087</v>
      </c>
      <c r="O65" s="12" t="str">
        <f aca="false">TEXT(A65,"yyyymmdd")&amp;"-"&amp;B65</f>
        <v>20260531-P-1005</v>
      </c>
    </row>
    <row r="66" customFormat="false" ht="15" hidden="false" customHeight="false" outlineLevel="0" collapsed="false">
      <c r="A66" s="19" t="n">
        <v>46173</v>
      </c>
      <c r="B66" s="18" t="s">
        <v>233</v>
      </c>
      <c r="C66" s="18" t="s">
        <v>203</v>
      </c>
      <c r="D66" s="24" t="n">
        <v>0.7</v>
      </c>
      <c r="E66" s="23" t="n">
        <v>477747.36</v>
      </c>
      <c r="F66" s="23" t="n">
        <v>630300</v>
      </c>
      <c r="G66" s="23" t="n">
        <v>682496.23</v>
      </c>
      <c r="H66" s="24" t="n">
        <v>0.3036</v>
      </c>
      <c r="I66" s="33" t="n">
        <v>7</v>
      </c>
      <c r="J66" s="18" t="s">
        <v>2902</v>
      </c>
      <c r="K66" s="18" t="s">
        <v>2902</v>
      </c>
      <c r="L66" s="18" t="s">
        <v>2904</v>
      </c>
      <c r="M66" s="18" t="s">
        <v>2904</v>
      </c>
      <c r="N66" s="15" t="n">
        <f aca="false">IF(F66=0,0,E66/F66)</f>
        <v>0.757968205616373</v>
      </c>
      <c r="O66" s="12" t="str">
        <f aca="false">TEXT(A66,"yyyymmdd")&amp;"-"&amp;B66</f>
        <v>20260531-P-1006</v>
      </c>
    </row>
    <row r="67" customFormat="false" ht="15" hidden="false" customHeight="false" outlineLevel="0" collapsed="false">
      <c r="A67" s="19" t="n">
        <v>46173</v>
      </c>
      <c r="B67" s="18" t="s">
        <v>239</v>
      </c>
      <c r="C67" s="18" t="s">
        <v>203</v>
      </c>
      <c r="D67" s="24" t="n">
        <v>0.16</v>
      </c>
      <c r="E67" s="23" t="n">
        <v>95839.3</v>
      </c>
      <c r="F67" s="23" t="n">
        <v>639400</v>
      </c>
      <c r="G67" s="23" t="n">
        <v>598995.62</v>
      </c>
      <c r="H67" s="24" t="n">
        <v>0.3825</v>
      </c>
      <c r="I67" s="33" t="n">
        <v>1</v>
      </c>
      <c r="J67" s="18" t="s">
        <v>2902</v>
      </c>
      <c r="K67" s="18" t="s">
        <v>2902</v>
      </c>
      <c r="L67" s="18" t="s">
        <v>2902</v>
      </c>
      <c r="M67" s="18" t="s">
        <v>2902</v>
      </c>
      <c r="N67" s="15" t="n">
        <f aca="false">IF(F67=0,0,E67/F67)</f>
        <v>0.149889427588364</v>
      </c>
      <c r="O67" s="12" t="str">
        <f aca="false">TEXT(A67,"yyyymmdd")&amp;"-"&amp;B67</f>
        <v>20260531-P-1007</v>
      </c>
    </row>
    <row r="68" customFormat="false" ht="15" hidden="false" customHeight="false" outlineLevel="0" collapsed="false">
      <c r="A68" s="19" t="n">
        <v>46173</v>
      </c>
      <c r="B68" s="18" t="s">
        <v>244</v>
      </c>
      <c r="C68" s="18" t="s">
        <v>203</v>
      </c>
      <c r="D68" s="24" t="n">
        <v>0.54</v>
      </c>
      <c r="E68" s="23" t="n">
        <v>293069.83</v>
      </c>
      <c r="F68" s="23" t="n">
        <v>498500</v>
      </c>
      <c r="G68" s="23" t="n">
        <v>542721.91</v>
      </c>
      <c r="H68" s="24" t="n">
        <v>0.2356</v>
      </c>
      <c r="I68" s="33" t="n">
        <v>10</v>
      </c>
      <c r="J68" s="18" t="s">
        <v>2902</v>
      </c>
      <c r="K68" s="18" t="s">
        <v>2902</v>
      </c>
      <c r="L68" s="18" t="s">
        <v>2904</v>
      </c>
      <c r="M68" s="18" t="s">
        <v>2904</v>
      </c>
      <c r="N68" s="15" t="n">
        <f aca="false">IF(F68=0,0,E68/F68)</f>
        <v>0.587903370110331</v>
      </c>
      <c r="O68" s="12" t="str">
        <f aca="false">TEXT(A68,"yyyymmdd")&amp;"-"&amp;B68</f>
        <v>20260531-P-1008</v>
      </c>
    </row>
    <row r="69" customFormat="false" ht="15" hidden="false" customHeight="false" outlineLevel="0" collapsed="false">
      <c r="A69" s="19" t="n">
        <v>46173</v>
      </c>
      <c r="B69" s="18" t="s">
        <v>249</v>
      </c>
      <c r="C69" s="18" t="s">
        <v>203</v>
      </c>
      <c r="D69" s="24" t="n">
        <v>0.11</v>
      </c>
      <c r="E69" s="23" t="n">
        <v>33623.79</v>
      </c>
      <c r="F69" s="23" t="n">
        <v>342700</v>
      </c>
      <c r="G69" s="23" t="n">
        <v>305670.82</v>
      </c>
      <c r="H69" s="24" t="n">
        <v>0.4287</v>
      </c>
      <c r="I69" s="33" t="n">
        <v>1</v>
      </c>
      <c r="J69" s="18" t="s">
        <v>2902</v>
      </c>
      <c r="K69" s="18" t="s">
        <v>2902</v>
      </c>
      <c r="L69" s="18" t="s">
        <v>2902</v>
      </c>
      <c r="M69" s="18" t="s">
        <v>2902</v>
      </c>
      <c r="N69" s="15" t="n">
        <f aca="false">IF(F69=0,0,E69/F69)</f>
        <v>0.0981143565800992</v>
      </c>
      <c r="O69" s="12" t="str">
        <f aca="false">TEXT(A69,"yyyymmdd")&amp;"-"&amp;B69</f>
        <v>20260531-P-1009</v>
      </c>
    </row>
    <row r="70" customFormat="false" ht="15" hidden="false" customHeight="false" outlineLevel="0" collapsed="false">
      <c r="A70" s="19" t="n">
        <v>46173</v>
      </c>
      <c r="B70" s="18" t="s">
        <v>253</v>
      </c>
      <c r="C70" s="18" t="s">
        <v>203</v>
      </c>
      <c r="D70" s="24" t="n">
        <v>0.6</v>
      </c>
      <c r="E70" s="23" t="n">
        <v>358485.72</v>
      </c>
      <c r="F70" s="23" t="n">
        <v>497000</v>
      </c>
      <c r="G70" s="23" t="n">
        <v>597476.2</v>
      </c>
      <c r="H70" s="24" t="n">
        <v>0.219</v>
      </c>
      <c r="I70" s="33" t="n">
        <v>33</v>
      </c>
      <c r="J70" s="18" t="s">
        <v>2904</v>
      </c>
      <c r="K70" s="18" t="s">
        <v>2904</v>
      </c>
      <c r="L70" s="18" t="s">
        <v>2904</v>
      </c>
      <c r="M70" s="18" t="s">
        <v>2904</v>
      </c>
      <c r="N70" s="15" t="n">
        <f aca="false">IF(F70=0,0,E70/F70)</f>
        <v>0.721299235412475</v>
      </c>
      <c r="O70" s="12" t="str">
        <f aca="false">TEXT(A70,"yyyymmdd")&amp;"-"&amp;B70</f>
        <v>20260531-P-1010</v>
      </c>
    </row>
    <row r="71" customFormat="false" ht="15" hidden="false" customHeight="false" outlineLevel="0" collapsed="false">
      <c r="A71" s="19" t="n">
        <v>46173</v>
      </c>
      <c r="B71" s="18" t="s">
        <v>257</v>
      </c>
      <c r="C71" s="18" t="s">
        <v>203</v>
      </c>
      <c r="D71" s="24" t="n">
        <v>0.2</v>
      </c>
      <c r="E71" s="23" t="n">
        <v>115287.52</v>
      </c>
      <c r="F71" s="23" t="n">
        <v>620700</v>
      </c>
      <c r="G71" s="23" t="n">
        <v>576437.6</v>
      </c>
      <c r="H71" s="24" t="n">
        <v>0.4088</v>
      </c>
      <c r="I71" s="33" t="n">
        <v>0</v>
      </c>
      <c r="J71" s="18" t="s">
        <v>2902</v>
      </c>
      <c r="K71" s="18" t="s">
        <v>2902</v>
      </c>
      <c r="L71" s="18" t="s">
        <v>2902</v>
      </c>
      <c r="M71" s="18" t="s">
        <v>2902</v>
      </c>
      <c r="N71" s="15" t="n">
        <f aca="false">IF(F71=0,0,E71/F71)</f>
        <v>0.185737908812631</v>
      </c>
      <c r="O71" s="12" t="str">
        <f aca="false">TEXT(A71,"yyyymmdd")&amp;"-"&amp;B71</f>
        <v>20260531-P-1011</v>
      </c>
    </row>
    <row r="72" customFormat="false" ht="15" hidden="false" customHeight="false" outlineLevel="0" collapsed="false">
      <c r="A72" s="19" t="n">
        <v>46173</v>
      </c>
      <c r="B72" s="18" t="s">
        <v>265</v>
      </c>
      <c r="C72" s="18" t="s">
        <v>203</v>
      </c>
      <c r="D72" s="24" t="n">
        <v>0.63</v>
      </c>
      <c r="E72" s="23" t="n">
        <v>696088.71</v>
      </c>
      <c r="F72" s="23" t="n">
        <v>1022500</v>
      </c>
      <c r="G72" s="23" t="n">
        <v>1104902.71</v>
      </c>
      <c r="H72" s="24" t="n">
        <v>0.2683</v>
      </c>
      <c r="I72" s="33" t="n">
        <v>13</v>
      </c>
      <c r="J72" s="18" t="s">
        <v>2902</v>
      </c>
      <c r="K72" s="18" t="s">
        <v>2902</v>
      </c>
      <c r="L72" s="18" t="s">
        <v>2904</v>
      </c>
      <c r="M72" s="18" t="s">
        <v>2904</v>
      </c>
      <c r="N72" s="15" t="n">
        <f aca="false">IF(F72=0,0,E72/F72)</f>
        <v>0.680771354523227</v>
      </c>
      <c r="O72" s="12" t="str">
        <f aca="false">TEXT(A72,"yyyymmdd")&amp;"-"&amp;B72</f>
        <v>20260531-P-1013</v>
      </c>
    </row>
    <row r="73" customFormat="false" ht="15" hidden="false" customHeight="false" outlineLevel="0" collapsed="false">
      <c r="A73" s="19" t="n">
        <v>46173</v>
      </c>
      <c r="B73" s="18" t="s">
        <v>267</v>
      </c>
      <c r="C73" s="18" t="s">
        <v>203</v>
      </c>
      <c r="D73" s="24" t="n">
        <v>0.65</v>
      </c>
      <c r="E73" s="23" t="n">
        <v>598242.27</v>
      </c>
      <c r="F73" s="23" t="n">
        <v>943900</v>
      </c>
      <c r="G73" s="23" t="n">
        <v>920372.72</v>
      </c>
      <c r="H73" s="24" t="n">
        <v>0.3653</v>
      </c>
      <c r="I73" s="33" t="n">
        <v>3</v>
      </c>
      <c r="J73" s="18" t="s">
        <v>2902</v>
      </c>
      <c r="K73" s="18" t="s">
        <v>2902</v>
      </c>
      <c r="L73" s="18" t="s">
        <v>2902</v>
      </c>
      <c r="M73" s="18" t="s">
        <v>2902</v>
      </c>
      <c r="N73" s="15" t="n">
        <f aca="false">IF(F73=0,0,E73/F73)</f>
        <v>0.633798357876894</v>
      </c>
      <c r="O73" s="12" t="str">
        <f aca="false">TEXT(A73,"yyyymmdd")&amp;"-"&amp;B73</f>
        <v>20260531-P-1014</v>
      </c>
    </row>
    <row r="74" customFormat="false" ht="15" hidden="false" customHeight="false" outlineLevel="0" collapsed="false">
      <c r="A74" s="19" t="n">
        <v>46173</v>
      </c>
      <c r="B74" s="18" t="s">
        <v>270</v>
      </c>
      <c r="C74" s="18" t="s">
        <v>203</v>
      </c>
      <c r="D74" s="24" t="n">
        <v>0.15</v>
      </c>
      <c r="E74" s="23" t="n">
        <v>156113.47</v>
      </c>
      <c r="F74" s="23" t="n">
        <v>892800</v>
      </c>
      <c r="G74" s="23" t="n">
        <v>1040756.47</v>
      </c>
      <c r="H74" s="24" t="n">
        <v>0.2086</v>
      </c>
      <c r="I74" s="33" t="n">
        <v>5</v>
      </c>
      <c r="J74" s="18" t="s">
        <v>2902</v>
      </c>
      <c r="K74" s="18" t="s">
        <v>2902</v>
      </c>
      <c r="L74" s="18" t="s">
        <v>2904</v>
      </c>
      <c r="M74" s="18" t="s">
        <v>2904</v>
      </c>
      <c r="N74" s="15" t="n">
        <f aca="false">IF(F74=0,0,E74/F74)</f>
        <v>0.174858277329749</v>
      </c>
      <c r="O74" s="12" t="str">
        <f aca="false">TEXT(A74,"yyyymmdd")&amp;"-"&amp;B74</f>
        <v>20260531-P-1015</v>
      </c>
    </row>
    <row r="75" customFormat="false" ht="15" hidden="false" customHeight="false" outlineLevel="0" collapsed="false">
      <c r="A75" s="19" t="n">
        <v>46173</v>
      </c>
      <c r="B75" s="18" t="s">
        <v>272</v>
      </c>
      <c r="C75" s="18" t="s">
        <v>203</v>
      </c>
      <c r="D75" s="24" t="n">
        <v>0.19</v>
      </c>
      <c r="E75" s="23" t="n">
        <v>48522.09</v>
      </c>
      <c r="F75" s="23" t="n">
        <v>283700</v>
      </c>
      <c r="G75" s="23" t="n">
        <v>255379.42</v>
      </c>
      <c r="H75" s="24" t="n">
        <v>0.3694</v>
      </c>
      <c r="I75" s="33" t="n">
        <v>1</v>
      </c>
      <c r="J75" s="18" t="s">
        <v>2902</v>
      </c>
      <c r="K75" s="18" t="s">
        <v>2902</v>
      </c>
      <c r="L75" s="18" t="s">
        <v>2904</v>
      </c>
      <c r="M75" s="18" t="s">
        <v>2904</v>
      </c>
      <c r="N75" s="15" t="n">
        <f aca="false">IF(F75=0,0,E75/F75)</f>
        <v>0.17103309834332</v>
      </c>
      <c r="O75" s="12" t="str">
        <f aca="false">TEXT(A75,"yyyymmdd")&amp;"-"&amp;B75</f>
        <v>20260531-P-1016</v>
      </c>
    </row>
    <row r="76" customFormat="false" ht="15" hidden="false" customHeight="false" outlineLevel="0" collapsed="false">
      <c r="A76" s="19" t="n">
        <v>46173</v>
      </c>
      <c r="B76" s="18" t="s">
        <v>275</v>
      </c>
      <c r="C76" s="18" t="s">
        <v>203</v>
      </c>
      <c r="D76" s="24" t="n">
        <v>0.43</v>
      </c>
      <c r="E76" s="23" t="n">
        <v>233283.67</v>
      </c>
      <c r="F76" s="23" t="n">
        <v>324000</v>
      </c>
      <c r="G76" s="23" t="n">
        <v>542520.16</v>
      </c>
      <c r="H76" s="24" t="n">
        <v>-0.1667</v>
      </c>
      <c r="I76" s="33" t="n">
        <v>32</v>
      </c>
      <c r="J76" s="18" t="s">
        <v>2903</v>
      </c>
      <c r="K76" s="18" t="s">
        <v>2904</v>
      </c>
      <c r="L76" s="18" t="s">
        <v>2903</v>
      </c>
      <c r="M76" s="18" t="s">
        <v>2903</v>
      </c>
      <c r="N76" s="15" t="n">
        <f aca="false">IF(F76=0,0,E76/F76)</f>
        <v>0.720011327160494</v>
      </c>
      <c r="O76" s="12" t="str">
        <f aca="false">TEXT(A76,"yyyymmdd")&amp;"-"&amp;B76</f>
        <v>20260531-P-1017</v>
      </c>
    </row>
    <row r="77" customFormat="false" ht="15" hidden="false" customHeight="false" outlineLevel="0" collapsed="false">
      <c r="A77" s="19" t="n">
        <v>46173</v>
      </c>
      <c r="B77" s="18" t="s">
        <v>283</v>
      </c>
      <c r="C77" s="18" t="s">
        <v>203</v>
      </c>
      <c r="D77" s="24" t="n">
        <v>0.97</v>
      </c>
      <c r="E77" s="23" t="n">
        <v>374977.54</v>
      </c>
      <c r="F77" s="23" t="n">
        <v>412900</v>
      </c>
      <c r="G77" s="23" t="n">
        <v>386574.78</v>
      </c>
      <c r="H77" s="24" t="n">
        <v>0.3448</v>
      </c>
      <c r="I77" s="33" t="n">
        <v>3</v>
      </c>
      <c r="J77" s="18" t="s">
        <v>2902</v>
      </c>
      <c r="K77" s="18" t="s">
        <v>2902</v>
      </c>
      <c r="L77" s="18" t="s">
        <v>2904</v>
      </c>
      <c r="M77" s="18" t="s">
        <v>2904</v>
      </c>
      <c r="N77" s="15" t="n">
        <f aca="false">IF(F77=0,0,E77/F77)</f>
        <v>0.90815582465488</v>
      </c>
      <c r="O77" s="12" t="str">
        <f aca="false">TEXT(A77,"yyyymmdd")&amp;"-"&amp;B77</f>
        <v>20260531-P-1020</v>
      </c>
    </row>
    <row r="78" customFormat="false" ht="15" hidden="false" customHeight="false" outlineLevel="0" collapsed="false">
      <c r="A78" s="19" t="n">
        <v>46173</v>
      </c>
      <c r="B78" s="18" t="s">
        <v>285</v>
      </c>
      <c r="C78" s="18" t="s">
        <v>203</v>
      </c>
      <c r="D78" s="24" t="n">
        <v>0.3</v>
      </c>
      <c r="E78" s="23" t="n">
        <v>133955.13</v>
      </c>
      <c r="F78" s="23" t="n">
        <v>398600</v>
      </c>
      <c r="G78" s="23" t="n">
        <v>446517.1</v>
      </c>
      <c r="H78" s="24" t="n">
        <v>0.2856</v>
      </c>
      <c r="I78" s="33" t="n">
        <v>49</v>
      </c>
      <c r="J78" s="18" t="s">
        <v>2902</v>
      </c>
      <c r="K78" s="18" t="s">
        <v>2903</v>
      </c>
      <c r="L78" s="18" t="s">
        <v>2904</v>
      </c>
      <c r="M78" s="18" t="s">
        <v>2903</v>
      </c>
      <c r="N78" s="15" t="n">
        <f aca="false">IF(F78=0,0,E78/F78)</f>
        <v>0.336064049172102</v>
      </c>
      <c r="O78" s="12" t="str">
        <f aca="false">TEXT(A78,"yyyymmdd")&amp;"-"&amp;B78</f>
        <v>20260531-P-1021</v>
      </c>
    </row>
    <row r="79" customFormat="false" ht="15" hidden="false" customHeight="false" outlineLevel="0" collapsed="false">
      <c r="A79" s="19" t="n">
        <v>46203</v>
      </c>
      <c r="B79" s="18" t="s">
        <v>197</v>
      </c>
      <c r="C79" s="18" t="s">
        <v>203</v>
      </c>
      <c r="D79" s="24" t="n">
        <v>0.72</v>
      </c>
      <c r="E79" s="23" t="n">
        <v>470988.75</v>
      </c>
      <c r="F79" s="23" t="n">
        <v>748500</v>
      </c>
      <c r="G79" s="23" t="n">
        <v>654151.04</v>
      </c>
      <c r="H79" s="24" t="n">
        <v>0.4237</v>
      </c>
      <c r="I79" s="33" t="n">
        <v>3</v>
      </c>
      <c r="J79" s="18" t="s">
        <v>2902</v>
      </c>
      <c r="K79" s="18" t="s">
        <v>2902</v>
      </c>
      <c r="L79" s="18" t="s">
        <v>2902</v>
      </c>
      <c r="M79" s="18" t="s">
        <v>2902</v>
      </c>
      <c r="N79" s="15" t="n">
        <f aca="false">IF(F79=0,0,E79/F79)</f>
        <v>0.629243486973948</v>
      </c>
      <c r="O79" s="12" t="str">
        <f aca="false">TEXT(A79,"yyyymmdd")&amp;"-"&amp;B79</f>
        <v>20260630-P-1001</v>
      </c>
    </row>
    <row r="80" customFormat="false" ht="15" hidden="false" customHeight="false" outlineLevel="0" collapsed="false">
      <c r="A80" s="19" t="n">
        <v>46203</v>
      </c>
      <c r="B80" s="18" t="s">
        <v>207</v>
      </c>
      <c r="C80" s="18" t="s">
        <v>203</v>
      </c>
      <c r="D80" s="24" t="n">
        <v>0.4</v>
      </c>
      <c r="E80" s="23" t="n">
        <v>267366.77</v>
      </c>
      <c r="F80" s="23" t="n">
        <v>536100</v>
      </c>
      <c r="G80" s="23" t="n">
        <v>668416.93</v>
      </c>
      <c r="H80" s="24" t="n">
        <v>0.1319</v>
      </c>
      <c r="I80" s="33" t="n">
        <v>12</v>
      </c>
      <c r="J80" s="18" t="s">
        <v>2902</v>
      </c>
      <c r="K80" s="18" t="s">
        <v>2902</v>
      </c>
      <c r="L80" s="18" t="s">
        <v>2903</v>
      </c>
      <c r="M80" s="18" t="s">
        <v>2903</v>
      </c>
      <c r="N80" s="15" t="n">
        <f aca="false">IF(F80=0,0,E80/F80)</f>
        <v>0.498725554933781</v>
      </c>
      <c r="O80" s="12" t="str">
        <f aca="false">TEXT(A80,"yyyymmdd")&amp;"-"&amp;B80</f>
        <v>20260630-P-1002</v>
      </c>
    </row>
    <row r="81" customFormat="false" ht="15" hidden="false" customHeight="false" outlineLevel="0" collapsed="false">
      <c r="A81" s="19" t="n">
        <v>46203</v>
      </c>
      <c r="B81" s="18" t="s">
        <v>215</v>
      </c>
      <c r="C81" s="18" t="s">
        <v>203</v>
      </c>
      <c r="D81" s="24" t="n">
        <v>0.54</v>
      </c>
      <c r="E81" s="23" t="n">
        <v>506271.04</v>
      </c>
      <c r="F81" s="23" t="n">
        <v>879600</v>
      </c>
      <c r="G81" s="23" t="n">
        <v>937538.96</v>
      </c>
      <c r="H81" s="24" t="n">
        <v>0.3029</v>
      </c>
      <c r="I81" s="33" t="n">
        <v>34</v>
      </c>
      <c r="J81" s="18" t="s">
        <v>2902</v>
      </c>
      <c r="K81" s="18" t="s">
        <v>2904</v>
      </c>
      <c r="L81" s="18" t="s">
        <v>2904</v>
      </c>
      <c r="M81" s="18" t="s">
        <v>2904</v>
      </c>
      <c r="N81" s="15" t="n">
        <f aca="false">IF(F81=0,0,E81/F81)</f>
        <v>0.575569622555707</v>
      </c>
      <c r="O81" s="12" t="str">
        <f aca="false">TEXT(A81,"yyyymmdd")&amp;"-"&amp;B81</f>
        <v>20260630-P-1003</v>
      </c>
    </row>
    <row r="82" customFormat="false" ht="15" hidden="false" customHeight="false" outlineLevel="0" collapsed="false">
      <c r="A82" s="19" t="n">
        <v>46203</v>
      </c>
      <c r="B82" s="18" t="s">
        <v>222</v>
      </c>
      <c r="C82" s="18" t="s">
        <v>203</v>
      </c>
      <c r="D82" s="24" t="n">
        <v>0.44</v>
      </c>
      <c r="E82" s="23" t="n">
        <v>309298.34</v>
      </c>
      <c r="F82" s="23" t="n">
        <v>738500</v>
      </c>
      <c r="G82" s="23" t="n">
        <v>702950.77</v>
      </c>
      <c r="H82" s="24" t="n">
        <v>0.3914</v>
      </c>
      <c r="I82" s="33" t="n">
        <v>4</v>
      </c>
      <c r="J82" s="18" t="s">
        <v>2902</v>
      </c>
      <c r="K82" s="18" t="s">
        <v>2902</v>
      </c>
      <c r="L82" s="18" t="s">
        <v>2902</v>
      </c>
      <c r="M82" s="18" t="s">
        <v>2902</v>
      </c>
      <c r="N82" s="15" t="n">
        <f aca="false">IF(F82=0,0,E82/F82)</f>
        <v>0.418819688557888</v>
      </c>
      <c r="O82" s="12" t="str">
        <f aca="false">TEXT(A82,"yyyymmdd")&amp;"-"&amp;B82</f>
        <v>20260630-P-1004</v>
      </c>
    </row>
    <row r="83" customFormat="false" ht="15" hidden="false" customHeight="false" outlineLevel="0" collapsed="false">
      <c r="A83" s="19" t="n">
        <v>46203</v>
      </c>
      <c r="B83" s="18" t="s">
        <v>228</v>
      </c>
      <c r="C83" s="18" t="s">
        <v>203</v>
      </c>
      <c r="D83" s="24" t="n">
        <v>0.24</v>
      </c>
      <c r="E83" s="23" t="n">
        <v>178371.84</v>
      </c>
      <c r="F83" s="23" t="n">
        <v>554200</v>
      </c>
      <c r="G83" s="23" t="n">
        <v>743216</v>
      </c>
      <c r="H83" s="24" t="n">
        <v>0.1358</v>
      </c>
      <c r="I83" s="33" t="n">
        <v>44</v>
      </c>
      <c r="J83" s="18" t="s">
        <v>2902</v>
      </c>
      <c r="K83" s="18" t="s">
        <v>2904</v>
      </c>
      <c r="L83" s="18" t="s">
        <v>2903</v>
      </c>
      <c r="M83" s="18" t="s">
        <v>2903</v>
      </c>
      <c r="N83" s="15" t="n">
        <f aca="false">IF(F83=0,0,E83/F83)</f>
        <v>0.321854637315049</v>
      </c>
      <c r="O83" s="12" t="str">
        <f aca="false">TEXT(A83,"yyyymmdd")&amp;"-"&amp;B83</f>
        <v>20260630-P-1005</v>
      </c>
    </row>
    <row r="84" customFormat="false" ht="15" hidden="false" customHeight="false" outlineLevel="0" collapsed="false">
      <c r="A84" s="19" t="n">
        <v>46203</v>
      </c>
      <c r="B84" s="18" t="s">
        <v>233</v>
      </c>
      <c r="C84" s="18" t="s">
        <v>203</v>
      </c>
      <c r="D84" s="24" t="n">
        <v>0.77</v>
      </c>
      <c r="E84" s="23" t="n">
        <v>526922.75</v>
      </c>
      <c r="F84" s="23" t="n">
        <v>630300</v>
      </c>
      <c r="G84" s="23" t="n">
        <v>684315.26</v>
      </c>
      <c r="H84" s="24" t="n">
        <v>0.3017</v>
      </c>
      <c r="I84" s="33" t="n">
        <v>8</v>
      </c>
      <c r="J84" s="18" t="s">
        <v>2902</v>
      </c>
      <c r="K84" s="18" t="s">
        <v>2902</v>
      </c>
      <c r="L84" s="18" t="s">
        <v>2904</v>
      </c>
      <c r="M84" s="18" t="s">
        <v>2904</v>
      </c>
      <c r="N84" s="15" t="n">
        <f aca="false">IF(F84=0,0,E84/F84)</f>
        <v>0.835987228303982</v>
      </c>
      <c r="O84" s="12" t="str">
        <f aca="false">TEXT(A84,"yyyymmdd")&amp;"-"&amp;B84</f>
        <v>20260630-P-1006</v>
      </c>
    </row>
    <row r="85" customFormat="false" ht="15" hidden="false" customHeight="false" outlineLevel="0" collapsed="false">
      <c r="A85" s="19" t="n">
        <v>46203</v>
      </c>
      <c r="B85" s="18" t="s">
        <v>239</v>
      </c>
      <c r="C85" s="18" t="s">
        <v>203</v>
      </c>
      <c r="D85" s="24" t="n">
        <v>0.25</v>
      </c>
      <c r="E85" s="23" t="n">
        <v>146365.91</v>
      </c>
      <c r="F85" s="23" t="n">
        <v>639400</v>
      </c>
      <c r="G85" s="23" t="n">
        <v>585463.64</v>
      </c>
      <c r="H85" s="24" t="n">
        <v>0.3964</v>
      </c>
      <c r="I85" s="33" t="n">
        <v>2</v>
      </c>
      <c r="J85" s="18" t="s">
        <v>2902</v>
      </c>
      <c r="K85" s="18" t="s">
        <v>2902</v>
      </c>
      <c r="L85" s="18" t="s">
        <v>2902</v>
      </c>
      <c r="M85" s="18" t="s">
        <v>2902</v>
      </c>
      <c r="N85" s="15" t="n">
        <f aca="false">IF(F85=0,0,E85/F85)</f>
        <v>0.228911338755083</v>
      </c>
      <c r="O85" s="12" t="str">
        <f aca="false">TEXT(A85,"yyyymmdd")&amp;"-"&amp;B85</f>
        <v>20260630-P-1007</v>
      </c>
    </row>
    <row r="86" customFormat="false" ht="15" hidden="false" customHeight="false" outlineLevel="0" collapsed="false">
      <c r="A86" s="19" t="n">
        <v>46203</v>
      </c>
      <c r="B86" s="18" t="s">
        <v>244</v>
      </c>
      <c r="C86" s="18" t="s">
        <v>203</v>
      </c>
      <c r="D86" s="24" t="n">
        <v>0.65</v>
      </c>
      <c r="E86" s="23" t="n">
        <v>359361.73</v>
      </c>
      <c r="F86" s="23" t="n">
        <v>536500</v>
      </c>
      <c r="G86" s="23" t="n">
        <v>552864.2</v>
      </c>
      <c r="H86" s="24" t="n">
        <v>0.2773</v>
      </c>
      <c r="I86" s="33" t="n">
        <v>13</v>
      </c>
      <c r="J86" s="18" t="s">
        <v>2902</v>
      </c>
      <c r="K86" s="18" t="s">
        <v>2902</v>
      </c>
      <c r="L86" s="18" t="s">
        <v>2904</v>
      </c>
      <c r="M86" s="18" t="s">
        <v>2904</v>
      </c>
      <c r="N86" s="15" t="n">
        <f aca="false">IF(F86=0,0,E86/F86)</f>
        <v>0.669826150978565</v>
      </c>
      <c r="O86" s="12" t="str">
        <f aca="false">TEXT(A86,"yyyymmdd")&amp;"-"&amp;B86</f>
        <v>20260630-P-1008</v>
      </c>
    </row>
    <row r="87" customFormat="false" ht="15" hidden="false" customHeight="false" outlineLevel="0" collapsed="false">
      <c r="A87" s="19" t="n">
        <v>46203</v>
      </c>
      <c r="B87" s="18" t="s">
        <v>249</v>
      </c>
      <c r="C87" s="18" t="s">
        <v>203</v>
      </c>
      <c r="D87" s="24" t="n">
        <v>0.24</v>
      </c>
      <c r="E87" s="23" t="n">
        <v>68777.18</v>
      </c>
      <c r="F87" s="23" t="n">
        <v>342700</v>
      </c>
      <c r="G87" s="23" t="n">
        <v>286571.58</v>
      </c>
      <c r="H87" s="24" t="n">
        <v>0.4644</v>
      </c>
      <c r="I87" s="33" t="n">
        <v>1</v>
      </c>
      <c r="J87" s="18" t="s">
        <v>2902</v>
      </c>
      <c r="K87" s="18" t="s">
        <v>2902</v>
      </c>
      <c r="L87" s="18" t="s">
        <v>2902</v>
      </c>
      <c r="M87" s="18" t="s">
        <v>2902</v>
      </c>
      <c r="N87" s="15" t="n">
        <f aca="false">IF(F87=0,0,E87/F87)</f>
        <v>0.200692092208929</v>
      </c>
      <c r="O87" s="12" t="str">
        <f aca="false">TEXT(A87,"yyyymmdd")&amp;"-"&amp;B87</f>
        <v>20260630-P-1009</v>
      </c>
    </row>
    <row r="88" customFormat="false" ht="15" hidden="false" customHeight="false" outlineLevel="0" collapsed="false">
      <c r="A88" s="19" t="n">
        <v>46203</v>
      </c>
      <c r="B88" s="18" t="s">
        <v>253</v>
      </c>
      <c r="C88" s="18" t="s">
        <v>203</v>
      </c>
      <c r="D88" s="24" t="n">
        <v>0.69</v>
      </c>
      <c r="E88" s="23" t="n">
        <v>409389.17</v>
      </c>
      <c r="F88" s="23" t="n">
        <v>497000</v>
      </c>
      <c r="G88" s="23" t="n">
        <v>593317.64</v>
      </c>
      <c r="H88" s="24" t="n">
        <v>0.2244</v>
      </c>
      <c r="I88" s="33" t="n">
        <v>38</v>
      </c>
      <c r="J88" s="18" t="s">
        <v>2904</v>
      </c>
      <c r="K88" s="18" t="s">
        <v>2904</v>
      </c>
      <c r="L88" s="18" t="s">
        <v>2904</v>
      </c>
      <c r="M88" s="18" t="s">
        <v>2904</v>
      </c>
      <c r="N88" s="15" t="n">
        <f aca="false">IF(F88=0,0,E88/F88)</f>
        <v>0.823720663983903</v>
      </c>
      <c r="O88" s="12" t="str">
        <f aca="false">TEXT(A88,"yyyymmdd")&amp;"-"&amp;B88</f>
        <v>20260630-P-1010</v>
      </c>
    </row>
    <row r="89" customFormat="false" ht="15" hidden="false" customHeight="false" outlineLevel="0" collapsed="false">
      <c r="A89" s="19" t="n">
        <v>46203</v>
      </c>
      <c r="B89" s="18" t="s">
        <v>257</v>
      </c>
      <c r="C89" s="18" t="s">
        <v>203</v>
      </c>
      <c r="D89" s="24" t="n">
        <v>0.27</v>
      </c>
      <c r="E89" s="23" t="n">
        <v>160181.7</v>
      </c>
      <c r="F89" s="23" t="n">
        <v>668700</v>
      </c>
      <c r="G89" s="23" t="n">
        <v>593265.56</v>
      </c>
      <c r="H89" s="24" t="n">
        <v>0.435</v>
      </c>
      <c r="I89" s="33" t="n">
        <v>0</v>
      </c>
      <c r="J89" s="18" t="s">
        <v>2902</v>
      </c>
      <c r="K89" s="18" t="s">
        <v>2902</v>
      </c>
      <c r="L89" s="18" t="s">
        <v>2902</v>
      </c>
      <c r="M89" s="18" t="s">
        <v>2902</v>
      </c>
      <c r="N89" s="15" t="n">
        <f aca="false">IF(F89=0,0,E89/F89)</f>
        <v>0.239541947061463</v>
      </c>
      <c r="O89" s="12" t="str">
        <f aca="false">TEXT(A89,"yyyymmdd")&amp;"-"&amp;B89</f>
        <v>20260630-P-1011</v>
      </c>
    </row>
    <row r="90" customFormat="false" ht="15" hidden="false" customHeight="false" outlineLevel="0" collapsed="false">
      <c r="A90" s="19" t="n">
        <v>46203</v>
      </c>
      <c r="B90" s="18" t="s">
        <v>261</v>
      </c>
      <c r="C90" s="18" t="s">
        <v>203</v>
      </c>
      <c r="D90" s="24" t="n">
        <v>0.12</v>
      </c>
      <c r="E90" s="23" t="n">
        <v>39436.2</v>
      </c>
      <c r="F90" s="23" t="n">
        <v>346500</v>
      </c>
      <c r="G90" s="23" t="n">
        <v>328635</v>
      </c>
      <c r="H90" s="24" t="n">
        <v>0.3556</v>
      </c>
      <c r="I90" s="33" t="n">
        <v>0</v>
      </c>
      <c r="J90" s="18" t="s">
        <v>2902</v>
      </c>
      <c r="K90" s="18" t="s">
        <v>2902</v>
      </c>
      <c r="L90" s="18" t="s">
        <v>2902</v>
      </c>
      <c r="M90" s="18" t="s">
        <v>2902</v>
      </c>
      <c r="N90" s="15" t="n">
        <f aca="false">IF(F90=0,0,E90/F90)</f>
        <v>0.113812987012987</v>
      </c>
      <c r="O90" s="12" t="str">
        <f aca="false">TEXT(A90,"yyyymmdd")&amp;"-"&amp;B90</f>
        <v>20260630-P-1012</v>
      </c>
    </row>
    <row r="91" customFormat="false" ht="15" hidden="false" customHeight="false" outlineLevel="0" collapsed="false">
      <c r="A91" s="19" t="n">
        <v>46203</v>
      </c>
      <c r="B91" s="18" t="s">
        <v>265</v>
      </c>
      <c r="C91" s="18" t="s">
        <v>203</v>
      </c>
      <c r="D91" s="24" t="n">
        <v>0.7</v>
      </c>
      <c r="E91" s="23" t="n">
        <v>763974.27</v>
      </c>
      <c r="F91" s="23" t="n">
        <v>1022500</v>
      </c>
      <c r="G91" s="23" t="n">
        <v>1091391.81</v>
      </c>
      <c r="H91" s="24" t="n">
        <v>0.2772</v>
      </c>
      <c r="I91" s="33" t="n">
        <v>14</v>
      </c>
      <c r="J91" s="18" t="s">
        <v>2902</v>
      </c>
      <c r="K91" s="18" t="s">
        <v>2902</v>
      </c>
      <c r="L91" s="18" t="s">
        <v>2904</v>
      </c>
      <c r="M91" s="18" t="s">
        <v>2904</v>
      </c>
      <c r="N91" s="15" t="n">
        <f aca="false">IF(F91=0,0,E91/F91)</f>
        <v>0.747163100244499</v>
      </c>
      <c r="O91" s="12" t="str">
        <f aca="false">TEXT(A91,"yyyymmdd")&amp;"-"&amp;B91</f>
        <v>20260630-P-1013</v>
      </c>
    </row>
    <row r="92" customFormat="false" ht="15" hidden="false" customHeight="false" outlineLevel="0" collapsed="false">
      <c r="A92" s="19" t="n">
        <v>46203</v>
      </c>
      <c r="B92" s="18" t="s">
        <v>267</v>
      </c>
      <c r="C92" s="18" t="s">
        <v>203</v>
      </c>
      <c r="D92" s="24" t="n">
        <v>0.71</v>
      </c>
      <c r="E92" s="23" t="n">
        <v>641650.79</v>
      </c>
      <c r="F92" s="23" t="n">
        <v>943900</v>
      </c>
      <c r="G92" s="23" t="n">
        <v>903733.51</v>
      </c>
      <c r="H92" s="24" t="n">
        <v>0.3767</v>
      </c>
      <c r="I92" s="33" t="n">
        <v>3</v>
      </c>
      <c r="J92" s="18" t="s">
        <v>2902</v>
      </c>
      <c r="K92" s="18" t="s">
        <v>2902</v>
      </c>
      <c r="L92" s="18" t="s">
        <v>2902</v>
      </c>
      <c r="M92" s="18" t="s">
        <v>2902</v>
      </c>
      <c r="N92" s="15" t="n">
        <f aca="false">IF(F92=0,0,E92/F92)</f>
        <v>0.679786831232122</v>
      </c>
      <c r="O92" s="12" t="str">
        <f aca="false">TEXT(A92,"yyyymmdd")&amp;"-"&amp;B92</f>
        <v>20260630-P-1014</v>
      </c>
    </row>
    <row r="93" customFormat="false" ht="15" hidden="false" customHeight="false" outlineLevel="0" collapsed="false">
      <c r="A93" s="19" t="n">
        <v>46203</v>
      </c>
      <c r="B93" s="18" t="s">
        <v>270</v>
      </c>
      <c r="C93" s="18" t="s">
        <v>203</v>
      </c>
      <c r="D93" s="24" t="n">
        <v>0.21</v>
      </c>
      <c r="E93" s="23" t="n">
        <v>218007</v>
      </c>
      <c r="F93" s="23" t="n">
        <v>1077800</v>
      </c>
      <c r="G93" s="23" t="n">
        <v>1038128.57</v>
      </c>
      <c r="H93" s="24" t="n">
        <v>0.2914</v>
      </c>
      <c r="I93" s="33" t="n">
        <v>6</v>
      </c>
      <c r="J93" s="18" t="s">
        <v>2902</v>
      </c>
      <c r="K93" s="18" t="s">
        <v>2902</v>
      </c>
      <c r="L93" s="18" t="s">
        <v>2902</v>
      </c>
      <c r="M93" s="18" t="s">
        <v>2902</v>
      </c>
      <c r="N93" s="15" t="n">
        <f aca="false">IF(F93=0,0,E93/F93)</f>
        <v>0.202270365559473</v>
      </c>
      <c r="O93" s="12" t="str">
        <f aca="false">TEXT(A93,"yyyymmdd")&amp;"-"&amp;B93</f>
        <v>20260630-P-1015</v>
      </c>
    </row>
    <row r="94" customFormat="false" ht="15" hidden="false" customHeight="false" outlineLevel="0" collapsed="false">
      <c r="A94" s="19" t="n">
        <v>46203</v>
      </c>
      <c r="B94" s="18" t="s">
        <v>272</v>
      </c>
      <c r="C94" s="18" t="s">
        <v>203</v>
      </c>
      <c r="D94" s="24" t="n">
        <v>0.32</v>
      </c>
      <c r="E94" s="23" t="n">
        <v>88977.44</v>
      </c>
      <c r="F94" s="23" t="n">
        <v>283700</v>
      </c>
      <c r="G94" s="23" t="n">
        <v>278054.5</v>
      </c>
      <c r="H94" s="24" t="n">
        <v>0.3134</v>
      </c>
      <c r="I94" s="33" t="n">
        <v>2</v>
      </c>
      <c r="J94" s="18" t="s">
        <v>2902</v>
      </c>
      <c r="K94" s="18" t="s">
        <v>2902</v>
      </c>
      <c r="L94" s="18" t="s">
        <v>2904</v>
      </c>
      <c r="M94" s="18" t="s">
        <v>2904</v>
      </c>
      <c r="N94" s="15" t="n">
        <f aca="false">IF(F94=0,0,E94/F94)</f>
        <v>0.313632146633768</v>
      </c>
      <c r="O94" s="12" t="str">
        <f aca="false">TEXT(A94,"yyyymmdd")&amp;"-"&amp;B94</f>
        <v>20260630-P-1016</v>
      </c>
    </row>
    <row r="95" customFormat="false" ht="15" hidden="false" customHeight="false" outlineLevel="0" collapsed="false">
      <c r="A95" s="19" t="n">
        <v>46203</v>
      </c>
      <c r="B95" s="18" t="s">
        <v>275</v>
      </c>
      <c r="C95" s="18" t="s">
        <v>203</v>
      </c>
      <c r="D95" s="24" t="n">
        <v>0.52</v>
      </c>
      <c r="E95" s="23" t="n">
        <v>282123.79</v>
      </c>
      <c r="F95" s="23" t="n">
        <v>389000</v>
      </c>
      <c r="G95" s="23" t="n">
        <v>542545.75</v>
      </c>
      <c r="H95" s="24" t="n">
        <v>-0.1668</v>
      </c>
      <c r="I95" s="33" t="n">
        <v>40</v>
      </c>
      <c r="J95" s="18" t="s">
        <v>2903</v>
      </c>
      <c r="K95" s="18" t="s">
        <v>2904</v>
      </c>
      <c r="L95" s="18" t="s">
        <v>2903</v>
      </c>
      <c r="M95" s="18" t="s">
        <v>2903</v>
      </c>
      <c r="N95" s="15" t="n">
        <f aca="false">IF(F95=0,0,E95/F95)</f>
        <v>0.725253958868895</v>
      </c>
      <c r="O95" s="12" t="str">
        <f aca="false">TEXT(A95,"yyyymmdd")&amp;"-"&amp;B95</f>
        <v>20260630-P-1017</v>
      </c>
    </row>
    <row r="96" customFormat="false" ht="15" hidden="false" customHeight="false" outlineLevel="0" collapsed="false">
      <c r="A96" s="19" t="n">
        <v>46203</v>
      </c>
      <c r="B96" s="18" t="s">
        <v>283</v>
      </c>
      <c r="C96" s="18" t="s">
        <v>279</v>
      </c>
      <c r="D96" s="24" t="n">
        <v>1</v>
      </c>
      <c r="E96" s="23" t="n">
        <v>376556.9</v>
      </c>
      <c r="F96" s="23" t="n">
        <v>412900</v>
      </c>
      <c r="G96" s="23" t="n">
        <v>376556.9</v>
      </c>
      <c r="H96" s="24" t="n">
        <v>0.3618</v>
      </c>
      <c r="I96" s="33" t="n">
        <v>3</v>
      </c>
      <c r="J96" s="18" t="s">
        <v>2902</v>
      </c>
      <c r="K96" s="18" t="s">
        <v>2902</v>
      </c>
      <c r="L96" s="18" t="s">
        <v>2904</v>
      </c>
      <c r="M96" s="18" t="s">
        <v>2904</v>
      </c>
      <c r="N96" s="15" t="n">
        <f aca="false">IF(F96=0,0,E96/F96)</f>
        <v>0.911980867038024</v>
      </c>
      <c r="O96" s="12" t="str">
        <f aca="false">TEXT(A96,"yyyymmdd")&amp;"-"&amp;B96</f>
        <v>20260630-P-1020</v>
      </c>
    </row>
    <row r="97" customFormat="false" ht="15" hidden="false" customHeight="false" outlineLevel="0" collapsed="false">
      <c r="A97" s="19" t="n">
        <v>46203</v>
      </c>
      <c r="B97" s="18" t="s">
        <v>285</v>
      </c>
      <c r="C97" s="18" t="s">
        <v>203</v>
      </c>
      <c r="D97" s="24" t="n">
        <v>0.39</v>
      </c>
      <c r="E97" s="23" t="n">
        <v>166995.37</v>
      </c>
      <c r="F97" s="23" t="n">
        <v>398600</v>
      </c>
      <c r="G97" s="23" t="n">
        <v>428193.26</v>
      </c>
      <c r="H97" s="24" t="n">
        <v>0.3149</v>
      </c>
      <c r="I97" s="33" t="n">
        <v>63</v>
      </c>
      <c r="J97" s="18" t="s">
        <v>2902</v>
      </c>
      <c r="K97" s="18" t="s">
        <v>2903</v>
      </c>
      <c r="L97" s="18" t="s">
        <v>2902</v>
      </c>
      <c r="M97" s="18" t="s">
        <v>2903</v>
      </c>
      <c r="N97" s="15" t="n">
        <f aca="false">IF(F97=0,0,E97/F97)</f>
        <v>0.418954766683392</v>
      </c>
      <c r="O97" s="12" t="str">
        <f aca="false">TEXT(A97,"yyyymmdd")&amp;"-"&amp;B97</f>
        <v>20260630-P-1021</v>
      </c>
    </row>
    <row r="98" customFormat="false" ht="15" hidden="false" customHeight="false" outlineLevel="0" collapsed="false">
      <c r="A98" s="19" t="n">
        <v>46234</v>
      </c>
      <c r="B98" s="18" t="s">
        <v>197</v>
      </c>
      <c r="C98" s="18" t="s">
        <v>203</v>
      </c>
      <c r="D98" s="24" t="n">
        <v>0.8</v>
      </c>
      <c r="E98" s="23" t="n">
        <v>523234.95</v>
      </c>
      <c r="F98" s="23" t="n">
        <v>748500</v>
      </c>
      <c r="G98" s="23" t="n">
        <v>654043.69</v>
      </c>
      <c r="H98" s="24" t="n">
        <v>0.4238</v>
      </c>
      <c r="I98" s="33" t="n">
        <v>4</v>
      </c>
      <c r="J98" s="18" t="s">
        <v>2902</v>
      </c>
      <c r="K98" s="18" t="s">
        <v>2902</v>
      </c>
      <c r="L98" s="18" t="s">
        <v>2902</v>
      </c>
      <c r="M98" s="18" t="s">
        <v>2902</v>
      </c>
      <c r="N98" s="15" t="n">
        <f aca="false">IF(F98=0,0,E98/F98)</f>
        <v>0.699044689378758</v>
      </c>
      <c r="O98" s="12" t="str">
        <f aca="false">TEXT(A98,"yyyymmdd")&amp;"-"&amp;B98</f>
        <v>20260731-P-1001</v>
      </c>
    </row>
    <row r="99" customFormat="false" ht="15" hidden="false" customHeight="false" outlineLevel="0" collapsed="false">
      <c r="A99" s="19" t="n">
        <v>46234</v>
      </c>
      <c r="B99" s="18" t="s">
        <v>207</v>
      </c>
      <c r="C99" s="18" t="s">
        <v>203</v>
      </c>
      <c r="D99" s="24" t="n">
        <v>0.49</v>
      </c>
      <c r="E99" s="23" t="n">
        <v>333929.7</v>
      </c>
      <c r="F99" s="23" t="n">
        <v>536100</v>
      </c>
      <c r="G99" s="23" t="n">
        <v>681489.18</v>
      </c>
      <c r="H99" s="24" t="n">
        <v>0.1149</v>
      </c>
      <c r="I99" s="33" t="n">
        <v>15</v>
      </c>
      <c r="J99" s="18" t="s">
        <v>2904</v>
      </c>
      <c r="K99" s="18" t="s">
        <v>2904</v>
      </c>
      <c r="L99" s="18" t="s">
        <v>2903</v>
      </c>
      <c r="M99" s="18" t="s">
        <v>2903</v>
      </c>
      <c r="N99" s="15" t="n">
        <f aca="false">IF(F99=0,0,E99/F99)</f>
        <v>0.622886961387801</v>
      </c>
      <c r="O99" s="12" t="str">
        <f aca="false">TEXT(A99,"yyyymmdd")&amp;"-"&amp;B99</f>
        <v>20260731-P-1002</v>
      </c>
    </row>
    <row r="100" customFormat="false" ht="15" hidden="false" customHeight="false" outlineLevel="0" collapsed="false">
      <c r="A100" s="19" t="n">
        <v>46234</v>
      </c>
      <c r="B100" s="18" t="s">
        <v>215</v>
      </c>
      <c r="C100" s="18" t="s">
        <v>203</v>
      </c>
      <c r="D100" s="24" t="n">
        <v>0.6</v>
      </c>
      <c r="E100" s="23" t="n">
        <v>562480.64</v>
      </c>
      <c r="F100" s="23" t="n">
        <v>879600</v>
      </c>
      <c r="G100" s="23" t="n">
        <v>937467.73</v>
      </c>
      <c r="H100" s="24" t="n">
        <v>0.303</v>
      </c>
      <c r="I100" s="33" t="n">
        <v>37</v>
      </c>
      <c r="J100" s="18" t="s">
        <v>2902</v>
      </c>
      <c r="K100" s="18" t="s">
        <v>2904</v>
      </c>
      <c r="L100" s="18" t="s">
        <v>2904</v>
      </c>
      <c r="M100" s="18" t="s">
        <v>2904</v>
      </c>
      <c r="N100" s="15" t="n">
        <f aca="false">IF(F100=0,0,E100/F100)</f>
        <v>0.639473215097772</v>
      </c>
      <c r="O100" s="12" t="str">
        <f aca="false">TEXT(A100,"yyyymmdd")&amp;"-"&amp;B100</f>
        <v>20260731-P-1003</v>
      </c>
    </row>
    <row r="101" customFormat="false" ht="15" hidden="false" customHeight="false" outlineLevel="0" collapsed="false">
      <c r="A101" s="19" t="n">
        <v>46234</v>
      </c>
      <c r="B101" s="18" t="s">
        <v>222</v>
      </c>
      <c r="C101" s="18" t="s">
        <v>203</v>
      </c>
      <c r="D101" s="24" t="n">
        <v>0.53</v>
      </c>
      <c r="E101" s="23" t="n">
        <v>366518.4</v>
      </c>
      <c r="F101" s="23" t="n">
        <v>738500</v>
      </c>
      <c r="G101" s="23" t="n">
        <v>691544.15</v>
      </c>
      <c r="H101" s="24" t="n">
        <v>0.4013</v>
      </c>
      <c r="I101" s="33" t="n">
        <v>5</v>
      </c>
      <c r="J101" s="18" t="s">
        <v>2902</v>
      </c>
      <c r="K101" s="18" t="s">
        <v>2902</v>
      </c>
      <c r="L101" s="18" t="s">
        <v>2902</v>
      </c>
      <c r="M101" s="18" t="s">
        <v>2902</v>
      </c>
      <c r="N101" s="15" t="n">
        <f aca="false">IF(F101=0,0,E101/F101)</f>
        <v>0.49630115098172</v>
      </c>
      <c r="O101" s="12" t="str">
        <f aca="false">TEXT(A101,"yyyymmdd")&amp;"-"&amp;B101</f>
        <v>20260731-P-1004</v>
      </c>
    </row>
    <row r="102" customFormat="false" ht="15" hidden="false" customHeight="false" outlineLevel="0" collapsed="false">
      <c r="A102" s="19" t="n">
        <v>46234</v>
      </c>
      <c r="B102" s="18" t="s">
        <v>228</v>
      </c>
      <c r="C102" s="18" t="s">
        <v>203</v>
      </c>
      <c r="D102" s="24" t="n">
        <v>0.32</v>
      </c>
      <c r="E102" s="23" t="n">
        <v>234472.64</v>
      </c>
      <c r="F102" s="23" t="n">
        <v>554200</v>
      </c>
      <c r="G102" s="23" t="n">
        <v>732727</v>
      </c>
      <c r="H102" s="24" t="n">
        <v>0.148</v>
      </c>
      <c r="I102" s="33" t="n">
        <v>55</v>
      </c>
      <c r="J102" s="18" t="s">
        <v>2904</v>
      </c>
      <c r="K102" s="18" t="s">
        <v>2903</v>
      </c>
      <c r="L102" s="18" t="s">
        <v>2903</v>
      </c>
      <c r="M102" s="18" t="s">
        <v>2903</v>
      </c>
      <c r="N102" s="15" t="n">
        <f aca="false">IF(F102=0,0,E102/F102)</f>
        <v>0.423083074702274</v>
      </c>
      <c r="O102" s="12" t="str">
        <f aca="false">TEXT(A102,"yyyymmdd")&amp;"-"&amp;B102</f>
        <v>20260731-P-1005</v>
      </c>
    </row>
    <row r="103" customFormat="false" ht="15" hidden="false" customHeight="false" outlineLevel="0" collapsed="false">
      <c r="A103" s="19" t="n">
        <v>46234</v>
      </c>
      <c r="B103" s="18" t="s">
        <v>233</v>
      </c>
      <c r="C103" s="18" t="s">
        <v>203</v>
      </c>
      <c r="D103" s="24" t="n">
        <v>0.85</v>
      </c>
      <c r="E103" s="23" t="n">
        <v>577656.11</v>
      </c>
      <c r="F103" s="23" t="n">
        <v>630300</v>
      </c>
      <c r="G103" s="23" t="n">
        <v>679595.42</v>
      </c>
      <c r="H103" s="24" t="n">
        <v>0.3065</v>
      </c>
      <c r="I103" s="33" t="n">
        <v>9</v>
      </c>
      <c r="J103" s="18" t="s">
        <v>2902</v>
      </c>
      <c r="K103" s="18" t="s">
        <v>2902</v>
      </c>
      <c r="L103" s="18" t="s">
        <v>2904</v>
      </c>
      <c r="M103" s="18" t="s">
        <v>2904</v>
      </c>
      <c r="N103" s="15" t="n">
        <f aca="false">IF(F103=0,0,E103/F103)</f>
        <v>0.916478042202126</v>
      </c>
      <c r="O103" s="12" t="str">
        <f aca="false">TEXT(A103,"yyyymmdd")&amp;"-"&amp;B103</f>
        <v>20260731-P-1006</v>
      </c>
    </row>
    <row r="104" customFormat="false" ht="15" hidden="false" customHeight="false" outlineLevel="0" collapsed="false">
      <c r="A104" s="19" t="n">
        <v>46234</v>
      </c>
      <c r="B104" s="18" t="s">
        <v>239</v>
      </c>
      <c r="C104" s="18" t="s">
        <v>203</v>
      </c>
      <c r="D104" s="24" t="n">
        <v>0.34</v>
      </c>
      <c r="E104" s="23" t="n">
        <v>199543.49</v>
      </c>
      <c r="F104" s="23" t="n">
        <v>639400</v>
      </c>
      <c r="G104" s="23" t="n">
        <v>586892.62</v>
      </c>
      <c r="H104" s="24" t="n">
        <v>0.395</v>
      </c>
      <c r="I104" s="33" t="n">
        <v>2</v>
      </c>
      <c r="J104" s="18" t="s">
        <v>2902</v>
      </c>
      <c r="K104" s="18" t="s">
        <v>2902</v>
      </c>
      <c r="L104" s="18" t="s">
        <v>2902</v>
      </c>
      <c r="M104" s="18" t="s">
        <v>2902</v>
      </c>
      <c r="N104" s="15" t="n">
        <f aca="false">IF(F104=0,0,E104/F104)</f>
        <v>0.312079277447607</v>
      </c>
      <c r="O104" s="12" t="str">
        <f aca="false">TEXT(A104,"yyyymmdd")&amp;"-"&amp;B104</f>
        <v>20260731-P-1007</v>
      </c>
    </row>
    <row r="105" customFormat="false" ht="15" hidden="false" customHeight="false" outlineLevel="0" collapsed="false">
      <c r="A105" s="19" t="n">
        <v>46234</v>
      </c>
      <c r="B105" s="18" t="s">
        <v>244</v>
      </c>
      <c r="C105" s="18" t="s">
        <v>203</v>
      </c>
      <c r="D105" s="24" t="n">
        <v>0.75</v>
      </c>
      <c r="E105" s="23" t="n">
        <v>414126.66</v>
      </c>
      <c r="F105" s="23" t="n">
        <v>536500</v>
      </c>
      <c r="G105" s="23" t="n">
        <v>552168.88</v>
      </c>
      <c r="H105" s="24" t="n">
        <v>0.2782</v>
      </c>
      <c r="I105" s="33" t="n">
        <v>15</v>
      </c>
      <c r="J105" s="18" t="s">
        <v>2902</v>
      </c>
      <c r="K105" s="18" t="s">
        <v>2904</v>
      </c>
      <c r="L105" s="18" t="s">
        <v>2904</v>
      </c>
      <c r="M105" s="18" t="s">
        <v>2904</v>
      </c>
      <c r="N105" s="15" t="n">
        <f aca="false">IF(F105=0,0,E105/F105)</f>
        <v>0.771904305684995</v>
      </c>
      <c r="O105" s="12" t="str">
        <f aca="false">TEXT(A105,"yyyymmdd")&amp;"-"&amp;B105</f>
        <v>20260731-P-1008</v>
      </c>
    </row>
    <row r="106" customFormat="false" ht="15" hidden="false" customHeight="false" outlineLevel="0" collapsed="false">
      <c r="A106" s="19" t="n">
        <v>46234</v>
      </c>
      <c r="B106" s="18" t="s">
        <v>249</v>
      </c>
      <c r="C106" s="18" t="s">
        <v>203</v>
      </c>
      <c r="D106" s="24" t="n">
        <v>0.37</v>
      </c>
      <c r="E106" s="23" t="n">
        <v>119221.94</v>
      </c>
      <c r="F106" s="23" t="n">
        <v>342700</v>
      </c>
      <c r="G106" s="23" t="n">
        <v>322221.46</v>
      </c>
      <c r="H106" s="24" t="n">
        <v>0.3977</v>
      </c>
      <c r="I106" s="33" t="n">
        <v>2</v>
      </c>
      <c r="J106" s="18" t="s">
        <v>2902</v>
      </c>
      <c r="K106" s="18" t="s">
        <v>2902</v>
      </c>
      <c r="L106" s="18" t="s">
        <v>2902</v>
      </c>
      <c r="M106" s="18" t="s">
        <v>2902</v>
      </c>
      <c r="N106" s="15" t="n">
        <f aca="false">IF(F106=0,0,E106/F106)</f>
        <v>0.347890107966151</v>
      </c>
      <c r="O106" s="12" t="str">
        <f aca="false">TEXT(A106,"yyyymmdd")&amp;"-"&amp;B106</f>
        <v>20260731-P-1009</v>
      </c>
    </row>
    <row r="107" customFormat="false" ht="15" hidden="false" customHeight="false" outlineLevel="0" collapsed="false">
      <c r="A107" s="19" t="n">
        <v>46234</v>
      </c>
      <c r="B107" s="18" t="s">
        <v>253</v>
      </c>
      <c r="C107" s="18" t="s">
        <v>203</v>
      </c>
      <c r="D107" s="24" t="n">
        <v>0.78</v>
      </c>
      <c r="E107" s="23" t="n">
        <v>465132.51</v>
      </c>
      <c r="F107" s="23" t="n">
        <v>497000</v>
      </c>
      <c r="G107" s="23" t="n">
        <v>596323.73</v>
      </c>
      <c r="H107" s="24" t="n">
        <v>0.2205</v>
      </c>
      <c r="I107" s="33" t="n">
        <v>44</v>
      </c>
      <c r="J107" s="18" t="s">
        <v>2904</v>
      </c>
      <c r="K107" s="18" t="s">
        <v>2904</v>
      </c>
      <c r="L107" s="18" t="s">
        <v>2904</v>
      </c>
      <c r="M107" s="18" t="s">
        <v>2904</v>
      </c>
      <c r="N107" s="15" t="n">
        <f aca="false">IF(F107=0,0,E107/F107)</f>
        <v>0.935880301810865</v>
      </c>
      <c r="O107" s="12" t="str">
        <f aca="false">TEXT(A107,"yyyymmdd")&amp;"-"&amp;B107</f>
        <v>20260731-P-1010</v>
      </c>
    </row>
    <row r="108" customFormat="false" ht="15" hidden="false" customHeight="false" outlineLevel="0" collapsed="false">
      <c r="A108" s="19" t="n">
        <v>46234</v>
      </c>
      <c r="B108" s="18" t="s">
        <v>257</v>
      </c>
      <c r="C108" s="18" t="s">
        <v>203</v>
      </c>
      <c r="D108" s="24" t="n">
        <v>0.35</v>
      </c>
      <c r="E108" s="23" t="n">
        <v>206547.68</v>
      </c>
      <c r="F108" s="23" t="n">
        <v>668700</v>
      </c>
      <c r="G108" s="23" t="n">
        <v>590136.23</v>
      </c>
      <c r="H108" s="24" t="n">
        <v>0.438</v>
      </c>
      <c r="I108" s="33" t="n">
        <v>0</v>
      </c>
      <c r="J108" s="18" t="s">
        <v>2902</v>
      </c>
      <c r="K108" s="18" t="s">
        <v>2902</v>
      </c>
      <c r="L108" s="18" t="s">
        <v>2902</v>
      </c>
      <c r="M108" s="18" t="s">
        <v>2902</v>
      </c>
      <c r="N108" s="15" t="n">
        <f aca="false">IF(F108=0,0,E108/F108)</f>
        <v>0.308879437714969</v>
      </c>
      <c r="O108" s="12" t="str">
        <f aca="false">TEXT(A108,"yyyymmdd")&amp;"-"&amp;B108</f>
        <v>20260731-P-1011</v>
      </c>
    </row>
    <row r="109" customFormat="false" ht="15" hidden="false" customHeight="false" outlineLevel="0" collapsed="false">
      <c r="A109" s="19" t="n">
        <v>46234</v>
      </c>
      <c r="B109" s="18" t="s">
        <v>261</v>
      </c>
      <c r="C109" s="18" t="s">
        <v>203</v>
      </c>
      <c r="D109" s="24" t="n">
        <v>0.28</v>
      </c>
      <c r="E109" s="23" t="n">
        <v>90305</v>
      </c>
      <c r="F109" s="23" t="n">
        <v>346500</v>
      </c>
      <c r="G109" s="23" t="n">
        <v>322517.86</v>
      </c>
      <c r="H109" s="24" t="n">
        <v>0.3676</v>
      </c>
      <c r="I109" s="33" t="n">
        <v>0</v>
      </c>
      <c r="J109" s="18" t="s">
        <v>2902</v>
      </c>
      <c r="K109" s="18" t="s">
        <v>2902</v>
      </c>
      <c r="L109" s="18" t="s">
        <v>2902</v>
      </c>
      <c r="M109" s="18" t="s">
        <v>2902</v>
      </c>
      <c r="N109" s="15" t="n">
        <f aca="false">IF(F109=0,0,E109/F109)</f>
        <v>0.260620490620491</v>
      </c>
      <c r="O109" s="12" t="str">
        <f aca="false">TEXT(A109,"yyyymmdd")&amp;"-"&amp;B109</f>
        <v>20260731-P-1012</v>
      </c>
    </row>
    <row r="110" customFormat="false" ht="15" hidden="false" customHeight="false" outlineLevel="0" collapsed="false">
      <c r="A110" s="19" t="n">
        <v>46234</v>
      </c>
      <c r="B110" s="18" t="s">
        <v>265</v>
      </c>
      <c r="C110" s="18" t="s">
        <v>203</v>
      </c>
      <c r="D110" s="24" t="n">
        <v>0.76</v>
      </c>
      <c r="E110" s="23" t="n">
        <v>834558.23</v>
      </c>
      <c r="F110" s="23" t="n">
        <v>1022500</v>
      </c>
      <c r="G110" s="23" t="n">
        <v>1098102.93</v>
      </c>
      <c r="H110" s="24" t="n">
        <v>0.2728</v>
      </c>
      <c r="I110" s="33" t="n">
        <v>16</v>
      </c>
      <c r="J110" s="18" t="s">
        <v>2902</v>
      </c>
      <c r="K110" s="18" t="s">
        <v>2904</v>
      </c>
      <c r="L110" s="18" t="s">
        <v>2904</v>
      </c>
      <c r="M110" s="18" t="s">
        <v>2904</v>
      </c>
      <c r="N110" s="15" t="n">
        <f aca="false">IF(F110=0,0,E110/F110)</f>
        <v>0.81619386797066</v>
      </c>
      <c r="O110" s="12" t="str">
        <f aca="false">TEXT(A110,"yyyymmdd")&amp;"-"&amp;B110</f>
        <v>20260731-P-1013</v>
      </c>
    </row>
    <row r="111" customFormat="false" ht="15" hidden="false" customHeight="false" outlineLevel="0" collapsed="false">
      <c r="A111" s="19" t="n">
        <v>46234</v>
      </c>
      <c r="B111" s="18" t="s">
        <v>267</v>
      </c>
      <c r="C111" s="18" t="s">
        <v>203</v>
      </c>
      <c r="D111" s="24" t="n">
        <v>0.76</v>
      </c>
      <c r="E111" s="23" t="n">
        <v>684233.81</v>
      </c>
      <c r="F111" s="23" t="n">
        <v>943900</v>
      </c>
      <c r="G111" s="23" t="n">
        <v>900307.64</v>
      </c>
      <c r="H111" s="24" t="n">
        <v>0.3791</v>
      </c>
      <c r="I111" s="33" t="n">
        <v>4</v>
      </c>
      <c r="J111" s="18" t="s">
        <v>2902</v>
      </c>
      <c r="K111" s="18" t="s">
        <v>2902</v>
      </c>
      <c r="L111" s="18" t="s">
        <v>2902</v>
      </c>
      <c r="M111" s="18" t="s">
        <v>2902</v>
      </c>
      <c r="N111" s="15" t="n">
        <f aca="false">IF(F111=0,0,E111/F111)</f>
        <v>0.724900741603984</v>
      </c>
      <c r="O111" s="12" t="str">
        <f aca="false">TEXT(A111,"yyyymmdd")&amp;"-"&amp;B111</f>
        <v>20260731-P-1014</v>
      </c>
    </row>
    <row r="112" customFormat="false" ht="15" hidden="false" customHeight="false" outlineLevel="0" collapsed="false">
      <c r="A112" s="19" t="n">
        <v>46234</v>
      </c>
      <c r="B112" s="18" t="s">
        <v>270</v>
      </c>
      <c r="C112" s="18" t="s">
        <v>203</v>
      </c>
      <c r="D112" s="24" t="n">
        <v>0.28</v>
      </c>
      <c r="E112" s="23" t="n">
        <v>279422.04</v>
      </c>
      <c r="F112" s="23" t="n">
        <v>1077800</v>
      </c>
      <c r="G112" s="23" t="n">
        <v>997935.86</v>
      </c>
      <c r="H112" s="24" t="n">
        <v>0.3188</v>
      </c>
      <c r="I112" s="33" t="n">
        <v>8</v>
      </c>
      <c r="J112" s="18" t="s">
        <v>2902</v>
      </c>
      <c r="K112" s="18" t="s">
        <v>2902</v>
      </c>
      <c r="L112" s="18" t="s">
        <v>2902</v>
      </c>
      <c r="M112" s="18" t="s">
        <v>2902</v>
      </c>
      <c r="N112" s="15" t="n">
        <f aca="false">IF(F112=0,0,E112/F112)</f>
        <v>0.259252217480052</v>
      </c>
      <c r="O112" s="12" t="str">
        <f aca="false">TEXT(A112,"yyyymmdd")&amp;"-"&amp;B112</f>
        <v>20260731-P-1015</v>
      </c>
    </row>
    <row r="113" customFormat="false" ht="15" hidden="false" customHeight="false" outlineLevel="0" collapsed="false">
      <c r="A113" s="19" t="n">
        <v>46234</v>
      </c>
      <c r="B113" s="18" t="s">
        <v>272</v>
      </c>
      <c r="C113" s="18" t="s">
        <v>203</v>
      </c>
      <c r="D113" s="24" t="n">
        <v>0.46</v>
      </c>
      <c r="E113" s="23" t="n">
        <v>123063.38</v>
      </c>
      <c r="F113" s="23" t="n">
        <v>324700</v>
      </c>
      <c r="G113" s="23" t="n">
        <v>267529.09</v>
      </c>
      <c r="H113" s="24" t="n">
        <v>0.4308</v>
      </c>
      <c r="I113" s="33" t="n">
        <v>2</v>
      </c>
      <c r="J113" s="18" t="s">
        <v>2902</v>
      </c>
      <c r="K113" s="18" t="s">
        <v>2902</v>
      </c>
      <c r="L113" s="18" t="s">
        <v>2902</v>
      </c>
      <c r="M113" s="18" t="s">
        <v>2902</v>
      </c>
      <c r="N113" s="15" t="n">
        <f aca="false">IF(F113=0,0,E113/F113)</f>
        <v>0.379006405913151</v>
      </c>
      <c r="O113" s="12" t="str">
        <f aca="false">TEXT(A113,"yyyymmdd")&amp;"-"&amp;B113</f>
        <v>20260731-P-1016</v>
      </c>
    </row>
    <row r="114" customFormat="false" ht="15" hidden="false" customHeight="false" outlineLevel="0" collapsed="false">
      <c r="A114" s="19" t="n">
        <v>46234</v>
      </c>
      <c r="B114" s="18" t="s">
        <v>275</v>
      </c>
      <c r="C114" s="18" t="s">
        <v>203</v>
      </c>
      <c r="D114" s="24" t="n">
        <v>0.61</v>
      </c>
      <c r="E114" s="23" t="n">
        <v>327714.46</v>
      </c>
      <c r="F114" s="23" t="n">
        <v>389000</v>
      </c>
      <c r="G114" s="23" t="n">
        <v>537236.82</v>
      </c>
      <c r="H114" s="24" t="n">
        <v>-0.1553</v>
      </c>
      <c r="I114" s="33" t="n">
        <v>47</v>
      </c>
      <c r="J114" s="18" t="s">
        <v>2903</v>
      </c>
      <c r="K114" s="18" t="s">
        <v>2903</v>
      </c>
      <c r="L114" s="18" t="s">
        <v>2903</v>
      </c>
      <c r="M114" s="18" t="s">
        <v>2903</v>
      </c>
      <c r="N114" s="15" t="n">
        <f aca="false">IF(F114=0,0,E114/F114)</f>
        <v>0.842453624678663</v>
      </c>
      <c r="O114" s="12" t="str">
        <f aca="false">TEXT(A114,"yyyymmdd")&amp;"-"&amp;B114</f>
        <v>20260731-P-1017</v>
      </c>
    </row>
    <row r="115" customFormat="false" ht="15" hidden="false" customHeight="false" outlineLevel="0" collapsed="false">
      <c r="A115" s="19" t="n">
        <v>46234</v>
      </c>
      <c r="B115" s="18" t="s">
        <v>285</v>
      </c>
      <c r="C115" s="18" t="s">
        <v>287</v>
      </c>
      <c r="D115" s="24" t="n">
        <v>0.42</v>
      </c>
      <c r="E115" s="23" t="n">
        <v>183595.87</v>
      </c>
      <c r="F115" s="23" t="n">
        <v>398600</v>
      </c>
      <c r="G115" s="23" t="n">
        <v>437133.02</v>
      </c>
      <c r="H115" s="24" t="n">
        <v>0.3006</v>
      </c>
      <c r="I115" s="33" t="n">
        <v>76</v>
      </c>
      <c r="J115" s="18" t="s">
        <v>2902</v>
      </c>
      <c r="K115" s="18" t="s">
        <v>2903</v>
      </c>
      <c r="L115" s="18" t="s">
        <v>2904</v>
      </c>
      <c r="M115" s="18" t="s">
        <v>2903</v>
      </c>
      <c r="N115" s="15" t="n">
        <f aca="false">IF(F115=0,0,E115/F115)</f>
        <v>0.46060178123432</v>
      </c>
      <c r="O115" s="12" t="str">
        <f aca="false">TEXT(A115,"yyyymmdd")&amp;"-"&amp;B115</f>
        <v>20260731-P-1021</v>
      </c>
    </row>
    <row r="116" customFormat="false" ht="15" hidden="false" customHeight="false" outlineLevel="0" collapsed="false">
      <c r="A116" s="19" t="n">
        <v>46265</v>
      </c>
      <c r="B116" s="18" t="s">
        <v>197</v>
      </c>
      <c r="C116" s="18" t="s">
        <v>203</v>
      </c>
      <c r="D116" s="24" t="n">
        <v>0.87</v>
      </c>
      <c r="E116" s="23" t="n">
        <v>569689.28</v>
      </c>
      <c r="F116" s="23" t="n">
        <v>748500</v>
      </c>
      <c r="G116" s="23" t="n">
        <v>654815.26</v>
      </c>
      <c r="H116" s="24" t="n">
        <v>0.4231</v>
      </c>
      <c r="I116" s="33" t="n">
        <v>4</v>
      </c>
      <c r="J116" s="18" t="s">
        <v>2902</v>
      </c>
      <c r="K116" s="18" t="s">
        <v>2902</v>
      </c>
      <c r="L116" s="18" t="s">
        <v>2902</v>
      </c>
      <c r="M116" s="18" t="s">
        <v>2902</v>
      </c>
      <c r="N116" s="15" t="n">
        <f aca="false">IF(F116=0,0,E116/F116)</f>
        <v>0.76110792251169</v>
      </c>
      <c r="O116" s="12" t="str">
        <f aca="false">TEXT(A116,"yyyymmdd")&amp;"-"&amp;B116</f>
        <v>20260831-P-1001</v>
      </c>
    </row>
    <row r="117" customFormat="false" ht="15" hidden="false" customHeight="false" outlineLevel="0" collapsed="false">
      <c r="A117" s="19" t="n">
        <v>46265</v>
      </c>
      <c r="B117" s="18" t="s">
        <v>207</v>
      </c>
      <c r="C117" s="18" t="s">
        <v>203</v>
      </c>
      <c r="D117" s="24" t="n">
        <v>0.57</v>
      </c>
      <c r="E117" s="23" t="n">
        <v>382554.58</v>
      </c>
      <c r="F117" s="23" t="n">
        <v>536100</v>
      </c>
      <c r="G117" s="23" t="n">
        <v>671148.39</v>
      </c>
      <c r="H117" s="24" t="n">
        <v>0.1284</v>
      </c>
      <c r="I117" s="33" t="n">
        <v>17</v>
      </c>
      <c r="J117" s="18" t="s">
        <v>2904</v>
      </c>
      <c r="K117" s="18" t="s">
        <v>2904</v>
      </c>
      <c r="L117" s="18" t="s">
        <v>2903</v>
      </c>
      <c r="M117" s="18" t="s">
        <v>2903</v>
      </c>
      <c r="N117" s="15" t="n">
        <f aca="false">IF(F117=0,0,E117/F117)</f>
        <v>0.713588099235217</v>
      </c>
      <c r="O117" s="12" t="str">
        <f aca="false">TEXT(A117,"yyyymmdd")&amp;"-"&amp;B117</f>
        <v>20260831-P-1002</v>
      </c>
    </row>
    <row r="118" customFormat="false" ht="15" hidden="false" customHeight="false" outlineLevel="0" collapsed="false">
      <c r="A118" s="19" t="n">
        <v>46265</v>
      </c>
      <c r="B118" s="18" t="s">
        <v>215</v>
      </c>
      <c r="C118" s="18" t="s">
        <v>203</v>
      </c>
      <c r="D118" s="24" t="n">
        <v>0.66</v>
      </c>
      <c r="E118" s="23" t="n">
        <v>614808.15</v>
      </c>
      <c r="F118" s="23" t="n">
        <v>879600</v>
      </c>
      <c r="G118" s="23" t="n">
        <v>931527.5</v>
      </c>
      <c r="H118" s="24" t="n">
        <v>0.3074</v>
      </c>
      <c r="I118" s="33" t="n">
        <v>41</v>
      </c>
      <c r="J118" s="18" t="s">
        <v>2902</v>
      </c>
      <c r="K118" s="18" t="s">
        <v>2904</v>
      </c>
      <c r="L118" s="18" t="s">
        <v>2904</v>
      </c>
      <c r="M118" s="18" t="s">
        <v>2904</v>
      </c>
      <c r="N118" s="15" t="n">
        <f aca="false">IF(F118=0,0,E118/F118)</f>
        <v>0.698963335607094</v>
      </c>
      <c r="O118" s="12" t="str">
        <f aca="false">TEXT(A118,"yyyymmdd")&amp;"-"&amp;B118</f>
        <v>20260831-P-1003</v>
      </c>
    </row>
    <row r="119" customFormat="false" ht="15" hidden="false" customHeight="false" outlineLevel="0" collapsed="false">
      <c r="A119" s="19" t="n">
        <v>46265</v>
      </c>
      <c r="B119" s="18" t="s">
        <v>222</v>
      </c>
      <c r="C119" s="18" t="s">
        <v>203</v>
      </c>
      <c r="D119" s="24" t="n">
        <v>0.61</v>
      </c>
      <c r="E119" s="23" t="n">
        <v>440837.72</v>
      </c>
      <c r="F119" s="23" t="n">
        <v>738500</v>
      </c>
      <c r="G119" s="23" t="n">
        <v>722684.79</v>
      </c>
      <c r="H119" s="24" t="n">
        <v>0.3743</v>
      </c>
      <c r="I119" s="33" t="n">
        <v>6</v>
      </c>
      <c r="J119" s="18" t="s">
        <v>2902</v>
      </c>
      <c r="K119" s="18" t="s">
        <v>2902</v>
      </c>
      <c r="L119" s="18" t="s">
        <v>2902</v>
      </c>
      <c r="M119" s="18" t="s">
        <v>2902</v>
      </c>
      <c r="N119" s="15" t="n">
        <f aca="false">IF(F119=0,0,E119/F119)</f>
        <v>0.596936655382532</v>
      </c>
      <c r="O119" s="12" t="str">
        <f aca="false">TEXT(A119,"yyyymmdd")&amp;"-"&amp;B119</f>
        <v>20260831-P-1004</v>
      </c>
    </row>
    <row r="120" customFormat="false" ht="15" hidden="false" customHeight="false" outlineLevel="0" collapsed="false">
      <c r="A120" s="19" t="n">
        <v>46265</v>
      </c>
      <c r="B120" s="18" t="s">
        <v>228</v>
      </c>
      <c r="C120" s="18" t="s">
        <v>203</v>
      </c>
      <c r="D120" s="24" t="n">
        <v>0.4</v>
      </c>
      <c r="E120" s="23" t="n">
        <v>289303.7</v>
      </c>
      <c r="F120" s="23" t="n">
        <v>554200</v>
      </c>
      <c r="G120" s="23" t="n">
        <v>723259.25</v>
      </c>
      <c r="H120" s="24" t="n">
        <v>0.159</v>
      </c>
      <c r="I120" s="33" t="n">
        <v>66</v>
      </c>
      <c r="J120" s="18" t="s">
        <v>2904</v>
      </c>
      <c r="K120" s="18" t="s">
        <v>2903</v>
      </c>
      <c r="L120" s="18" t="s">
        <v>2904</v>
      </c>
      <c r="M120" s="18" t="s">
        <v>2903</v>
      </c>
      <c r="N120" s="15" t="n">
        <f aca="false">IF(F120=0,0,E120/F120)</f>
        <v>0.522020389750992</v>
      </c>
      <c r="O120" s="12" t="str">
        <f aca="false">TEXT(A120,"yyyymmdd")&amp;"-"&amp;B120</f>
        <v>20260831-P-1005</v>
      </c>
    </row>
    <row r="121" customFormat="false" ht="15" hidden="false" customHeight="false" outlineLevel="0" collapsed="false">
      <c r="A121" s="19" t="n">
        <v>46265</v>
      </c>
      <c r="B121" s="18" t="s">
        <v>233</v>
      </c>
      <c r="C121" s="18" t="s">
        <v>203</v>
      </c>
      <c r="D121" s="24" t="n">
        <v>0.92</v>
      </c>
      <c r="E121" s="23" t="n">
        <v>622397.49</v>
      </c>
      <c r="F121" s="23" t="n">
        <v>630300</v>
      </c>
      <c r="G121" s="23" t="n">
        <v>676519.01</v>
      </c>
      <c r="H121" s="24" t="n">
        <v>0.3097</v>
      </c>
      <c r="I121" s="33" t="n">
        <v>10</v>
      </c>
      <c r="J121" s="18" t="s">
        <v>2902</v>
      </c>
      <c r="K121" s="18" t="s">
        <v>2902</v>
      </c>
      <c r="L121" s="18" t="s">
        <v>2904</v>
      </c>
      <c r="M121" s="18" t="s">
        <v>2904</v>
      </c>
      <c r="N121" s="15" t="n">
        <f aca="false">IF(F121=0,0,E121/F121)</f>
        <v>0.987462303664922</v>
      </c>
      <c r="O121" s="12" t="str">
        <f aca="false">TEXT(A121,"yyyymmdd")&amp;"-"&amp;B121</f>
        <v>20260831-P-1006</v>
      </c>
    </row>
    <row r="122" customFormat="false" ht="15" hidden="false" customHeight="false" outlineLevel="0" collapsed="false">
      <c r="A122" s="19" t="n">
        <v>46265</v>
      </c>
      <c r="B122" s="18" t="s">
        <v>239</v>
      </c>
      <c r="C122" s="18" t="s">
        <v>203</v>
      </c>
      <c r="D122" s="24" t="n">
        <v>0.43</v>
      </c>
      <c r="E122" s="23" t="n">
        <v>249953.93</v>
      </c>
      <c r="F122" s="23" t="n">
        <v>639400</v>
      </c>
      <c r="G122" s="23" t="n">
        <v>581288.21</v>
      </c>
      <c r="H122" s="24" t="n">
        <v>0.4007</v>
      </c>
      <c r="I122" s="33" t="n">
        <v>3</v>
      </c>
      <c r="J122" s="18" t="s">
        <v>2902</v>
      </c>
      <c r="K122" s="18" t="s">
        <v>2902</v>
      </c>
      <c r="L122" s="18" t="s">
        <v>2902</v>
      </c>
      <c r="M122" s="18" t="s">
        <v>2902</v>
      </c>
      <c r="N122" s="15" t="n">
        <f aca="false">IF(F122=0,0,E122/F122)</f>
        <v>0.390919502658743</v>
      </c>
      <c r="O122" s="12" t="str">
        <f aca="false">TEXT(A122,"yyyymmdd")&amp;"-"&amp;B122</f>
        <v>20260831-P-1007</v>
      </c>
    </row>
    <row r="123" customFormat="false" ht="15" hidden="false" customHeight="false" outlineLevel="0" collapsed="false">
      <c r="A123" s="19" t="n">
        <v>46265</v>
      </c>
      <c r="B123" s="18" t="s">
        <v>244</v>
      </c>
      <c r="C123" s="18" t="s">
        <v>203</v>
      </c>
      <c r="D123" s="24" t="n">
        <v>0.85</v>
      </c>
      <c r="E123" s="23" t="n">
        <v>464449.86</v>
      </c>
      <c r="F123" s="23" t="n">
        <v>536500</v>
      </c>
      <c r="G123" s="23" t="n">
        <v>546411.6</v>
      </c>
      <c r="H123" s="24" t="n">
        <v>0.2857</v>
      </c>
      <c r="I123" s="33" t="n">
        <v>17</v>
      </c>
      <c r="J123" s="18" t="s">
        <v>2902</v>
      </c>
      <c r="K123" s="18" t="s">
        <v>2904</v>
      </c>
      <c r="L123" s="18" t="s">
        <v>2904</v>
      </c>
      <c r="M123" s="18" t="s">
        <v>2904</v>
      </c>
      <c r="N123" s="15" t="n">
        <f aca="false">IF(F123=0,0,E123/F123)</f>
        <v>0.865703373718546</v>
      </c>
      <c r="O123" s="12" t="str">
        <f aca="false">TEXT(A123,"yyyymmdd")&amp;"-"&amp;B123</f>
        <v>20260831-P-1008</v>
      </c>
    </row>
    <row r="124" customFormat="false" ht="15" hidden="false" customHeight="false" outlineLevel="0" collapsed="false">
      <c r="A124" s="19" t="n">
        <v>46265</v>
      </c>
      <c r="B124" s="18" t="s">
        <v>249</v>
      </c>
      <c r="C124" s="18" t="s">
        <v>203</v>
      </c>
      <c r="D124" s="24" t="n">
        <v>0.5</v>
      </c>
      <c r="E124" s="23" t="n">
        <v>160755.53</v>
      </c>
      <c r="F124" s="23" t="n">
        <v>342700</v>
      </c>
      <c r="G124" s="23" t="n">
        <v>321511.06</v>
      </c>
      <c r="H124" s="24" t="n">
        <v>0.399</v>
      </c>
      <c r="I124" s="33" t="n">
        <v>3</v>
      </c>
      <c r="J124" s="18" t="s">
        <v>2902</v>
      </c>
      <c r="K124" s="18" t="s">
        <v>2902</v>
      </c>
      <c r="L124" s="18" t="s">
        <v>2902</v>
      </c>
      <c r="M124" s="18" t="s">
        <v>2902</v>
      </c>
      <c r="N124" s="15" t="n">
        <f aca="false">IF(F124=0,0,E124/F124)</f>
        <v>0.469085293259411</v>
      </c>
      <c r="O124" s="12" t="str">
        <f aca="false">TEXT(A124,"yyyymmdd")&amp;"-"&amp;B124</f>
        <v>20260831-P-1009</v>
      </c>
    </row>
    <row r="125" customFormat="false" ht="15" hidden="false" customHeight="false" outlineLevel="0" collapsed="false">
      <c r="A125" s="19" t="n">
        <v>46265</v>
      </c>
      <c r="B125" s="18" t="s">
        <v>253</v>
      </c>
      <c r="C125" s="18" t="s">
        <v>203</v>
      </c>
      <c r="D125" s="24" t="n">
        <v>0.86</v>
      </c>
      <c r="E125" s="23" t="n">
        <v>513842.3</v>
      </c>
      <c r="F125" s="23" t="n">
        <v>497000</v>
      </c>
      <c r="G125" s="23" t="n">
        <v>597491.05</v>
      </c>
      <c r="H125" s="24" t="n">
        <v>0.219</v>
      </c>
      <c r="I125" s="33" t="n">
        <v>49</v>
      </c>
      <c r="J125" s="18" t="s">
        <v>2904</v>
      </c>
      <c r="K125" s="18" t="s">
        <v>2903</v>
      </c>
      <c r="L125" s="18" t="s">
        <v>2904</v>
      </c>
      <c r="M125" s="18" t="s">
        <v>2903</v>
      </c>
      <c r="N125" s="15" t="n">
        <f aca="false">IF(F125=0,0,E125/F125)</f>
        <v>1.03388792756539</v>
      </c>
      <c r="O125" s="12" t="str">
        <f aca="false">TEXT(A125,"yyyymmdd")&amp;"-"&amp;B125</f>
        <v>20260831-P-1010</v>
      </c>
    </row>
    <row r="126" customFormat="false" ht="15" hidden="false" customHeight="false" outlineLevel="0" collapsed="false">
      <c r="A126" s="19" t="n">
        <v>46265</v>
      </c>
      <c r="B126" s="18" t="s">
        <v>257</v>
      </c>
      <c r="C126" s="18" t="s">
        <v>203</v>
      </c>
      <c r="D126" s="24" t="n">
        <v>0.42</v>
      </c>
      <c r="E126" s="23" t="n">
        <v>248297.41</v>
      </c>
      <c r="F126" s="23" t="n">
        <v>668700</v>
      </c>
      <c r="G126" s="23" t="n">
        <v>591184.31</v>
      </c>
      <c r="H126" s="24" t="n">
        <v>0.437</v>
      </c>
      <c r="I126" s="33" t="n">
        <v>0</v>
      </c>
      <c r="J126" s="18" t="s">
        <v>2902</v>
      </c>
      <c r="K126" s="18" t="s">
        <v>2902</v>
      </c>
      <c r="L126" s="18" t="s">
        <v>2902</v>
      </c>
      <c r="M126" s="18" t="s">
        <v>2902</v>
      </c>
      <c r="N126" s="15" t="n">
        <f aca="false">IF(F126=0,0,E126/F126)</f>
        <v>0.371313608494093</v>
      </c>
      <c r="O126" s="12" t="str">
        <f aca="false">TEXT(A126,"yyyymmdd")&amp;"-"&amp;B126</f>
        <v>20260831-P-1011</v>
      </c>
    </row>
    <row r="127" customFormat="false" ht="15" hidden="false" customHeight="false" outlineLevel="0" collapsed="false">
      <c r="A127" s="19" t="n">
        <v>46265</v>
      </c>
      <c r="B127" s="18" t="s">
        <v>261</v>
      </c>
      <c r="C127" s="18" t="s">
        <v>203</v>
      </c>
      <c r="D127" s="24" t="n">
        <v>0.44</v>
      </c>
      <c r="E127" s="23" t="n">
        <v>142260.82</v>
      </c>
      <c r="F127" s="23" t="n">
        <v>346500</v>
      </c>
      <c r="G127" s="23" t="n">
        <v>323320.05</v>
      </c>
      <c r="H127" s="24" t="n">
        <v>0.366</v>
      </c>
      <c r="I127" s="33" t="n">
        <v>0</v>
      </c>
      <c r="J127" s="18" t="s">
        <v>2902</v>
      </c>
      <c r="K127" s="18" t="s">
        <v>2902</v>
      </c>
      <c r="L127" s="18" t="s">
        <v>2902</v>
      </c>
      <c r="M127" s="18" t="s">
        <v>2902</v>
      </c>
      <c r="N127" s="15" t="n">
        <f aca="false">IF(F127=0,0,E127/F127)</f>
        <v>0.410565137085137</v>
      </c>
      <c r="O127" s="12" t="str">
        <f aca="false">TEXT(A127,"yyyymmdd")&amp;"-"&amp;B127</f>
        <v>20260831-P-1012</v>
      </c>
    </row>
    <row r="128" customFormat="false" ht="15" hidden="false" customHeight="false" outlineLevel="0" collapsed="false">
      <c r="A128" s="19" t="n">
        <v>46265</v>
      </c>
      <c r="B128" s="18" t="s">
        <v>265</v>
      </c>
      <c r="C128" s="18" t="s">
        <v>203</v>
      </c>
      <c r="D128" s="24" t="n">
        <v>0.82</v>
      </c>
      <c r="E128" s="23" t="n">
        <v>899800.48</v>
      </c>
      <c r="F128" s="23" t="n">
        <v>1022500</v>
      </c>
      <c r="G128" s="23" t="n">
        <v>1097317.66</v>
      </c>
      <c r="H128" s="24" t="n">
        <v>0.2733</v>
      </c>
      <c r="I128" s="33" t="n">
        <v>17</v>
      </c>
      <c r="J128" s="18" t="s">
        <v>2902</v>
      </c>
      <c r="K128" s="18" t="s">
        <v>2904</v>
      </c>
      <c r="L128" s="18" t="s">
        <v>2904</v>
      </c>
      <c r="M128" s="18" t="s">
        <v>2904</v>
      </c>
      <c r="N128" s="15" t="n">
        <f aca="false">IF(F128=0,0,E128/F128)</f>
        <v>0.880000469437653</v>
      </c>
      <c r="O128" s="12" t="str">
        <f aca="false">TEXT(A128,"yyyymmdd")&amp;"-"&amp;B128</f>
        <v>20260831-P-1013</v>
      </c>
    </row>
    <row r="129" customFormat="false" ht="15" hidden="false" customHeight="false" outlineLevel="0" collapsed="false">
      <c r="A129" s="19" t="n">
        <v>46265</v>
      </c>
      <c r="B129" s="18" t="s">
        <v>267</v>
      </c>
      <c r="C129" s="18" t="s">
        <v>203</v>
      </c>
      <c r="D129" s="24" t="n">
        <v>0.81</v>
      </c>
      <c r="E129" s="23" t="n">
        <v>726209.58</v>
      </c>
      <c r="F129" s="23" t="n">
        <v>943900</v>
      </c>
      <c r="G129" s="23" t="n">
        <v>896555.04</v>
      </c>
      <c r="H129" s="24" t="n">
        <v>0.3817</v>
      </c>
      <c r="I129" s="33" t="n">
        <v>4</v>
      </c>
      <c r="J129" s="18" t="s">
        <v>2902</v>
      </c>
      <c r="K129" s="18" t="s">
        <v>2902</v>
      </c>
      <c r="L129" s="18" t="s">
        <v>2902</v>
      </c>
      <c r="M129" s="18" t="s">
        <v>2902</v>
      </c>
      <c r="N129" s="15" t="n">
        <f aca="false">IF(F129=0,0,E129/F129)</f>
        <v>0.769371310520182</v>
      </c>
      <c r="O129" s="12" t="str">
        <f aca="false">TEXT(A129,"yyyymmdd")&amp;"-"&amp;B129</f>
        <v>20260831-P-1014</v>
      </c>
    </row>
    <row r="130" customFormat="false" ht="15" hidden="false" customHeight="false" outlineLevel="0" collapsed="false">
      <c r="A130" s="19" t="n">
        <v>46265</v>
      </c>
      <c r="B130" s="18" t="s">
        <v>270</v>
      </c>
      <c r="C130" s="18" t="s">
        <v>203</v>
      </c>
      <c r="D130" s="24" t="n">
        <v>0.34</v>
      </c>
      <c r="E130" s="23" t="n">
        <v>339750.83</v>
      </c>
      <c r="F130" s="23" t="n">
        <v>1077800</v>
      </c>
      <c r="G130" s="23" t="n">
        <v>999267.15</v>
      </c>
      <c r="H130" s="24" t="n">
        <v>0.3179</v>
      </c>
      <c r="I130" s="33" t="n">
        <v>10</v>
      </c>
      <c r="J130" s="18" t="s">
        <v>2902</v>
      </c>
      <c r="K130" s="18" t="s">
        <v>2902</v>
      </c>
      <c r="L130" s="18" t="s">
        <v>2902</v>
      </c>
      <c r="M130" s="18" t="s">
        <v>2902</v>
      </c>
      <c r="N130" s="15" t="n">
        <f aca="false">IF(F130=0,0,E130/F130)</f>
        <v>0.315226229356096</v>
      </c>
      <c r="O130" s="12" t="str">
        <f aca="false">TEXT(A130,"yyyymmdd")&amp;"-"&amp;B130</f>
        <v>20260831-P-1015</v>
      </c>
    </row>
    <row r="131" customFormat="false" ht="15" hidden="false" customHeight="false" outlineLevel="0" collapsed="false">
      <c r="A131" s="19" t="n">
        <v>46265</v>
      </c>
      <c r="B131" s="18" t="s">
        <v>272</v>
      </c>
      <c r="C131" s="18" t="s">
        <v>203</v>
      </c>
      <c r="D131" s="24" t="n">
        <v>0.6</v>
      </c>
      <c r="E131" s="23" t="n">
        <v>168612.03</v>
      </c>
      <c r="F131" s="23" t="n">
        <v>324700</v>
      </c>
      <c r="G131" s="23" t="n">
        <v>281020.05</v>
      </c>
      <c r="H131" s="24" t="n">
        <v>0.4021</v>
      </c>
      <c r="I131" s="33" t="n">
        <v>3</v>
      </c>
      <c r="J131" s="18" t="s">
        <v>2902</v>
      </c>
      <c r="K131" s="18" t="s">
        <v>2902</v>
      </c>
      <c r="L131" s="18" t="s">
        <v>2902</v>
      </c>
      <c r="M131" s="18" t="s">
        <v>2902</v>
      </c>
      <c r="N131" s="15" t="n">
        <f aca="false">IF(F131=0,0,E131/F131)</f>
        <v>0.519285586695411</v>
      </c>
      <c r="O131" s="12" t="str">
        <f aca="false">TEXT(A131,"yyyymmdd")&amp;"-"&amp;B131</f>
        <v>20260831-P-1016</v>
      </c>
    </row>
    <row r="132" customFormat="false" ht="15" hidden="false" customHeight="false" outlineLevel="0" collapsed="false">
      <c r="A132" s="19" t="n">
        <v>46265</v>
      </c>
      <c r="B132" s="18" t="s">
        <v>275</v>
      </c>
      <c r="C132" s="18" t="s">
        <v>203</v>
      </c>
      <c r="D132" s="24" t="n">
        <v>0.7</v>
      </c>
      <c r="E132" s="23" t="n">
        <v>371195.43</v>
      </c>
      <c r="F132" s="23" t="n">
        <v>389000</v>
      </c>
      <c r="G132" s="23" t="n">
        <v>530279.19</v>
      </c>
      <c r="H132" s="24" t="n">
        <v>-0.1404</v>
      </c>
      <c r="I132" s="33" t="n">
        <v>55</v>
      </c>
      <c r="J132" s="18" t="s">
        <v>2903</v>
      </c>
      <c r="K132" s="18" t="s">
        <v>2903</v>
      </c>
      <c r="L132" s="18" t="s">
        <v>2903</v>
      </c>
      <c r="M132" s="18" t="s">
        <v>2903</v>
      </c>
      <c r="N132" s="15" t="n">
        <f aca="false">IF(F132=0,0,E132/F132)</f>
        <v>0.954229897172237</v>
      </c>
      <c r="O132" s="12" t="str">
        <f aca="false">TEXT(A132,"yyyymmdd")&amp;"-"&amp;B132</f>
        <v>20260831-P-1017</v>
      </c>
    </row>
    <row r="133" customFormat="false" ht="15" hidden="false" customHeight="false" outlineLevel="0" collapsed="false">
      <c r="A133" s="19" t="n">
        <v>46265</v>
      </c>
      <c r="B133" s="18" t="s">
        <v>285</v>
      </c>
      <c r="C133" s="18" t="s">
        <v>287</v>
      </c>
      <c r="D133" s="24" t="n">
        <v>0.42</v>
      </c>
      <c r="E133" s="23" t="n">
        <v>183595.87</v>
      </c>
      <c r="F133" s="23" t="n">
        <v>398600</v>
      </c>
      <c r="G133" s="23" t="n">
        <v>437133.02</v>
      </c>
      <c r="H133" s="24" t="n">
        <v>0.3006</v>
      </c>
      <c r="I133" s="33" t="n">
        <v>90</v>
      </c>
      <c r="J133" s="18" t="s">
        <v>2902</v>
      </c>
      <c r="K133" s="18" t="s">
        <v>2903</v>
      </c>
      <c r="L133" s="18" t="s">
        <v>2904</v>
      </c>
      <c r="M133" s="18" t="s">
        <v>2903</v>
      </c>
      <c r="N133" s="15" t="n">
        <f aca="false">IF(F133=0,0,E133/F133)</f>
        <v>0.46060178123432</v>
      </c>
      <c r="O133" s="12" t="str">
        <f aca="false">TEXT(A133,"yyyymmdd")&amp;"-"&amp;B133</f>
        <v>20260831-P-1021</v>
      </c>
    </row>
  </sheetData>
  <conditionalFormatting sqref="J2:J133">
    <cfRule type="cellIs" priority="2" operator="equal" aboveAverage="0" equalAverage="0" bottom="0" percent="0" rank="0" text="" dxfId="12">
      <formula>"Red"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"Green"</formula>
    </cfRule>
    <cfRule type="cellIs" priority="5" operator="equal" aboveAverage="0" equalAverage="0" bottom="0" percent="0" rank="0" text="" dxfId="15">
      <formula>"N/A"</formula>
    </cfRule>
  </conditionalFormatting>
  <conditionalFormatting sqref="K2:K133">
    <cfRule type="cellIs" priority="6" operator="equal" aboveAverage="0" equalAverage="0" bottom="0" percent="0" rank="0" text="" dxfId="12">
      <formula>"Red"</formula>
    </cfRule>
    <cfRule type="cellIs" priority="7" operator="equal" aboveAverage="0" equalAverage="0" bottom="0" percent="0" rank="0" text="" dxfId="13">
      <formula>"Amber"</formula>
    </cfRule>
    <cfRule type="cellIs" priority="8" operator="equal" aboveAverage="0" equalAverage="0" bottom="0" percent="0" rank="0" text="" dxfId="14">
      <formula>"Green"</formula>
    </cfRule>
    <cfRule type="cellIs" priority="9" operator="equal" aboveAverage="0" equalAverage="0" bottom="0" percent="0" rank="0" text="" dxfId="15">
      <formula>"N/A"</formula>
    </cfRule>
  </conditionalFormatting>
  <conditionalFormatting sqref="L2:L133">
    <cfRule type="cellIs" priority="10" operator="equal" aboveAverage="0" equalAverage="0" bottom="0" percent="0" rank="0" text="" dxfId="12">
      <formula>"Red"</formula>
    </cfRule>
    <cfRule type="cellIs" priority="11" operator="equal" aboveAverage="0" equalAverage="0" bottom="0" percent="0" rank="0" text="" dxfId="13">
      <formula>"Amber"</formula>
    </cfRule>
    <cfRule type="cellIs" priority="12" operator="equal" aboveAverage="0" equalAverage="0" bottom="0" percent="0" rank="0" text="" dxfId="14">
      <formula>"Green"</formula>
    </cfRule>
    <cfRule type="cellIs" priority="13" operator="equal" aboveAverage="0" equalAverage="0" bottom="0" percent="0" rank="0" text="" dxfId="15">
      <formula>"N/A"</formula>
    </cfRule>
  </conditionalFormatting>
  <conditionalFormatting sqref="M2:M133">
    <cfRule type="cellIs" priority="14" operator="equal" aboveAverage="0" equalAverage="0" bottom="0" percent="0" rank="0" text="" dxfId="12">
      <formula>"Red"</formula>
    </cfRule>
    <cfRule type="cellIs" priority="15" operator="equal" aboveAverage="0" equalAverage="0" bottom="0" percent="0" rank="0" text="" dxfId="13">
      <formula>"Amber"</formula>
    </cfRule>
    <cfRule type="cellIs" priority="16" operator="equal" aboveAverage="0" equalAverage="0" bottom="0" percent="0" rank="0" text="" dxfId="14">
      <formula>"Green"</formula>
    </cfRule>
    <cfRule type="cellIs" priority="17" operator="equal" aboveAverage="0" equalAverage="0" bottom="0" percent="0" rank="0" text="" dxfId="15">
      <formula>"N/A"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20" t="s">
        <v>45</v>
      </c>
      <c r="B1" s="20" t="s">
        <v>148</v>
      </c>
      <c r="C1" s="20" t="s">
        <v>2905</v>
      </c>
      <c r="D1" s="20" t="s">
        <v>2906</v>
      </c>
      <c r="E1" s="20" t="s">
        <v>2907</v>
      </c>
      <c r="F1" s="20" t="s">
        <v>2908</v>
      </c>
      <c r="G1" s="20" t="s">
        <v>2572</v>
      </c>
      <c r="H1" s="20" t="s">
        <v>125</v>
      </c>
      <c r="I1" s="20" t="s">
        <v>2909</v>
      </c>
      <c r="J1" s="20" t="s">
        <v>2910</v>
      </c>
    </row>
    <row r="2" customFormat="false" ht="15" hidden="false" customHeight="false" outlineLevel="0" collapsed="false">
      <c r="A2" s="18" t="s">
        <v>199</v>
      </c>
      <c r="B2" s="18" t="s">
        <v>2911</v>
      </c>
      <c r="C2" s="18" t="s">
        <v>2912</v>
      </c>
      <c r="D2" s="18" t="s">
        <v>2913</v>
      </c>
      <c r="E2" s="18" t="s">
        <v>2914</v>
      </c>
      <c r="F2" s="18" t="s">
        <v>2915</v>
      </c>
      <c r="G2" s="22" t="n">
        <v>45</v>
      </c>
      <c r="H2" s="13" t="n">
        <f aca="false">COUNTIFS(Projects!$C$2:$C$500,A2,Projects!$J$2:$J$500,"Active")</f>
        <v>1</v>
      </c>
      <c r="I2" s="14" t="n">
        <f aca="false">SUMIFS(Projects!$W$2:$W$500,Projects!$C$2:$C$500,A2)</f>
        <v>1135000</v>
      </c>
      <c r="J2" s="14" t="n">
        <f aca="false">SUMIFS(Invoices!$F$2:$F$2000,Invoices!$H$2:$H$2000,B2,Invoices!$K$2:$K$2000,"&lt;&gt;Paid")</f>
        <v>0</v>
      </c>
    </row>
    <row r="3" customFormat="false" ht="15" hidden="false" customHeight="false" outlineLevel="0" collapsed="false">
      <c r="A3" s="18" t="s">
        <v>209</v>
      </c>
      <c r="B3" s="18" t="s">
        <v>2916</v>
      </c>
      <c r="C3" s="18" t="s">
        <v>2917</v>
      </c>
      <c r="D3" s="18" t="s">
        <v>2913</v>
      </c>
      <c r="E3" s="18" t="s">
        <v>2914</v>
      </c>
      <c r="F3" s="18" t="s">
        <v>2918</v>
      </c>
      <c r="G3" s="22" t="n">
        <v>30</v>
      </c>
      <c r="H3" s="13" t="n">
        <f aca="false">COUNTIFS(Projects!$C$2:$C$500,A3,Projects!$J$2:$J$500,"Active")</f>
        <v>2</v>
      </c>
      <c r="I3" s="14" t="n">
        <f aca="false">SUMIFS(Projects!$W$2:$W$500,Projects!$C$2:$C$500,A3)</f>
        <v>2235000</v>
      </c>
      <c r="J3" s="14" t="n">
        <f aca="false">SUMIFS(Invoices!$F$2:$F$2000,Invoices!$H$2:$H$2000,B3,Invoices!$K$2:$K$2000,"&lt;&gt;Paid")</f>
        <v>0</v>
      </c>
    </row>
    <row r="4" customFormat="false" ht="15" hidden="false" customHeight="false" outlineLevel="0" collapsed="false">
      <c r="A4" s="18" t="s">
        <v>217</v>
      </c>
      <c r="B4" s="18" t="s">
        <v>2919</v>
      </c>
      <c r="C4" s="18" t="s">
        <v>2920</v>
      </c>
      <c r="D4" s="18" t="s">
        <v>2913</v>
      </c>
      <c r="E4" s="18" t="s">
        <v>2914</v>
      </c>
      <c r="F4" s="18" t="s">
        <v>2915</v>
      </c>
      <c r="G4" s="22" t="n">
        <v>30</v>
      </c>
      <c r="H4" s="13" t="n">
        <f aca="false">COUNTIFS(Projects!$C$2:$C$500,A4,Projects!$J$2:$J$500,"Active")</f>
        <v>2</v>
      </c>
      <c r="I4" s="14" t="n">
        <f aca="false">SUMIFS(Projects!$W$2:$W$500,Projects!$C$2:$C$500,A4)</f>
        <v>2855000</v>
      </c>
      <c r="J4" s="14" t="n">
        <f aca="false">SUMIFS(Invoices!$F$2:$F$2000,Invoices!$H$2:$H$2000,B4,Invoices!$K$2:$K$2000,"&lt;&gt;Paid")</f>
        <v>186173.67</v>
      </c>
    </row>
    <row r="5" customFormat="false" ht="15" hidden="false" customHeight="false" outlineLevel="0" collapsed="false">
      <c r="A5" s="18" t="s">
        <v>224</v>
      </c>
      <c r="B5" s="18" t="s">
        <v>2921</v>
      </c>
      <c r="C5" s="18" t="s">
        <v>2922</v>
      </c>
      <c r="D5" s="18" t="s">
        <v>2923</v>
      </c>
      <c r="E5" s="18" t="s">
        <v>2924</v>
      </c>
      <c r="F5" s="18" t="s">
        <v>2925</v>
      </c>
      <c r="G5" s="22" t="n">
        <v>45</v>
      </c>
      <c r="H5" s="13" t="n">
        <f aca="false">COUNTIFS(Projects!$C$2:$C$500,A5,Projects!$J$2:$J$500,"Active")</f>
        <v>3</v>
      </c>
      <c r="I5" s="14" t="n">
        <f aca="false">SUMIFS(Projects!$W$2:$W$500,Projects!$C$2:$C$500,A5)</f>
        <v>3075000</v>
      </c>
      <c r="J5" s="14" t="n">
        <f aca="false">SUMIFS(Invoices!$F$2:$F$2000,Invoices!$H$2:$H$2000,B5,Invoices!$K$2:$K$2000,"&lt;&gt;Paid")</f>
        <v>404879.8</v>
      </c>
    </row>
    <row r="6" customFormat="false" ht="15" hidden="false" customHeight="false" outlineLevel="0" collapsed="false">
      <c r="A6" s="18" t="s">
        <v>230</v>
      </c>
      <c r="B6" s="18" t="s">
        <v>2926</v>
      </c>
      <c r="C6" s="18" t="s">
        <v>2927</v>
      </c>
      <c r="D6" s="18" t="s">
        <v>2913</v>
      </c>
      <c r="E6" s="18" t="s">
        <v>2924</v>
      </c>
      <c r="F6" s="18" t="s">
        <v>2918</v>
      </c>
      <c r="G6" s="22" t="n">
        <v>30</v>
      </c>
      <c r="H6" s="13" t="n">
        <f aca="false">COUNTIFS(Projects!$C$2:$C$500,A6,Projects!$J$2:$J$500,"Active")</f>
        <v>1</v>
      </c>
      <c r="I6" s="14" t="n">
        <f aca="false">SUMIFS(Projects!$W$2:$W$500,Projects!$C$2:$C$500,A6)</f>
        <v>1375000</v>
      </c>
      <c r="J6" s="14" t="n">
        <f aca="false">SUMIFS(Invoices!$F$2:$F$2000,Invoices!$H$2:$H$2000,B6,Invoices!$K$2:$K$2000,"&lt;&gt;Paid")</f>
        <v>0</v>
      </c>
    </row>
    <row r="7" customFormat="false" ht="15" hidden="false" customHeight="false" outlineLevel="0" collapsed="false">
      <c r="A7" s="18" t="s">
        <v>235</v>
      </c>
      <c r="B7" s="18" t="s">
        <v>2928</v>
      </c>
      <c r="C7" s="18" t="s">
        <v>2929</v>
      </c>
      <c r="D7" s="18" t="s">
        <v>2930</v>
      </c>
      <c r="E7" s="18" t="s">
        <v>2924</v>
      </c>
      <c r="F7" s="18" t="s">
        <v>2931</v>
      </c>
      <c r="G7" s="22" t="n">
        <v>60</v>
      </c>
      <c r="H7" s="13" t="n">
        <f aca="false">COUNTIFS(Projects!$C$2:$C$500,A7,Projects!$J$2:$J$500,"Active")</f>
        <v>2</v>
      </c>
      <c r="I7" s="14" t="n">
        <f aca="false">SUMIFS(Projects!$W$2:$W$500,Projects!$C$2:$C$500,A7)</f>
        <v>1445000</v>
      </c>
      <c r="J7" s="14" t="n">
        <f aca="false">SUMIFS(Invoices!$F$2:$F$2000,Invoices!$H$2:$H$2000,B7,Invoices!$K$2:$K$2000,"&lt;&gt;Paid")</f>
        <v>702500</v>
      </c>
    </row>
    <row r="8" customFormat="false" ht="15" hidden="false" customHeight="false" outlineLevel="0" collapsed="false">
      <c r="A8" s="18" t="s">
        <v>241</v>
      </c>
      <c r="B8" s="18" t="s">
        <v>2932</v>
      </c>
      <c r="C8" s="18" t="s">
        <v>2933</v>
      </c>
      <c r="D8" s="18" t="s">
        <v>2913</v>
      </c>
      <c r="E8" s="18" t="s">
        <v>2934</v>
      </c>
      <c r="F8" s="18" t="s">
        <v>2925</v>
      </c>
      <c r="G8" s="22" t="n">
        <v>60</v>
      </c>
      <c r="H8" s="13" t="n">
        <f aca="false">COUNTIFS(Projects!$C$2:$C$500,A8,Projects!$J$2:$J$500,"Active")</f>
        <v>1</v>
      </c>
      <c r="I8" s="14" t="n">
        <f aca="false">SUMIFS(Projects!$W$2:$W$500,Projects!$C$2:$C$500,A8)</f>
        <v>2015000</v>
      </c>
      <c r="J8" s="14" t="n">
        <f aca="false">SUMIFS(Invoices!$F$2:$F$2000,Invoices!$H$2:$H$2000,B8,Invoices!$K$2:$K$2000,"&lt;&gt;Paid")</f>
        <v>194000</v>
      </c>
    </row>
    <row r="9" customFormat="false" ht="15" hidden="false" customHeight="false" outlineLevel="0" collapsed="false">
      <c r="A9" s="18" t="s">
        <v>246</v>
      </c>
      <c r="B9" s="18" t="s">
        <v>2935</v>
      </c>
      <c r="C9" s="18" t="s">
        <v>2936</v>
      </c>
      <c r="D9" s="18" t="s">
        <v>2937</v>
      </c>
      <c r="E9" s="18" t="s">
        <v>2924</v>
      </c>
      <c r="F9" s="18" t="s">
        <v>2931</v>
      </c>
      <c r="G9" s="22" t="n">
        <v>45</v>
      </c>
      <c r="H9" s="13" t="n">
        <f aca="false">COUNTIFS(Projects!$C$2:$C$500,A9,Projects!$J$2:$J$500,"Active")</f>
        <v>1</v>
      </c>
      <c r="I9" s="14" t="n">
        <f aca="false">SUMIFS(Projects!$W$2:$W$500,Projects!$C$2:$C$500,A9)</f>
        <v>1385000</v>
      </c>
      <c r="J9" s="14" t="n">
        <f aca="false">SUMIFS(Invoices!$F$2:$F$2000,Invoices!$H$2:$H$2000,B9,Invoices!$K$2:$K$2000,"&lt;&gt;Paid")</f>
        <v>76883.12</v>
      </c>
    </row>
    <row r="10" customFormat="false" ht="15" hidden="false" customHeight="false" outlineLevel="0" collapsed="false">
      <c r="A10" s="18" t="s">
        <v>251</v>
      </c>
      <c r="B10" s="18" t="s">
        <v>2938</v>
      </c>
      <c r="C10" s="18" t="s">
        <v>2939</v>
      </c>
      <c r="D10" s="18" t="s">
        <v>2913</v>
      </c>
      <c r="E10" s="18" t="s">
        <v>2934</v>
      </c>
      <c r="F10" s="18" t="s">
        <v>2925</v>
      </c>
      <c r="G10" s="22" t="n">
        <v>45</v>
      </c>
      <c r="H10" s="13" t="n">
        <f aca="false">COUNTIFS(Projects!$C$2:$C$500,A10,Projects!$J$2:$J$500,"Active")</f>
        <v>1</v>
      </c>
      <c r="I10" s="14" t="n">
        <f aca="false">SUMIFS(Projects!$W$2:$W$500,Projects!$C$2:$C$500,A10)</f>
        <v>1125000</v>
      </c>
      <c r="J10" s="14" t="n">
        <f aca="false">SUMIFS(Invoices!$F$2:$F$2000,Invoices!$H$2:$H$2000,B10,Invoices!$K$2:$K$2000,"&lt;&gt;Paid")</f>
        <v>0</v>
      </c>
    </row>
    <row r="11" customFormat="false" ht="15" hidden="false" customHeight="false" outlineLevel="0" collapsed="false">
      <c r="A11" s="18" t="s">
        <v>255</v>
      </c>
      <c r="B11" s="18" t="s">
        <v>2940</v>
      </c>
      <c r="C11" s="18" t="s">
        <v>2941</v>
      </c>
      <c r="D11" s="18" t="s">
        <v>2913</v>
      </c>
      <c r="E11" s="18" t="s">
        <v>2934</v>
      </c>
      <c r="F11" s="18" t="s">
        <v>2915</v>
      </c>
      <c r="G11" s="22" t="n">
        <v>60</v>
      </c>
      <c r="H11" s="13" t="n">
        <f aca="false">COUNTIFS(Projects!$C$2:$C$500,A11,Projects!$J$2:$J$500,"Active")</f>
        <v>1</v>
      </c>
      <c r="I11" s="14" t="n">
        <f aca="false">SUMIFS(Projects!$W$2:$W$500,Projects!$C$2:$C$500,A11)</f>
        <v>1855000</v>
      </c>
      <c r="J11" s="14" t="n">
        <f aca="false">SUMIFS(Invoices!$F$2:$F$2000,Invoices!$H$2:$H$2000,B11,Invoices!$K$2:$K$2000,"&lt;&gt;Paid")</f>
        <v>220500</v>
      </c>
    </row>
    <row r="12" customFormat="false" ht="15" hidden="false" customHeight="false" outlineLevel="0" collapsed="false">
      <c r="A12" s="18" t="s">
        <v>259</v>
      </c>
      <c r="B12" s="18" t="s">
        <v>2942</v>
      </c>
      <c r="C12" s="18" t="s">
        <v>2943</v>
      </c>
      <c r="D12" s="18" t="s">
        <v>2930</v>
      </c>
      <c r="E12" s="18" t="s">
        <v>2914</v>
      </c>
      <c r="F12" s="18" t="s">
        <v>2918</v>
      </c>
      <c r="G12" s="22" t="n">
        <v>45</v>
      </c>
      <c r="H12" s="13" t="n">
        <f aca="false">COUNTIFS(Projects!$C$2:$C$500,A12,Projects!$J$2:$J$500,"Active")</f>
        <v>1</v>
      </c>
      <c r="I12" s="14" t="n">
        <f aca="false">SUMIFS(Projects!$W$2:$W$500,Projects!$C$2:$C$500,A12)</f>
        <v>1570000</v>
      </c>
      <c r="J12" s="14" t="n">
        <f aca="false">SUMIFS(Invoices!$F$2:$F$2000,Invoices!$H$2:$H$2000,B12,Invoices!$K$2:$K$2000,"&lt;&gt;Paid")</f>
        <v>152372.33</v>
      </c>
    </row>
    <row r="13" customFormat="false" ht="15" hidden="false" customHeight="false" outlineLevel="0" collapsed="false">
      <c r="A13" s="18" t="s">
        <v>263</v>
      </c>
      <c r="B13" s="18" t="s">
        <v>2944</v>
      </c>
      <c r="C13" s="18" t="s">
        <v>2945</v>
      </c>
      <c r="D13" s="18" t="s">
        <v>2913</v>
      </c>
      <c r="E13" s="18" t="s">
        <v>2924</v>
      </c>
      <c r="F13" s="18" t="s">
        <v>2931</v>
      </c>
      <c r="G13" s="22" t="n">
        <v>30</v>
      </c>
      <c r="H13" s="13" t="n">
        <f aca="false">COUNTIFS(Projects!$C$2:$C$500,A13,Projects!$J$2:$J$500,"Active")</f>
        <v>1</v>
      </c>
      <c r="I13" s="14" t="n">
        <f aca="false">SUMIFS(Projects!$W$2:$W$500,Projects!$C$2:$C$500,A13)</f>
        <v>1135000</v>
      </c>
      <c r="J13" s="14" t="n">
        <f aca="false">SUMIFS(Invoices!$F$2:$F$2000,Invoices!$H$2:$H$2000,B13,Invoices!$K$2:$K$2000,"&lt;&gt;Paid")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78"/>
  </cols>
  <sheetData>
    <row r="1" customFormat="false" ht="15" hidden="false" customHeight="false" outlineLevel="0" collapsed="false">
      <c r="A1" s="7" t="s">
        <v>2946</v>
      </c>
      <c r="B1" s="7" t="s">
        <v>78</v>
      </c>
      <c r="C1" s="7" t="s">
        <v>2947</v>
      </c>
      <c r="D1" s="7" t="s">
        <v>2570</v>
      </c>
    </row>
    <row r="2" customFormat="false" ht="15" hidden="false" customHeight="false" outlineLevel="0" collapsed="false">
      <c r="A2" s="12" t="s">
        <v>69</v>
      </c>
      <c r="B2" s="34" t="n">
        <v>46276</v>
      </c>
      <c r="C2" s="12" t="s">
        <v>2948</v>
      </c>
      <c r="D2" s="12" t="s">
        <v>2949</v>
      </c>
    </row>
    <row r="3" customFormat="false" ht="15" hidden="false" customHeight="false" outlineLevel="0" collapsed="false">
      <c r="A3" s="12" t="s">
        <v>2950</v>
      </c>
      <c r="B3" s="34" t="n">
        <v>46265</v>
      </c>
      <c r="C3" s="12" t="s">
        <v>2948</v>
      </c>
      <c r="D3" s="12" t="s">
        <v>2951</v>
      </c>
    </row>
    <row r="4" customFormat="false" ht="15" hidden="false" customHeight="false" outlineLevel="0" collapsed="false">
      <c r="A4" s="12" t="s">
        <v>2952</v>
      </c>
      <c r="B4" s="35" t="n">
        <v>0.1</v>
      </c>
      <c r="C4" s="12" t="s">
        <v>2953</v>
      </c>
      <c r="D4" s="12" t="s">
        <v>2954</v>
      </c>
    </row>
    <row r="5" customFormat="false" ht="15" hidden="false" customHeight="false" outlineLevel="0" collapsed="false">
      <c r="A5" s="12" t="s">
        <v>2955</v>
      </c>
      <c r="B5" s="35" t="n">
        <v>0.2</v>
      </c>
      <c r="C5" s="12" t="s">
        <v>2953</v>
      </c>
      <c r="D5" s="12" t="s">
        <v>2956</v>
      </c>
    </row>
    <row r="6" customFormat="false" ht="15" hidden="false" customHeight="false" outlineLevel="0" collapsed="false">
      <c r="A6" s="12" t="s">
        <v>2957</v>
      </c>
      <c r="B6" s="36" t="n">
        <v>14</v>
      </c>
      <c r="C6" s="12" t="s">
        <v>2958</v>
      </c>
      <c r="D6" s="12" t="s">
        <v>2959</v>
      </c>
    </row>
    <row r="7" customFormat="false" ht="15" hidden="false" customHeight="false" outlineLevel="0" collapsed="false">
      <c r="A7" s="12" t="s">
        <v>2960</v>
      </c>
      <c r="B7" s="36" t="n">
        <v>45</v>
      </c>
      <c r="C7" s="12" t="s">
        <v>2958</v>
      </c>
      <c r="D7" s="12" t="s">
        <v>2961</v>
      </c>
    </row>
    <row r="8" customFormat="false" ht="15" hidden="false" customHeight="false" outlineLevel="0" collapsed="false">
      <c r="A8" s="12" t="s">
        <v>2962</v>
      </c>
      <c r="B8" s="35" t="n">
        <v>0.15</v>
      </c>
      <c r="C8" s="12" t="s">
        <v>2963</v>
      </c>
      <c r="D8" s="12" t="s">
        <v>2964</v>
      </c>
    </row>
    <row r="9" customFormat="false" ht="15" hidden="false" customHeight="false" outlineLevel="0" collapsed="false">
      <c r="A9" s="12" t="s">
        <v>2965</v>
      </c>
      <c r="B9" s="35" t="n">
        <v>0.05</v>
      </c>
      <c r="C9" s="12" t="s">
        <v>2953</v>
      </c>
      <c r="D9" s="12" t="s">
        <v>2966</v>
      </c>
    </row>
    <row r="10" customFormat="false" ht="15" hidden="false" customHeight="false" outlineLevel="0" collapsed="false">
      <c r="A10" s="12" t="s">
        <v>2967</v>
      </c>
      <c r="B10" s="35" t="n">
        <v>1</v>
      </c>
      <c r="C10" s="12" t="s">
        <v>2963</v>
      </c>
      <c r="D10" s="12" t="s">
        <v>2968</v>
      </c>
    </row>
    <row r="11" customFormat="false" ht="15" hidden="false" customHeight="false" outlineLevel="0" collapsed="false">
      <c r="A11" s="12" t="s">
        <v>2969</v>
      </c>
      <c r="B11" s="35" t="n">
        <v>0.6</v>
      </c>
      <c r="C11" s="12" t="s">
        <v>2963</v>
      </c>
      <c r="D11" s="12" t="s">
        <v>2970</v>
      </c>
    </row>
    <row r="12" customFormat="false" ht="15" hidden="false" customHeight="false" outlineLevel="0" collapsed="false">
      <c r="A12" s="12" t="s">
        <v>2971</v>
      </c>
      <c r="B12" s="36" t="n">
        <v>15</v>
      </c>
      <c r="C12" s="12" t="s">
        <v>2972</v>
      </c>
      <c r="D12" s="12" t="s">
        <v>2973</v>
      </c>
    </row>
    <row r="13" customFormat="false" ht="15" hidden="false" customHeight="false" outlineLevel="0" collapsed="false">
      <c r="A13" s="12" t="s">
        <v>2974</v>
      </c>
      <c r="B13" s="36" t="n">
        <v>10</v>
      </c>
      <c r="C13" s="12" t="s">
        <v>2972</v>
      </c>
      <c r="D13" s="12" t="s">
        <v>2975</v>
      </c>
    </row>
    <row r="14" customFormat="false" ht="15" hidden="false" customHeight="false" outlineLevel="0" collapsed="false">
      <c r="A14" s="12" t="s">
        <v>2976</v>
      </c>
      <c r="B14" s="36" t="n">
        <v>5</v>
      </c>
      <c r="C14" s="12" t="s">
        <v>2972</v>
      </c>
      <c r="D14" s="12" t="s">
        <v>2977</v>
      </c>
    </row>
    <row r="15" customFormat="false" ht="15" hidden="false" customHeight="false" outlineLevel="0" collapsed="false">
      <c r="A15" s="12" t="s">
        <v>2978</v>
      </c>
      <c r="B15" s="36" t="n">
        <v>14</v>
      </c>
      <c r="C15" s="12" t="s">
        <v>2958</v>
      </c>
      <c r="D15" s="12" t="s">
        <v>2979</v>
      </c>
    </row>
    <row r="16" customFormat="false" ht="15" hidden="false" customHeight="false" outlineLevel="0" collapsed="false">
      <c r="A16" s="12" t="s">
        <v>2980</v>
      </c>
      <c r="B16" s="35" t="n">
        <v>0.9</v>
      </c>
      <c r="C16" s="12" t="s">
        <v>2963</v>
      </c>
      <c r="D16" s="12" t="s">
        <v>2981</v>
      </c>
    </row>
    <row r="17" customFormat="false" ht="15" hidden="false" customHeight="false" outlineLevel="0" collapsed="false">
      <c r="A17" s="12" t="s">
        <v>2982</v>
      </c>
      <c r="B17" s="35" t="n">
        <v>0.05</v>
      </c>
      <c r="C17" s="12" t="s">
        <v>2963</v>
      </c>
      <c r="D17" s="12" t="s">
        <v>2983</v>
      </c>
    </row>
    <row r="18" customFormat="false" ht="15" hidden="false" customHeight="false" outlineLevel="0" collapsed="false">
      <c r="A18" s="12" t="s">
        <v>2984</v>
      </c>
      <c r="B18" s="35" t="n">
        <v>0.1</v>
      </c>
      <c r="C18" s="12" t="s">
        <v>2963</v>
      </c>
      <c r="D18" s="12" t="s">
        <v>2985</v>
      </c>
    </row>
    <row r="19" customFormat="false" ht="15" hidden="false" customHeight="false" outlineLevel="0" collapsed="false">
      <c r="A19" s="12" t="s">
        <v>2986</v>
      </c>
      <c r="B19" s="35" t="n">
        <v>0.15</v>
      </c>
      <c r="C19" s="12" t="s">
        <v>2963</v>
      </c>
      <c r="D19" s="12" t="s">
        <v>2987</v>
      </c>
    </row>
    <row r="20" customFormat="false" ht="15" hidden="false" customHeight="false" outlineLevel="0" collapsed="false">
      <c r="A20" s="12" t="s">
        <v>2988</v>
      </c>
      <c r="B20" s="37" t="s">
        <v>2989</v>
      </c>
      <c r="C20" s="12" t="s">
        <v>2990</v>
      </c>
      <c r="D20" s="12" t="s">
        <v>2991</v>
      </c>
    </row>
    <row r="21" customFormat="false" ht="15" hidden="false" customHeight="false" outlineLevel="0" collapsed="false">
      <c r="A21" s="12" t="s">
        <v>2992</v>
      </c>
      <c r="B21" s="36" t="n">
        <v>10</v>
      </c>
      <c r="C21" s="12" t="s">
        <v>2993</v>
      </c>
      <c r="D21" s="12" t="s">
        <v>2994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7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7" t="s">
        <v>2995</v>
      </c>
      <c r="B1" s="7" t="s">
        <v>2996</v>
      </c>
      <c r="C1" s="7" t="s">
        <v>2997</v>
      </c>
      <c r="D1" s="7" t="s">
        <v>2998</v>
      </c>
      <c r="E1" s="7" t="s">
        <v>2999</v>
      </c>
      <c r="F1" s="7" t="s">
        <v>2570</v>
      </c>
    </row>
    <row r="2" customFormat="false" ht="15" hidden="false" customHeight="false" outlineLevel="0" collapsed="false">
      <c r="A2" s="12" t="s">
        <v>12</v>
      </c>
      <c r="B2" s="12" t="s">
        <v>3000</v>
      </c>
      <c r="C2" s="12" t="s">
        <v>41</v>
      </c>
      <c r="D2" s="12" t="s">
        <v>3001</v>
      </c>
      <c r="E2" s="12" t="s">
        <v>3002</v>
      </c>
      <c r="F2" s="5" t="s">
        <v>3003</v>
      </c>
    </row>
    <row r="3" customFormat="false" ht="15" hidden="false" customHeight="false" outlineLevel="0" collapsed="false">
      <c r="A3" s="12" t="s">
        <v>12</v>
      </c>
      <c r="B3" s="12" t="s">
        <v>3000</v>
      </c>
      <c r="C3" s="12" t="s">
        <v>147</v>
      </c>
      <c r="D3" s="12" t="s">
        <v>3001</v>
      </c>
      <c r="E3" s="12" t="s">
        <v>3002</v>
      </c>
      <c r="F3" s="5" t="s">
        <v>3004</v>
      </c>
    </row>
    <row r="4" customFormat="false" ht="15" hidden="false" customHeight="false" outlineLevel="0" collapsed="false">
      <c r="A4" s="12" t="s">
        <v>12</v>
      </c>
      <c r="B4" s="12" t="s">
        <v>3000</v>
      </c>
      <c r="C4" s="12" t="s">
        <v>45</v>
      </c>
      <c r="D4" s="12" t="s">
        <v>3001</v>
      </c>
      <c r="E4" s="12" t="s">
        <v>3002</v>
      </c>
      <c r="F4" s="5" t="s">
        <v>3005</v>
      </c>
    </row>
    <row r="5" customFormat="false" ht="15" hidden="false" customHeight="false" outlineLevel="0" collapsed="false">
      <c r="A5" s="12" t="s">
        <v>12</v>
      </c>
      <c r="B5" s="12" t="s">
        <v>3000</v>
      </c>
      <c r="C5" s="12" t="s">
        <v>148</v>
      </c>
      <c r="D5" s="12" t="s">
        <v>3006</v>
      </c>
      <c r="E5" s="12" t="s">
        <v>3002</v>
      </c>
      <c r="F5" s="5" t="s">
        <v>3007</v>
      </c>
    </row>
    <row r="6" customFormat="false" ht="15" hidden="false" customHeight="false" outlineLevel="0" collapsed="false">
      <c r="A6" s="12" t="s">
        <v>12</v>
      </c>
      <c r="B6" s="12" t="s">
        <v>3000</v>
      </c>
      <c r="C6" s="12" t="s">
        <v>124</v>
      </c>
      <c r="D6" s="12" t="s">
        <v>3001</v>
      </c>
      <c r="E6" s="12" t="s">
        <v>3002</v>
      </c>
      <c r="F6" s="5" t="s">
        <v>3008</v>
      </c>
    </row>
    <row r="7" customFormat="false" ht="15" hidden="false" customHeight="false" outlineLevel="0" collapsed="false">
      <c r="A7" s="12" t="s">
        <v>12</v>
      </c>
      <c r="B7" s="12" t="s">
        <v>3000</v>
      </c>
      <c r="C7" s="12" t="s">
        <v>149</v>
      </c>
      <c r="D7" s="12" t="s">
        <v>3001</v>
      </c>
      <c r="E7" s="12" t="s">
        <v>3002</v>
      </c>
      <c r="F7" s="5" t="s">
        <v>3009</v>
      </c>
    </row>
    <row r="8" customFormat="false" ht="15" hidden="false" customHeight="false" outlineLevel="0" collapsed="false">
      <c r="A8" s="12" t="s">
        <v>12</v>
      </c>
      <c r="B8" s="12" t="s">
        <v>3000</v>
      </c>
      <c r="C8" s="12" t="s">
        <v>150</v>
      </c>
      <c r="D8" s="12" t="s">
        <v>3001</v>
      </c>
      <c r="E8" s="12" t="s">
        <v>3002</v>
      </c>
      <c r="F8" s="5" t="s">
        <v>3010</v>
      </c>
    </row>
    <row r="9" customFormat="false" ht="15" hidden="false" customHeight="false" outlineLevel="0" collapsed="false">
      <c r="A9" s="12" t="s">
        <v>12</v>
      </c>
      <c r="B9" s="12" t="s">
        <v>3000</v>
      </c>
      <c r="C9" s="12" t="s">
        <v>151</v>
      </c>
      <c r="D9" s="12" t="s">
        <v>3006</v>
      </c>
      <c r="E9" s="12" t="s">
        <v>3002</v>
      </c>
      <c r="F9" s="5" t="s">
        <v>3011</v>
      </c>
    </row>
    <row r="10" customFormat="false" ht="15" hidden="false" customHeight="false" outlineLevel="0" collapsed="false">
      <c r="A10" s="12" t="s">
        <v>12</v>
      </c>
      <c r="B10" s="12" t="s">
        <v>3000</v>
      </c>
      <c r="C10" s="12" t="s">
        <v>152</v>
      </c>
      <c r="D10" s="12" t="s">
        <v>3001</v>
      </c>
      <c r="E10" s="12" t="s">
        <v>3002</v>
      </c>
      <c r="F10" s="5" t="s">
        <v>3012</v>
      </c>
    </row>
    <row r="11" customFormat="false" ht="15" hidden="false" customHeight="false" outlineLevel="0" collapsed="false">
      <c r="A11" s="12" t="s">
        <v>12</v>
      </c>
      <c r="B11" s="12" t="s">
        <v>3000</v>
      </c>
      <c r="C11" s="12" t="s">
        <v>153</v>
      </c>
      <c r="D11" s="12" t="s">
        <v>3001</v>
      </c>
      <c r="E11" s="12" t="s">
        <v>3002</v>
      </c>
      <c r="F11" s="5" t="s">
        <v>3013</v>
      </c>
    </row>
    <row r="12" customFormat="false" ht="15" hidden="false" customHeight="false" outlineLevel="0" collapsed="false">
      <c r="A12" s="12" t="s">
        <v>12</v>
      </c>
      <c r="B12" s="12" t="s">
        <v>3000</v>
      </c>
      <c r="C12" s="12" t="s">
        <v>154</v>
      </c>
      <c r="D12" s="12" t="s">
        <v>3001</v>
      </c>
      <c r="E12" s="12" t="s">
        <v>3002</v>
      </c>
      <c r="F12" s="5" t="s">
        <v>3014</v>
      </c>
    </row>
    <row r="13" customFormat="false" ht="15" hidden="false" customHeight="false" outlineLevel="0" collapsed="false">
      <c r="A13" s="12" t="s">
        <v>12</v>
      </c>
      <c r="B13" s="12" t="s">
        <v>3000</v>
      </c>
      <c r="C13" s="12" t="s">
        <v>155</v>
      </c>
      <c r="D13" s="12" t="s">
        <v>3001</v>
      </c>
      <c r="E13" s="12" t="s">
        <v>3002</v>
      </c>
      <c r="F13" s="5" t="s">
        <v>3015</v>
      </c>
    </row>
    <row r="14" customFormat="false" ht="15" hidden="false" customHeight="false" outlineLevel="0" collapsed="false">
      <c r="A14" s="12" t="s">
        <v>12</v>
      </c>
      <c r="B14" s="12" t="s">
        <v>3000</v>
      </c>
      <c r="C14" s="12" t="s">
        <v>156</v>
      </c>
      <c r="D14" s="12" t="s">
        <v>3001</v>
      </c>
      <c r="E14" s="12" t="s">
        <v>3002</v>
      </c>
      <c r="F14" s="5" t="s">
        <v>3016</v>
      </c>
    </row>
    <row r="15" customFormat="false" ht="15" hidden="false" customHeight="false" outlineLevel="0" collapsed="false">
      <c r="A15" s="12" t="s">
        <v>12</v>
      </c>
      <c r="B15" s="12" t="s">
        <v>3000</v>
      </c>
      <c r="C15" s="12" t="s">
        <v>157</v>
      </c>
      <c r="D15" s="12" t="s">
        <v>3001</v>
      </c>
      <c r="E15" s="12" t="s">
        <v>3017</v>
      </c>
      <c r="F15" s="5" t="s">
        <v>3018</v>
      </c>
    </row>
    <row r="16" customFormat="false" ht="15" hidden="false" customHeight="false" outlineLevel="0" collapsed="false">
      <c r="A16" s="12" t="s">
        <v>12</v>
      </c>
      <c r="B16" s="12" t="s">
        <v>3000</v>
      </c>
      <c r="C16" s="12" t="s">
        <v>158</v>
      </c>
      <c r="D16" s="12" t="s">
        <v>3001</v>
      </c>
      <c r="E16" s="12" t="s">
        <v>3019</v>
      </c>
      <c r="F16" s="5" t="s">
        <v>3020</v>
      </c>
    </row>
    <row r="17" customFormat="false" ht="15" hidden="false" customHeight="false" outlineLevel="0" collapsed="false">
      <c r="A17" s="12" t="s">
        <v>12</v>
      </c>
      <c r="B17" s="12" t="s">
        <v>3000</v>
      </c>
      <c r="C17" s="12" t="s">
        <v>159</v>
      </c>
      <c r="D17" s="12" t="s">
        <v>3001</v>
      </c>
      <c r="E17" s="12" t="s">
        <v>3019</v>
      </c>
      <c r="F17" s="5" t="s">
        <v>3021</v>
      </c>
    </row>
    <row r="18" customFormat="false" ht="15" hidden="false" customHeight="false" outlineLevel="0" collapsed="false">
      <c r="A18" s="12" t="s">
        <v>12</v>
      </c>
      <c r="B18" s="12" t="s">
        <v>3000</v>
      </c>
      <c r="C18" s="12" t="s">
        <v>160</v>
      </c>
      <c r="D18" s="12" t="s">
        <v>3001</v>
      </c>
      <c r="E18" s="12" t="s">
        <v>3019</v>
      </c>
      <c r="F18" s="5" t="s">
        <v>3022</v>
      </c>
    </row>
    <row r="19" customFormat="false" ht="15" hidden="false" customHeight="false" outlineLevel="0" collapsed="false">
      <c r="A19" s="12" t="s">
        <v>12</v>
      </c>
      <c r="B19" s="12" t="s">
        <v>3000</v>
      </c>
      <c r="C19" s="12" t="s">
        <v>161</v>
      </c>
      <c r="D19" s="12" t="s">
        <v>3001</v>
      </c>
      <c r="E19" s="12" t="s">
        <v>2988</v>
      </c>
      <c r="F19" s="5" t="s">
        <v>3023</v>
      </c>
    </row>
    <row r="20" customFormat="false" ht="15" hidden="false" customHeight="false" outlineLevel="0" collapsed="false">
      <c r="A20" s="12" t="s">
        <v>12</v>
      </c>
      <c r="B20" s="12" t="s">
        <v>3000</v>
      </c>
      <c r="C20" s="12" t="s">
        <v>162</v>
      </c>
      <c r="D20" s="12" t="s">
        <v>3001</v>
      </c>
      <c r="E20" s="12" t="s">
        <v>3024</v>
      </c>
      <c r="F20" s="5" t="s">
        <v>3025</v>
      </c>
    </row>
    <row r="21" customFormat="false" ht="15" hidden="false" customHeight="false" outlineLevel="0" collapsed="false">
      <c r="A21" s="12" t="s">
        <v>12</v>
      </c>
      <c r="B21" s="12" t="s">
        <v>3000</v>
      </c>
      <c r="C21" s="12" t="s">
        <v>163</v>
      </c>
      <c r="D21" s="12" t="s">
        <v>3001</v>
      </c>
      <c r="E21" s="12" t="s">
        <v>3024</v>
      </c>
      <c r="F21" s="5" t="s">
        <v>3026</v>
      </c>
    </row>
    <row r="22" customFormat="false" ht="15" hidden="false" customHeight="false" outlineLevel="0" collapsed="false">
      <c r="A22" s="12" t="s">
        <v>12</v>
      </c>
      <c r="B22" s="12" t="s">
        <v>3000</v>
      </c>
      <c r="C22" s="12" t="s">
        <v>164</v>
      </c>
      <c r="D22" s="12" t="s">
        <v>3001</v>
      </c>
      <c r="E22" s="12" t="s">
        <v>3019</v>
      </c>
      <c r="F22" s="5" t="s">
        <v>3027</v>
      </c>
    </row>
    <row r="23" customFormat="false" ht="15" hidden="false" customHeight="false" outlineLevel="0" collapsed="false">
      <c r="A23" s="12" t="s">
        <v>12</v>
      </c>
      <c r="B23" s="12" t="s">
        <v>3000</v>
      </c>
      <c r="C23" s="12" t="s">
        <v>165</v>
      </c>
      <c r="D23" s="12" t="s">
        <v>3028</v>
      </c>
      <c r="E23" s="12" t="s">
        <v>2988</v>
      </c>
      <c r="F23" s="5" t="s">
        <v>3029</v>
      </c>
    </row>
    <row r="24" customFormat="false" ht="15" hidden="false" customHeight="false" outlineLevel="0" collapsed="false">
      <c r="A24" s="12" t="s">
        <v>12</v>
      </c>
      <c r="B24" s="12" t="s">
        <v>3000</v>
      </c>
      <c r="C24" s="12" t="s">
        <v>166</v>
      </c>
      <c r="D24" s="12" t="s">
        <v>3028</v>
      </c>
      <c r="E24" s="12" t="s">
        <v>2988</v>
      </c>
      <c r="F24" s="5" t="s">
        <v>3030</v>
      </c>
    </row>
    <row r="25" customFormat="false" ht="15" hidden="false" customHeight="false" outlineLevel="0" collapsed="false">
      <c r="A25" s="12" t="s">
        <v>12</v>
      </c>
      <c r="B25" s="12" t="s">
        <v>3000</v>
      </c>
      <c r="C25" s="12" t="s">
        <v>167</v>
      </c>
      <c r="D25" s="12" t="s">
        <v>3028</v>
      </c>
      <c r="E25" s="12" t="s">
        <v>2988</v>
      </c>
      <c r="F25" s="5" t="s">
        <v>3031</v>
      </c>
    </row>
    <row r="26" customFormat="false" ht="15" hidden="false" customHeight="false" outlineLevel="0" collapsed="false">
      <c r="A26" s="12" t="s">
        <v>12</v>
      </c>
      <c r="B26" s="12" t="s">
        <v>3000</v>
      </c>
      <c r="C26" s="12" t="s">
        <v>168</v>
      </c>
      <c r="D26" s="12" t="s">
        <v>3028</v>
      </c>
      <c r="E26" s="12" t="s">
        <v>2988</v>
      </c>
      <c r="F26" s="5" t="s">
        <v>3032</v>
      </c>
    </row>
    <row r="27" customFormat="false" ht="15" hidden="false" customHeight="false" outlineLevel="0" collapsed="false">
      <c r="A27" s="12" t="s">
        <v>12</v>
      </c>
      <c r="B27" s="12" t="s">
        <v>3000</v>
      </c>
      <c r="C27" s="12" t="s">
        <v>169</v>
      </c>
      <c r="D27" s="12" t="s">
        <v>3028</v>
      </c>
      <c r="E27" s="12" t="s">
        <v>2988</v>
      </c>
      <c r="F27" s="5" t="s">
        <v>3033</v>
      </c>
    </row>
    <row r="28" customFormat="false" ht="15" hidden="false" customHeight="false" outlineLevel="0" collapsed="false">
      <c r="A28" s="12" t="s">
        <v>12</v>
      </c>
      <c r="B28" s="12" t="s">
        <v>3000</v>
      </c>
      <c r="C28" s="12" t="s">
        <v>170</v>
      </c>
      <c r="D28" s="12" t="s">
        <v>3028</v>
      </c>
      <c r="E28" s="12" t="s">
        <v>3034</v>
      </c>
      <c r="F28" s="5" t="s">
        <v>3035</v>
      </c>
    </row>
    <row r="29" customFormat="false" ht="15" hidden="false" customHeight="false" outlineLevel="0" collapsed="false">
      <c r="A29" s="12" t="s">
        <v>12</v>
      </c>
      <c r="B29" s="12" t="s">
        <v>3000</v>
      </c>
      <c r="C29" s="12" t="s">
        <v>128</v>
      </c>
      <c r="D29" s="12" t="s">
        <v>3028</v>
      </c>
      <c r="E29" s="12" t="s">
        <v>2988</v>
      </c>
      <c r="F29" s="5" t="s">
        <v>3036</v>
      </c>
    </row>
    <row r="30" customFormat="false" ht="15" hidden="false" customHeight="false" outlineLevel="0" collapsed="false">
      <c r="A30" s="12" t="s">
        <v>12</v>
      </c>
      <c r="B30" s="12" t="s">
        <v>3000</v>
      </c>
      <c r="C30" s="12" t="s">
        <v>171</v>
      </c>
      <c r="D30" s="12" t="s">
        <v>3028</v>
      </c>
      <c r="E30" s="12" t="s">
        <v>3024</v>
      </c>
      <c r="F30" s="5" t="s">
        <v>3037</v>
      </c>
    </row>
    <row r="31" customFormat="false" ht="15" hidden="false" customHeight="false" outlineLevel="0" collapsed="false">
      <c r="A31" s="12" t="s">
        <v>12</v>
      </c>
      <c r="B31" s="12" t="s">
        <v>3000</v>
      </c>
      <c r="C31" s="12" t="s">
        <v>172</v>
      </c>
      <c r="D31" s="12" t="s">
        <v>3028</v>
      </c>
      <c r="E31" s="12" t="s">
        <v>2988</v>
      </c>
      <c r="F31" s="5" t="s">
        <v>3038</v>
      </c>
    </row>
    <row r="32" customFormat="false" ht="15" hidden="false" customHeight="false" outlineLevel="0" collapsed="false">
      <c r="A32" s="12" t="s">
        <v>12</v>
      </c>
      <c r="B32" s="12" t="s">
        <v>3000</v>
      </c>
      <c r="C32" s="12" t="s">
        <v>173</v>
      </c>
      <c r="D32" s="12" t="s">
        <v>3028</v>
      </c>
      <c r="E32" s="12" t="s">
        <v>2988</v>
      </c>
      <c r="F32" s="5" t="s">
        <v>3039</v>
      </c>
    </row>
    <row r="33" customFormat="false" ht="15" hidden="false" customHeight="false" outlineLevel="0" collapsed="false">
      <c r="A33" s="12" t="s">
        <v>12</v>
      </c>
      <c r="B33" s="12" t="s">
        <v>3000</v>
      </c>
      <c r="C33" s="12" t="s">
        <v>174</v>
      </c>
      <c r="D33" s="12" t="s">
        <v>3028</v>
      </c>
      <c r="E33" s="12" t="s">
        <v>3040</v>
      </c>
      <c r="F33" s="5" t="s">
        <v>3041</v>
      </c>
    </row>
    <row r="34" customFormat="false" ht="15" hidden="false" customHeight="false" outlineLevel="0" collapsed="false">
      <c r="A34" s="12" t="s">
        <v>12</v>
      </c>
      <c r="B34" s="12" t="s">
        <v>3000</v>
      </c>
      <c r="C34" s="12" t="s">
        <v>175</v>
      </c>
      <c r="D34" s="12" t="s">
        <v>3028</v>
      </c>
      <c r="E34" s="12" t="s">
        <v>3040</v>
      </c>
      <c r="F34" s="5" t="s">
        <v>3042</v>
      </c>
    </row>
    <row r="35" customFormat="false" ht="15" hidden="false" customHeight="false" outlineLevel="0" collapsed="false">
      <c r="A35" s="12" t="s">
        <v>12</v>
      </c>
      <c r="B35" s="12" t="s">
        <v>3000</v>
      </c>
      <c r="C35" s="12" t="s">
        <v>129</v>
      </c>
      <c r="D35" s="12" t="s">
        <v>3028</v>
      </c>
      <c r="E35" s="12" t="s">
        <v>2988</v>
      </c>
      <c r="F35" s="5" t="s">
        <v>3043</v>
      </c>
    </row>
    <row r="36" customFormat="false" ht="15" hidden="false" customHeight="false" outlineLevel="0" collapsed="false">
      <c r="A36" s="12" t="s">
        <v>12</v>
      </c>
      <c r="B36" s="12" t="s">
        <v>3000</v>
      </c>
      <c r="C36" s="12" t="s">
        <v>176</v>
      </c>
      <c r="D36" s="12" t="s">
        <v>3028</v>
      </c>
      <c r="E36" s="12" t="s">
        <v>2988</v>
      </c>
      <c r="F36" s="5" t="s">
        <v>3044</v>
      </c>
    </row>
    <row r="37" customFormat="false" ht="15" hidden="false" customHeight="false" outlineLevel="0" collapsed="false">
      <c r="A37" s="12" t="s">
        <v>12</v>
      </c>
      <c r="B37" s="12" t="s">
        <v>3000</v>
      </c>
      <c r="C37" s="12" t="s">
        <v>177</v>
      </c>
      <c r="D37" s="12" t="s">
        <v>3028</v>
      </c>
      <c r="E37" s="12" t="s">
        <v>2988</v>
      </c>
      <c r="F37" s="5" t="s">
        <v>3045</v>
      </c>
    </row>
    <row r="38" customFormat="false" ht="15" hidden="false" customHeight="false" outlineLevel="0" collapsed="false">
      <c r="A38" s="12" t="s">
        <v>12</v>
      </c>
      <c r="B38" s="12" t="s">
        <v>3000</v>
      </c>
      <c r="C38" s="12" t="s">
        <v>178</v>
      </c>
      <c r="D38" s="12" t="s">
        <v>3028</v>
      </c>
      <c r="E38" s="12" t="s">
        <v>3024</v>
      </c>
      <c r="F38" s="5" t="s">
        <v>3046</v>
      </c>
    </row>
    <row r="39" customFormat="false" ht="15" hidden="false" customHeight="false" outlineLevel="0" collapsed="false">
      <c r="A39" s="12" t="s">
        <v>12</v>
      </c>
      <c r="B39" s="12" t="s">
        <v>3000</v>
      </c>
      <c r="C39" s="12" t="s">
        <v>179</v>
      </c>
      <c r="D39" s="12" t="s">
        <v>3028</v>
      </c>
      <c r="E39" s="12" t="s">
        <v>2988</v>
      </c>
      <c r="F39" s="5" t="s">
        <v>3047</v>
      </c>
    </row>
    <row r="40" customFormat="false" ht="15" hidden="false" customHeight="false" outlineLevel="0" collapsed="false">
      <c r="A40" s="12" t="s">
        <v>12</v>
      </c>
      <c r="B40" s="12" t="s">
        <v>3000</v>
      </c>
      <c r="C40" s="12" t="s">
        <v>130</v>
      </c>
      <c r="D40" s="12" t="s">
        <v>3028</v>
      </c>
      <c r="E40" s="12" t="s">
        <v>3024</v>
      </c>
      <c r="F40" s="5" t="s">
        <v>3048</v>
      </c>
    </row>
    <row r="41" customFormat="false" ht="15" hidden="false" customHeight="false" outlineLevel="0" collapsed="false">
      <c r="A41" s="12" t="s">
        <v>12</v>
      </c>
      <c r="B41" s="12" t="s">
        <v>3000</v>
      </c>
      <c r="C41" s="12" t="s">
        <v>180</v>
      </c>
      <c r="D41" s="12" t="s">
        <v>3028</v>
      </c>
      <c r="E41" s="12" t="s">
        <v>3024</v>
      </c>
      <c r="F41" s="5" t="s">
        <v>3049</v>
      </c>
    </row>
    <row r="42" customFormat="false" ht="15" hidden="false" customHeight="false" outlineLevel="0" collapsed="false">
      <c r="A42" s="12" t="s">
        <v>12</v>
      </c>
      <c r="B42" s="12" t="s">
        <v>3000</v>
      </c>
      <c r="C42" s="12" t="s">
        <v>181</v>
      </c>
      <c r="D42" s="12" t="s">
        <v>3028</v>
      </c>
      <c r="E42" s="12" t="s">
        <v>3050</v>
      </c>
      <c r="F42" s="5" t="s">
        <v>3051</v>
      </c>
    </row>
    <row r="43" customFormat="false" ht="15" hidden="false" customHeight="false" outlineLevel="0" collapsed="false">
      <c r="A43" s="12" t="s">
        <v>12</v>
      </c>
      <c r="B43" s="12" t="s">
        <v>3000</v>
      </c>
      <c r="C43" s="12" t="s">
        <v>182</v>
      </c>
      <c r="D43" s="12" t="s">
        <v>3028</v>
      </c>
      <c r="E43" s="12" t="s">
        <v>3050</v>
      </c>
      <c r="F43" s="5" t="s">
        <v>3052</v>
      </c>
    </row>
    <row r="44" customFormat="false" ht="15" hidden="false" customHeight="false" outlineLevel="0" collapsed="false">
      <c r="A44" s="12" t="s">
        <v>12</v>
      </c>
      <c r="B44" s="12" t="s">
        <v>3000</v>
      </c>
      <c r="C44" s="12" t="s">
        <v>183</v>
      </c>
      <c r="D44" s="12" t="s">
        <v>3028</v>
      </c>
      <c r="E44" s="12" t="s">
        <v>2988</v>
      </c>
      <c r="F44" s="5" t="s">
        <v>3053</v>
      </c>
    </row>
    <row r="45" customFormat="false" ht="15" hidden="false" customHeight="false" outlineLevel="0" collapsed="false">
      <c r="A45" s="12" t="s">
        <v>12</v>
      </c>
      <c r="B45" s="12" t="s">
        <v>3000</v>
      </c>
      <c r="C45" s="12" t="s">
        <v>184</v>
      </c>
      <c r="D45" s="12" t="s">
        <v>3028</v>
      </c>
      <c r="E45" s="12" t="s">
        <v>2988</v>
      </c>
      <c r="F45" s="5" t="s">
        <v>3054</v>
      </c>
    </row>
    <row r="46" customFormat="false" ht="15" hidden="false" customHeight="false" outlineLevel="0" collapsed="false">
      <c r="A46" s="12" t="s">
        <v>12</v>
      </c>
      <c r="B46" s="12" t="s">
        <v>3000</v>
      </c>
      <c r="C46" s="12" t="s">
        <v>185</v>
      </c>
      <c r="D46" s="12" t="s">
        <v>3028</v>
      </c>
      <c r="E46" s="12" t="s">
        <v>2988</v>
      </c>
      <c r="F46" s="5" t="s">
        <v>3055</v>
      </c>
    </row>
    <row r="47" customFormat="false" ht="15" hidden="false" customHeight="false" outlineLevel="0" collapsed="false">
      <c r="A47" s="12" t="s">
        <v>12</v>
      </c>
      <c r="B47" s="12" t="s">
        <v>3000</v>
      </c>
      <c r="C47" s="12" t="s">
        <v>186</v>
      </c>
      <c r="D47" s="12" t="s">
        <v>3028</v>
      </c>
      <c r="E47" s="12" t="s">
        <v>3017</v>
      </c>
      <c r="F47" s="5" t="s">
        <v>3056</v>
      </c>
    </row>
    <row r="48" customFormat="false" ht="15" hidden="false" customHeight="false" outlineLevel="0" collapsed="false">
      <c r="A48" s="12" t="s">
        <v>12</v>
      </c>
      <c r="B48" s="12" t="s">
        <v>3000</v>
      </c>
      <c r="C48" s="12" t="s">
        <v>187</v>
      </c>
      <c r="D48" s="12" t="s">
        <v>3028</v>
      </c>
      <c r="E48" s="12" t="s">
        <v>3017</v>
      </c>
      <c r="F48" s="5" t="s">
        <v>3057</v>
      </c>
    </row>
    <row r="49" customFormat="false" ht="15" hidden="false" customHeight="false" outlineLevel="0" collapsed="false">
      <c r="A49" s="12" t="s">
        <v>12</v>
      </c>
      <c r="B49" s="12" t="s">
        <v>3000</v>
      </c>
      <c r="C49" s="12" t="s">
        <v>188</v>
      </c>
      <c r="D49" s="12" t="s">
        <v>3028</v>
      </c>
      <c r="E49" s="12" t="s">
        <v>2988</v>
      </c>
      <c r="F49" s="5" t="s">
        <v>3058</v>
      </c>
    </row>
    <row r="50" customFormat="false" ht="15" hidden="false" customHeight="false" outlineLevel="0" collapsed="false">
      <c r="A50" s="12" t="s">
        <v>12</v>
      </c>
      <c r="B50" s="12" t="s">
        <v>3000</v>
      </c>
      <c r="C50" s="12" t="s">
        <v>189</v>
      </c>
      <c r="D50" s="12" t="s">
        <v>3028</v>
      </c>
      <c r="E50" s="12" t="s">
        <v>3017</v>
      </c>
      <c r="F50" s="5" t="s">
        <v>3059</v>
      </c>
    </row>
    <row r="51" customFormat="false" ht="15" hidden="false" customHeight="false" outlineLevel="0" collapsed="false">
      <c r="A51" s="12" t="s">
        <v>12</v>
      </c>
      <c r="B51" s="12" t="s">
        <v>3000</v>
      </c>
      <c r="C51" s="12" t="s">
        <v>190</v>
      </c>
      <c r="D51" s="12" t="s">
        <v>3028</v>
      </c>
      <c r="E51" s="12" t="s">
        <v>3017</v>
      </c>
      <c r="F51" s="5" t="s">
        <v>3060</v>
      </c>
    </row>
    <row r="52" customFormat="false" ht="15" hidden="false" customHeight="false" outlineLevel="0" collapsed="false">
      <c r="A52" s="12" t="s">
        <v>12</v>
      </c>
      <c r="B52" s="12" t="s">
        <v>3000</v>
      </c>
      <c r="C52" s="12" t="s">
        <v>191</v>
      </c>
      <c r="D52" s="12" t="s">
        <v>3028</v>
      </c>
      <c r="E52" s="12" t="s">
        <v>3019</v>
      </c>
      <c r="F52" s="5" t="s">
        <v>3061</v>
      </c>
    </row>
    <row r="53" customFormat="false" ht="15" hidden="false" customHeight="false" outlineLevel="0" collapsed="false">
      <c r="A53" s="12" t="s">
        <v>12</v>
      </c>
      <c r="B53" s="12" t="s">
        <v>3000</v>
      </c>
      <c r="C53" s="12" t="s">
        <v>192</v>
      </c>
      <c r="D53" s="12" t="s">
        <v>3028</v>
      </c>
      <c r="E53" s="12" t="s">
        <v>3002</v>
      </c>
      <c r="F53" s="5" t="s">
        <v>3062</v>
      </c>
    </row>
    <row r="54" customFormat="false" ht="15" hidden="false" customHeight="false" outlineLevel="0" collapsed="false">
      <c r="A54" s="12" t="s">
        <v>12</v>
      </c>
      <c r="B54" s="12" t="s">
        <v>3000</v>
      </c>
      <c r="C54" s="12" t="s">
        <v>193</v>
      </c>
      <c r="D54" s="12" t="s">
        <v>3028</v>
      </c>
      <c r="E54" s="12" t="s">
        <v>3002</v>
      </c>
      <c r="F54" s="5" t="s">
        <v>3063</v>
      </c>
    </row>
    <row r="55" customFormat="false" ht="15" hidden="false" customHeight="false" outlineLevel="0" collapsed="false">
      <c r="A55" s="12" t="s">
        <v>12</v>
      </c>
      <c r="B55" s="12" t="s">
        <v>3000</v>
      </c>
      <c r="C55" s="12" t="s">
        <v>194</v>
      </c>
      <c r="D55" s="12" t="s">
        <v>3028</v>
      </c>
      <c r="E55" s="12" t="s">
        <v>3002</v>
      </c>
      <c r="F55" s="5" t="s">
        <v>3064</v>
      </c>
    </row>
    <row r="56" customFormat="false" ht="15" hidden="false" customHeight="false" outlineLevel="0" collapsed="false">
      <c r="A56" s="12" t="s">
        <v>12</v>
      </c>
      <c r="B56" s="12" t="s">
        <v>3000</v>
      </c>
      <c r="C56" s="12" t="s">
        <v>195</v>
      </c>
      <c r="D56" s="12" t="s">
        <v>3028</v>
      </c>
      <c r="E56" s="12" t="s">
        <v>3002</v>
      </c>
      <c r="F56" s="5" t="s">
        <v>3065</v>
      </c>
    </row>
    <row r="57" customFormat="false" ht="15" hidden="false" customHeight="false" outlineLevel="0" collapsed="false">
      <c r="A57" s="12" t="s">
        <v>12</v>
      </c>
      <c r="B57" s="12" t="s">
        <v>3000</v>
      </c>
      <c r="C57" s="12" t="s">
        <v>196</v>
      </c>
      <c r="D57" s="12" t="s">
        <v>3028</v>
      </c>
      <c r="E57" s="12" t="s">
        <v>3017</v>
      </c>
      <c r="F57" s="5" t="s">
        <v>3066</v>
      </c>
    </row>
    <row r="58" customFormat="false" ht="15" hidden="false" customHeight="false" outlineLevel="0" collapsed="false">
      <c r="A58" s="12" t="s">
        <v>14</v>
      </c>
      <c r="B58" s="12" t="s">
        <v>3067</v>
      </c>
      <c r="C58" s="12" t="s">
        <v>43</v>
      </c>
      <c r="D58" s="12" t="s">
        <v>3001</v>
      </c>
      <c r="E58" s="12" t="s">
        <v>3002</v>
      </c>
      <c r="F58" s="5" t="s">
        <v>3068</v>
      </c>
    </row>
    <row r="59" customFormat="false" ht="15" hidden="false" customHeight="false" outlineLevel="0" collapsed="false">
      <c r="A59" s="12" t="s">
        <v>14</v>
      </c>
      <c r="B59" s="12" t="s">
        <v>3067</v>
      </c>
      <c r="C59" s="12" t="s">
        <v>296</v>
      </c>
      <c r="D59" s="12" t="s">
        <v>3001</v>
      </c>
      <c r="E59" s="12" t="s">
        <v>3002</v>
      </c>
      <c r="F59" s="5" t="s">
        <v>3069</v>
      </c>
    </row>
    <row r="60" customFormat="false" ht="15" hidden="false" customHeight="false" outlineLevel="0" collapsed="false">
      <c r="A60" s="12" t="s">
        <v>14</v>
      </c>
      <c r="B60" s="12" t="s">
        <v>3067</v>
      </c>
      <c r="C60" s="12" t="s">
        <v>297</v>
      </c>
      <c r="D60" s="12" t="s">
        <v>3001</v>
      </c>
      <c r="E60" s="12" t="s">
        <v>3002</v>
      </c>
      <c r="F60" s="5" t="s">
        <v>3070</v>
      </c>
    </row>
    <row r="61" customFormat="false" ht="15" hidden="false" customHeight="false" outlineLevel="0" collapsed="false">
      <c r="A61" s="12" t="s">
        <v>14</v>
      </c>
      <c r="B61" s="12" t="s">
        <v>3067</v>
      </c>
      <c r="C61" s="12" t="s">
        <v>298</v>
      </c>
      <c r="D61" s="12" t="s">
        <v>3001</v>
      </c>
      <c r="E61" s="12" t="s">
        <v>3002</v>
      </c>
      <c r="F61" s="5" t="s">
        <v>3071</v>
      </c>
    </row>
    <row r="62" customFormat="false" ht="15" hidden="false" customHeight="false" outlineLevel="0" collapsed="false">
      <c r="A62" s="12" t="s">
        <v>14</v>
      </c>
      <c r="B62" s="12" t="s">
        <v>3067</v>
      </c>
      <c r="C62" s="12" t="s">
        <v>299</v>
      </c>
      <c r="D62" s="12" t="s">
        <v>3001</v>
      </c>
      <c r="E62" s="12" t="s">
        <v>3002</v>
      </c>
      <c r="F62" s="5" t="s">
        <v>3072</v>
      </c>
    </row>
    <row r="63" customFormat="false" ht="15" hidden="false" customHeight="false" outlineLevel="0" collapsed="false">
      <c r="A63" s="12" t="s">
        <v>14</v>
      </c>
      <c r="B63" s="12" t="s">
        <v>3067</v>
      </c>
      <c r="C63" s="12" t="s">
        <v>300</v>
      </c>
      <c r="D63" s="12" t="s">
        <v>3001</v>
      </c>
      <c r="E63" s="12" t="s">
        <v>3002</v>
      </c>
      <c r="F63" s="5" t="s">
        <v>3073</v>
      </c>
    </row>
    <row r="64" customFormat="false" ht="15" hidden="false" customHeight="false" outlineLevel="0" collapsed="false">
      <c r="A64" s="12" t="s">
        <v>14</v>
      </c>
      <c r="B64" s="12" t="s">
        <v>3067</v>
      </c>
      <c r="C64" s="12" t="s">
        <v>301</v>
      </c>
      <c r="D64" s="12" t="s">
        <v>3001</v>
      </c>
      <c r="E64" s="12" t="s">
        <v>3002</v>
      </c>
      <c r="F64" s="5" t="s">
        <v>3074</v>
      </c>
    </row>
    <row r="65" customFormat="false" ht="15" hidden="false" customHeight="false" outlineLevel="0" collapsed="false">
      <c r="A65" s="12" t="s">
        <v>14</v>
      </c>
      <c r="B65" s="12" t="s">
        <v>3067</v>
      </c>
      <c r="C65" s="12" t="s">
        <v>302</v>
      </c>
      <c r="D65" s="12" t="s">
        <v>3001</v>
      </c>
      <c r="E65" s="12" t="s">
        <v>2988</v>
      </c>
      <c r="F65" s="5" t="s">
        <v>3075</v>
      </c>
    </row>
    <row r="66" customFormat="false" ht="15" hidden="false" customHeight="false" outlineLevel="0" collapsed="false">
      <c r="A66" s="12" t="s">
        <v>14</v>
      </c>
      <c r="B66" s="12" t="s">
        <v>3067</v>
      </c>
      <c r="C66" s="12" t="s">
        <v>303</v>
      </c>
      <c r="D66" s="12" t="s">
        <v>3001</v>
      </c>
      <c r="E66" s="12" t="s">
        <v>2988</v>
      </c>
      <c r="F66" s="5" t="s">
        <v>3076</v>
      </c>
    </row>
    <row r="67" customFormat="false" ht="15" hidden="false" customHeight="false" outlineLevel="0" collapsed="false">
      <c r="A67" s="12" t="s">
        <v>14</v>
      </c>
      <c r="B67" s="12" t="s">
        <v>3067</v>
      </c>
      <c r="C67" s="12" t="s">
        <v>304</v>
      </c>
      <c r="D67" s="12" t="s">
        <v>3001</v>
      </c>
      <c r="E67" s="12" t="s">
        <v>3017</v>
      </c>
      <c r="F67" s="5" t="s">
        <v>3077</v>
      </c>
    </row>
    <row r="68" customFormat="false" ht="15" hidden="false" customHeight="false" outlineLevel="0" collapsed="false">
      <c r="A68" s="12" t="s">
        <v>14</v>
      </c>
      <c r="B68" s="12" t="s">
        <v>3067</v>
      </c>
      <c r="C68" s="12" t="s">
        <v>305</v>
      </c>
      <c r="D68" s="12" t="s">
        <v>3001</v>
      </c>
      <c r="E68" s="12" t="s">
        <v>3002</v>
      </c>
      <c r="F68" s="5" t="s">
        <v>3078</v>
      </c>
    </row>
    <row r="69" customFormat="false" ht="15" hidden="false" customHeight="false" outlineLevel="0" collapsed="false">
      <c r="A69" s="12" t="s">
        <v>14</v>
      </c>
      <c r="B69" s="12" t="s">
        <v>3067</v>
      </c>
      <c r="C69" s="12" t="s">
        <v>306</v>
      </c>
      <c r="D69" s="12" t="s">
        <v>3006</v>
      </c>
      <c r="E69" s="12" t="s">
        <v>3002</v>
      </c>
      <c r="F69" s="5" t="s">
        <v>3079</v>
      </c>
    </row>
    <row r="70" customFormat="false" ht="15" hidden="false" customHeight="false" outlineLevel="0" collapsed="false">
      <c r="A70" s="12" t="s">
        <v>14</v>
      </c>
      <c r="B70" s="12" t="s">
        <v>3067</v>
      </c>
      <c r="C70" s="12" t="s">
        <v>307</v>
      </c>
      <c r="D70" s="12" t="s">
        <v>3001</v>
      </c>
      <c r="E70" s="12" t="s">
        <v>3002</v>
      </c>
      <c r="F70" s="5" t="s">
        <v>3080</v>
      </c>
    </row>
    <row r="71" customFormat="false" ht="15" hidden="false" customHeight="false" outlineLevel="0" collapsed="false">
      <c r="A71" s="12" t="s">
        <v>14</v>
      </c>
      <c r="B71" s="12" t="s">
        <v>3067</v>
      </c>
      <c r="C71" s="12" t="s">
        <v>308</v>
      </c>
      <c r="D71" s="12" t="s">
        <v>3001</v>
      </c>
      <c r="E71" s="12" t="s">
        <v>3019</v>
      </c>
      <c r="F71" s="5" t="s">
        <v>3081</v>
      </c>
    </row>
    <row r="72" customFormat="false" ht="15" hidden="false" customHeight="false" outlineLevel="0" collapsed="false">
      <c r="A72" s="12" t="s">
        <v>14</v>
      </c>
      <c r="B72" s="12" t="s">
        <v>3067</v>
      </c>
      <c r="C72" s="12" t="s">
        <v>309</v>
      </c>
      <c r="D72" s="12" t="s">
        <v>3028</v>
      </c>
      <c r="E72" s="12" t="s">
        <v>3024</v>
      </c>
      <c r="F72" s="5" t="s">
        <v>3082</v>
      </c>
    </row>
    <row r="73" customFormat="false" ht="15" hidden="false" customHeight="false" outlineLevel="0" collapsed="false">
      <c r="A73" s="12" t="s">
        <v>14</v>
      </c>
      <c r="B73" s="12" t="s">
        <v>3067</v>
      </c>
      <c r="C73" s="12" t="s">
        <v>310</v>
      </c>
      <c r="D73" s="12" t="s">
        <v>3028</v>
      </c>
      <c r="E73" s="12" t="s">
        <v>3017</v>
      </c>
      <c r="F73" s="5" t="s">
        <v>3083</v>
      </c>
    </row>
    <row r="74" customFormat="false" ht="15" hidden="false" customHeight="false" outlineLevel="0" collapsed="false">
      <c r="A74" s="12" t="s">
        <v>14</v>
      </c>
      <c r="B74" s="12" t="s">
        <v>3067</v>
      </c>
      <c r="C74" s="12" t="s">
        <v>311</v>
      </c>
      <c r="D74" s="12" t="s">
        <v>3028</v>
      </c>
      <c r="E74" s="12" t="s">
        <v>3034</v>
      </c>
      <c r="F74" s="5" t="s">
        <v>3084</v>
      </c>
    </row>
    <row r="75" customFormat="false" ht="15" hidden="false" customHeight="false" outlineLevel="0" collapsed="false">
      <c r="A75" s="12" t="s">
        <v>14</v>
      </c>
      <c r="B75" s="12" t="s">
        <v>3067</v>
      </c>
      <c r="C75" s="12" t="s">
        <v>312</v>
      </c>
      <c r="D75" s="12" t="s">
        <v>3028</v>
      </c>
      <c r="E75" s="12" t="s">
        <v>3002</v>
      </c>
      <c r="F75" s="5" t="s">
        <v>3085</v>
      </c>
    </row>
    <row r="76" customFormat="false" ht="15" hidden="false" customHeight="false" outlineLevel="0" collapsed="false">
      <c r="A76" s="12" t="s">
        <v>14</v>
      </c>
      <c r="B76" s="12" t="s">
        <v>3067</v>
      </c>
      <c r="C76" s="12" t="s">
        <v>313</v>
      </c>
      <c r="D76" s="12" t="s">
        <v>3028</v>
      </c>
      <c r="E76" s="12" t="s">
        <v>3034</v>
      </c>
      <c r="F76" s="5" t="s">
        <v>3086</v>
      </c>
    </row>
    <row r="77" customFormat="false" ht="15" hidden="false" customHeight="false" outlineLevel="0" collapsed="false">
      <c r="A77" s="12" t="s">
        <v>14</v>
      </c>
      <c r="B77" s="12" t="s">
        <v>3067</v>
      </c>
      <c r="C77" s="12" t="s">
        <v>314</v>
      </c>
      <c r="D77" s="12" t="s">
        <v>3028</v>
      </c>
      <c r="E77" s="12" t="s">
        <v>3034</v>
      </c>
      <c r="F77" s="5" t="s">
        <v>3087</v>
      </c>
    </row>
    <row r="78" customFormat="false" ht="15" hidden="false" customHeight="false" outlineLevel="0" collapsed="false">
      <c r="A78" s="12" t="s">
        <v>14</v>
      </c>
      <c r="B78" s="12" t="s">
        <v>3067</v>
      </c>
      <c r="C78" s="12" t="s">
        <v>315</v>
      </c>
      <c r="D78" s="12" t="s">
        <v>3028</v>
      </c>
      <c r="E78" s="12" t="s">
        <v>3024</v>
      </c>
      <c r="F78" s="5" t="s">
        <v>3088</v>
      </c>
    </row>
    <row r="79" customFormat="false" ht="15" hidden="false" customHeight="false" outlineLevel="0" collapsed="false">
      <c r="A79" s="12" t="s">
        <v>16</v>
      </c>
      <c r="B79" s="12" t="s">
        <v>3089</v>
      </c>
      <c r="C79" s="12" t="s">
        <v>499</v>
      </c>
      <c r="D79" s="12" t="s">
        <v>3001</v>
      </c>
      <c r="E79" s="12" t="s">
        <v>3002</v>
      </c>
      <c r="F79" s="5" t="s">
        <v>3090</v>
      </c>
    </row>
    <row r="80" customFormat="false" ht="15" hidden="false" customHeight="false" outlineLevel="0" collapsed="false">
      <c r="A80" s="12" t="s">
        <v>16</v>
      </c>
      <c r="B80" s="12" t="s">
        <v>3089</v>
      </c>
      <c r="C80" s="12" t="s">
        <v>41</v>
      </c>
      <c r="D80" s="12" t="s">
        <v>3001</v>
      </c>
      <c r="E80" s="12" t="s">
        <v>3002</v>
      </c>
      <c r="F80" s="5" t="s">
        <v>3091</v>
      </c>
    </row>
    <row r="81" customFormat="false" ht="15" hidden="false" customHeight="false" outlineLevel="0" collapsed="false">
      <c r="A81" s="12" t="s">
        <v>16</v>
      </c>
      <c r="B81" s="12" t="s">
        <v>3089</v>
      </c>
      <c r="C81" s="12" t="s">
        <v>147</v>
      </c>
      <c r="D81" s="12" t="s">
        <v>3006</v>
      </c>
      <c r="E81" s="12" t="s">
        <v>3002</v>
      </c>
      <c r="F81" s="5" t="s">
        <v>3092</v>
      </c>
    </row>
    <row r="82" customFormat="false" ht="15" hidden="false" customHeight="false" outlineLevel="0" collapsed="false">
      <c r="A82" s="12" t="s">
        <v>16</v>
      </c>
      <c r="B82" s="12" t="s">
        <v>3089</v>
      </c>
      <c r="C82" s="12" t="s">
        <v>43</v>
      </c>
      <c r="D82" s="12" t="s">
        <v>3001</v>
      </c>
      <c r="E82" s="12" t="s">
        <v>3002</v>
      </c>
      <c r="F82" s="5" t="s">
        <v>3093</v>
      </c>
    </row>
    <row r="83" customFormat="false" ht="15" hidden="false" customHeight="false" outlineLevel="0" collapsed="false">
      <c r="A83" s="12" t="s">
        <v>16</v>
      </c>
      <c r="B83" s="12" t="s">
        <v>3089</v>
      </c>
      <c r="C83" s="12" t="s">
        <v>500</v>
      </c>
      <c r="D83" s="12" t="s">
        <v>3006</v>
      </c>
      <c r="E83" s="12" t="s">
        <v>3002</v>
      </c>
      <c r="F83" s="5" t="s">
        <v>3092</v>
      </c>
    </row>
    <row r="84" customFormat="false" ht="15" hidden="false" customHeight="false" outlineLevel="0" collapsed="false">
      <c r="A84" s="12" t="s">
        <v>16</v>
      </c>
      <c r="B84" s="12" t="s">
        <v>3089</v>
      </c>
      <c r="C84" s="12" t="s">
        <v>501</v>
      </c>
      <c r="D84" s="12" t="s">
        <v>3001</v>
      </c>
      <c r="E84" s="12" t="s">
        <v>3002</v>
      </c>
      <c r="F84" s="5" t="s">
        <v>3094</v>
      </c>
    </row>
    <row r="85" customFormat="false" ht="15" hidden="false" customHeight="false" outlineLevel="0" collapsed="false">
      <c r="A85" s="12" t="s">
        <v>16</v>
      </c>
      <c r="B85" s="12" t="s">
        <v>3089</v>
      </c>
      <c r="C85" s="12" t="s">
        <v>502</v>
      </c>
      <c r="D85" s="12" t="s">
        <v>3001</v>
      </c>
      <c r="E85" s="12" t="s">
        <v>3002</v>
      </c>
      <c r="F85" s="5" t="s">
        <v>3095</v>
      </c>
    </row>
    <row r="86" customFormat="false" ht="15" hidden="false" customHeight="false" outlineLevel="0" collapsed="false">
      <c r="A86" s="12" t="s">
        <v>16</v>
      </c>
      <c r="B86" s="12" t="s">
        <v>3089</v>
      </c>
      <c r="C86" s="12" t="s">
        <v>308</v>
      </c>
      <c r="D86" s="12" t="s">
        <v>3001</v>
      </c>
      <c r="E86" s="12" t="s">
        <v>3019</v>
      </c>
      <c r="F86" s="5" t="s">
        <v>3096</v>
      </c>
    </row>
    <row r="87" customFormat="false" ht="15" hidden="false" customHeight="false" outlineLevel="0" collapsed="false">
      <c r="A87" s="12" t="s">
        <v>16</v>
      </c>
      <c r="B87" s="12" t="s">
        <v>3089</v>
      </c>
      <c r="C87" s="12" t="s">
        <v>503</v>
      </c>
      <c r="D87" s="12" t="s">
        <v>3001</v>
      </c>
      <c r="E87" s="12" t="s">
        <v>3019</v>
      </c>
      <c r="F87" s="5" t="s">
        <v>3097</v>
      </c>
    </row>
    <row r="88" customFormat="false" ht="15" hidden="false" customHeight="false" outlineLevel="0" collapsed="false">
      <c r="A88" s="12" t="s">
        <v>16</v>
      </c>
      <c r="B88" s="12" t="s">
        <v>3089</v>
      </c>
      <c r="C88" s="12" t="s">
        <v>504</v>
      </c>
      <c r="D88" s="12" t="s">
        <v>3001</v>
      </c>
      <c r="E88" s="12" t="s">
        <v>3024</v>
      </c>
      <c r="F88" s="5" t="s">
        <v>3098</v>
      </c>
    </row>
    <row r="89" customFormat="false" ht="15" hidden="false" customHeight="false" outlineLevel="0" collapsed="false">
      <c r="A89" s="12" t="s">
        <v>16</v>
      </c>
      <c r="B89" s="12" t="s">
        <v>3089</v>
      </c>
      <c r="C89" s="12" t="s">
        <v>505</v>
      </c>
      <c r="D89" s="12" t="s">
        <v>3028</v>
      </c>
      <c r="E89" s="12" t="s">
        <v>3002</v>
      </c>
      <c r="F89" s="5" t="s">
        <v>3099</v>
      </c>
    </row>
    <row r="90" customFormat="false" ht="15" hidden="false" customHeight="false" outlineLevel="0" collapsed="false">
      <c r="A90" s="12" t="s">
        <v>16</v>
      </c>
      <c r="B90" s="12" t="s">
        <v>3089</v>
      </c>
      <c r="C90" s="12" t="s">
        <v>506</v>
      </c>
      <c r="D90" s="12" t="s">
        <v>3028</v>
      </c>
      <c r="E90" s="12" t="s">
        <v>3017</v>
      </c>
      <c r="F90" s="5" t="s">
        <v>3100</v>
      </c>
    </row>
    <row r="91" customFormat="false" ht="15" hidden="false" customHeight="false" outlineLevel="0" collapsed="false">
      <c r="A91" s="12" t="s">
        <v>16</v>
      </c>
      <c r="B91" s="12" t="s">
        <v>3089</v>
      </c>
      <c r="C91" s="12" t="s">
        <v>507</v>
      </c>
      <c r="D91" s="12" t="s">
        <v>3028</v>
      </c>
      <c r="E91" s="12" t="s">
        <v>3034</v>
      </c>
      <c r="F91" s="5" t="s">
        <v>3101</v>
      </c>
    </row>
    <row r="92" customFormat="false" ht="15" hidden="false" customHeight="false" outlineLevel="0" collapsed="false">
      <c r="A92" s="12" t="s">
        <v>16</v>
      </c>
      <c r="B92" s="12" t="s">
        <v>3089</v>
      </c>
      <c r="C92" s="12" t="s">
        <v>302</v>
      </c>
      <c r="D92" s="12" t="s">
        <v>3006</v>
      </c>
      <c r="E92" s="12" t="s">
        <v>2988</v>
      </c>
      <c r="F92" s="5" t="s">
        <v>3102</v>
      </c>
    </row>
    <row r="93" customFormat="false" ht="15" hidden="false" customHeight="false" outlineLevel="0" collapsed="false">
      <c r="A93" s="12" t="s">
        <v>16</v>
      </c>
      <c r="B93" s="12" t="s">
        <v>3089</v>
      </c>
      <c r="C93" s="12" t="s">
        <v>303</v>
      </c>
      <c r="D93" s="12" t="s">
        <v>3006</v>
      </c>
      <c r="E93" s="12" t="s">
        <v>2988</v>
      </c>
      <c r="F93" s="5" t="s">
        <v>3102</v>
      </c>
    </row>
    <row r="94" customFormat="false" ht="15" hidden="false" customHeight="false" outlineLevel="0" collapsed="false">
      <c r="A94" s="12" t="s">
        <v>16</v>
      </c>
      <c r="B94" s="12" t="s">
        <v>3089</v>
      </c>
      <c r="C94" s="12" t="s">
        <v>508</v>
      </c>
      <c r="D94" s="12" t="s">
        <v>3028</v>
      </c>
      <c r="E94" s="12" t="s">
        <v>2988</v>
      </c>
      <c r="F94" s="5" t="s">
        <v>3103</v>
      </c>
    </row>
    <row r="95" customFormat="false" ht="15" hidden="false" customHeight="false" outlineLevel="0" collapsed="false">
      <c r="A95" s="12" t="s">
        <v>16</v>
      </c>
      <c r="B95" s="12" t="s">
        <v>3089</v>
      </c>
      <c r="C95" s="12" t="s">
        <v>509</v>
      </c>
      <c r="D95" s="12" t="s">
        <v>3028</v>
      </c>
      <c r="E95" s="12" t="s">
        <v>2988</v>
      </c>
      <c r="F95" s="5" t="s">
        <v>3104</v>
      </c>
    </row>
    <row r="96" customFormat="false" ht="15" hidden="false" customHeight="false" outlineLevel="0" collapsed="false">
      <c r="A96" s="12" t="s">
        <v>16</v>
      </c>
      <c r="B96" s="12" t="s">
        <v>3089</v>
      </c>
      <c r="C96" s="12" t="s">
        <v>170</v>
      </c>
      <c r="D96" s="12" t="s">
        <v>3028</v>
      </c>
      <c r="E96" s="12" t="s">
        <v>3034</v>
      </c>
      <c r="F96" s="5" t="s">
        <v>3105</v>
      </c>
    </row>
    <row r="97" customFormat="false" ht="15" hidden="false" customHeight="false" outlineLevel="0" collapsed="false">
      <c r="A97" s="12" t="s">
        <v>16</v>
      </c>
      <c r="B97" s="12" t="s">
        <v>3089</v>
      </c>
      <c r="C97" s="12" t="s">
        <v>510</v>
      </c>
      <c r="D97" s="12" t="s">
        <v>3028</v>
      </c>
      <c r="E97" s="12" t="s">
        <v>3024</v>
      </c>
      <c r="F97" s="5" t="s">
        <v>3106</v>
      </c>
    </row>
    <row r="98" customFormat="false" ht="15" hidden="false" customHeight="false" outlineLevel="0" collapsed="false">
      <c r="A98" s="12" t="s">
        <v>18</v>
      </c>
      <c r="B98" s="12" t="s">
        <v>3107</v>
      </c>
      <c r="C98" s="12" t="s">
        <v>660</v>
      </c>
      <c r="D98" s="12" t="s">
        <v>3001</v>
      </c>
      <c r="E98" s="12" t="s">
        <v>3002</v>
      </c>
      <c r="F98" s="5" t="s">
        <v>3108</v>
      </c>
    </row>
    <row r="99" customFormat="false" ht="15" hidden="false" customHeight="false" outlineLevel="0" collapsed="false">
      <c r="A99" s="12" t="s">
        <v>18</v>
      </c>
      <c r="B99" s="12" t="s">
        <v>3107</v>
      </c>
      <c r="C99" s="12" t="s">
        <v>41</v>
      </c>
      <c r="D99" s="12" t="s">
        <v>3001</v>
      </c>
      <c r="E99" s="12" t="s">
        <v>3002</v>
      </c>
      <c r="F99" s="5" t="s">
        <v>3091</v>
      </c>
    </row>
    <row r="100" customFormat="false" ht="15" hidden="false" customHeight="false" outlineLevel="0" collapsed="false">
      <c r="A100" s="12" t="s">
        <v>18</v>
      </c>
      <c r="B100" s="12" t="s">
        <v>3107</v>
      </c>
      <c r="C100" s="12" t="s">
        <v>661</v>
      </c>
      <c r="D100" s="12" t="s">
        <v>3001</v>
      </c>
      <c r="E100" s="12" t="s">
        <v>3002</v>
      </c>
      <c r="F100" s="5" t="s">
        <v>3109</v>
      </c>
    </row>
    <row r="101" customFormat="false" ht="15" hidden="false" customHeight="false" outlineLevel="0" collapsed="false">
      <c r="A101" s="12" t="s">
        <v>18</v>
      </c>
      <c r="B101" s="12" t="s">
        <v>3107</v>
      </c>
      <c r="C101" s="12" t="s">
        <v>662</v>
      </c>
      <c r="D101" s="12" t="s">
        <v>3001</v>
      </c>
      <c r="E101" s="12" t="s">
        <v>3002</v>
      </c>
      <c r="F101" s="5" t="s">
        <v>3110</v>
      </c>
    </row>
    <row r="102" customFormat="false" ht="15" hidden="false" customHeight="false" outlineLevel="0" collapsed="false">
      <c r="A102" s="12" t="s">
        <v>18</v>
      </c>
      <c r="B102" s="12" t="s">
        <v>3107</v>
      </c>
      <c r="C102" s="12" t="s">
        <v>663</v>
      </c>
      <c r="D102" s="12" t="s">
        <v>3001</v>
      </c>
      <c r="E102" s="12" t="s">
        <v>3002</v>
      </c>
      <c r="F102" s="5" t="s">
        <v>3111</v>
      </c>
    </row>
    <row r="103" customFormat="false" ht="15" hidden="false" customHeight="false" outlineLevel="0" collapsed="false">
      <c r="A103" s="12" t="s">
        <v>18</v>
      </c>
      <c r="B103" s="12" t="s">
        <v>3107</v>
      </c>
      <c r="C103" s="12" t="s">
        <v>154</v>
      </c>
      <c r="D103" s="12" t="s">
        <v>3001</v>
      </c>
      <c r="E103" s="12" t="s">
        <v>3002</v>
      </c>
      <c r="F103" s="5" t="s">
        <v>3112</v>
      </c>
    </row>
    <row r="104" customFormat="false" ht="15" hidden="false" customHeight="false" outlineLevel="0" collapsed="false">
      <c r="A104" s="12" t="s">
        <v>18</v>
      </c>
      <c r="B104" s="12" t="s">
        <v>3107</v>
      </c>
      <c r="C104" s="12" t="s">
        <v>664</v>
      </c>
      <c r="D104" s="12" t="s">
        <v>3001</v>
      </c>
      <c r="E104" s="12" t="s">
        <v>3002</v>
      </c>
      <c r="F104" s="5" t="s">
        <v>3113</v>
      </c>
    </row>
    <row r="105" customFormat="false" ht="15" hidden="false" customHeight="false" outlineLevel="0" collapsed="false">
      <c r="A105" s="12" t="s">
        <v>18</v>
      </c>
      <c r="B105" s="12" t="s">
        <v>3107</v>
      </c>
      <c r="C105" s="12" t="s">
        <v>665</v>
      </c>
      <c r="D105" s="12" t="s">
        <v>3001</v>
      </c>
      <c r="E105" s="12" t="s">
        <v>3017</v>
      </c>
      <c r="F105" s="5" t="s">
        <v>3114</v>
      </c>
    </row>
    <row r="106" customFormat="false" ht="15" hidden="false" customHeight="false" outlineLevel="0" collapsed="false">
      <c r="A106" s="12" t="s">
        <v>18</v>
      </c>
      <c r="B106" s="12" t="s">
        <v>3107</v>
      </c>
      <c r="C106" s="12" t="s">
        <v>666</v>
      </c>
      <c r="D106" s="12" t="s">
        <v>3001</v>
      </c>
      <c r="E106" s="12" t="s">
        <v>2988</v>
      </c>
      <c r="F106" s="5" t="s">
        <v>3115</v>
      </c>
    </row>
    <row r="107" customFormat="false" ht="15" hidden="false" customHeight="false" outlineLevel="0" collapsed="false">
      <c r="A107" s="12" t="s">
        <v>18</v>
      </c>
      <c r="B107" s="12" t="s">
        <v>3107</v>
      </c>
      <c r="C107" s="12" t="s">
        <v>667</v>
      </c>
      <c r="D107" s="12" t="s">
        <v>3001</v>
      </c>
      <c r="E107" s="12" t="s">
        <v>3002</v>
      </c>
      <c r="F107" s="5" t="s">
        <v>3116</v>
      </c>
    </row>
    <row r="108" customFormat="false" ht="15" hidden="false" customHeight="false" outlineLevel="0" collapsed="false">
      <c r="A108" s="12" t="s">
        <v>18</v>
      </c>
      <c r="B108" s="12" t="s">
        <v>3107</v>
      </c>
      <c r="C108" s="12" t="s">
        <v>668</v>
      </c>
      <c r="D108" s="12" t="s">
        <v>3001</v>
      </c>
      <c r="E108" s="12" t="s">
        <v>3002</v>
      </c>
      <c r="F108" s="5" t="s">
        <v>3117</v>
      </c>
    </row>
    <row r="109" customFormat="false" ht="15" hidden="false" customHeight="false" outlineLevel="0" collapsed="false">
      <c r="A109" s="12" t="s">
        <v>18</v>
      </c>
      <c r="B109" s="12" t="s">
        <v>3107</v>
      </c>
      <c r="C109" s="12" t="s">
        <v>669</v>
      </c>
      <c r="D109" s="12" t="s">
        <v>3001</v>
      </c>
      <c r="E109" s="12" t="s">
        <v>3019</v>
      </c>
      <c r="F109" s="5" t="s">
        <v>3118</v>
      </c>
    </row>
    <row r="110" customFormat="false" ht="15" hidden="false" customHeight="false" outlineLevel="0" collapsed="false">
      <c r="A110" s="12" t="s">
        <v>18</v>
      </c>
      <c r="B110" s="12" t="s">
        <v>3107</v>
      </c>
      <c r="C110" s="12" t="s">
        <v>670</v>
      </c>
      <c r="D110" s="12" t="s">
        <v>3006</v>
      </c>
      <c r="E110" s="12" t="s">
        <v>3002</v>
      </c>
      <c r="F110" s="5" t="s">
        <v>3092</v>
      </c>
    </row>
    <row r="111" customFormat="false" ht="15" hidden="false" customHeight="false" outlineLevel="0" collapsed="false">
      <c r="A111" s="12" t="s">
        <v>18</v>
      </c>
      <c r="B111" s="12" t="s">
        <v>3107</v>
      </c>
      <c r="C111" s="12" t="s">
        <v>671</v>
      </c>
      <c r="D111" s="12" t="s">
        <v>3028</v>
      </c>
      <c r="E111" s="12" t="s">
        <v>3024</v>
      </c>
      <c r="F111" s="5" t="s">
        <v>3119</v>
      </c>
    </row>
    <row r="112" customFormat="false" ht="15" hidden="false" customHeight="false" outlineLevel="0" collapsed="false">
      <c r="A112" s="12" t="s">
        <v>18</v>
      </c>
      <c r="B112" s="12" t="s">
        <v>3107</v>
      </c>
      <c r="C112" s="12" t="s">
        <v>672</v>
      </c>
      <c r="D112" s="12" t="s">
        <v>3028</v>
      </c>
      <c r="E112" s="12" t="s">
        <v>2988</v>
      </c>
      <c r="F112" s="5" t="s">
        <v>3120</v>
      </c>
    </row>
    <row r="113" customFormat="false" ht="15" hidden="false" customHeight="false" outlineLevel="0" collapsed="false">
      <c r="A113" s="12" t="s">
        <v>18</v>
      </c>
      <c r="B113" s="12" t="s">
        <v>3107</v>
      </c>
      <c r="C113" s="12" t="s">
        <v>673</v>
      </c>
      <c r="D113" s="12" t="s">
        <v>3028</v>
      </c>
      <c r="E113" s="12" t="s">
        <v>2988</v>
      </c>
      <c r="F113" s="5" t="s">
        <v>3121</v>
      </c>
    </row>
    <row r="114" customFormat="false" ht="15" hidden="false" customHeight="false" outlineLevel="0" collapsed="false">
      <c r="A114" s="12" t="s">
        <v>18</v>
      </c>
      <c r="B114" s="12" t="s">
        <v>3107</v>
      </c>
      <c r="C114" s="12" t="s">
        <v>674</v>
      </c>
      <c r="D114" s="12" t="s">
        <v>3028</v>
      </c>
      <c r="E114" s="12" t="s">
        <v>2988</v>
      </c>
      <c r="F114" s="5" t="s">
        <v>3122</v>
      </c>
    </row>
    <row r="115" customFormat="false" ht="15" hidden="false" customHeight="false" outlineLevel="0" collapsed="false">
      <c r="A115" s="12" t="s">
        <v>20</v>
      </c>
      <c r="B115" s="12" t="s">
        <v>127</v>
      </c>
      <c r="C115" s="12" t="s">
        <v>858</v>
      </c>
      <c r="D115" s="12" t="s">
        <v>3001</v>
      </c>
      <c r="E115" s="12" t="s">
        <v>3002</v>
      </c>
      <c r="F115" s="5" t="s">
        <v>3123</v>
      </c>
    </row>
    <row r="116" customFormat="false" ht="15" hidden="false" customHeight="false" outlineLevel="0" collapsed="false">
      <c r="A116" s="12" t="s">
        <v>20</v>
      </c>
      <c r="B116" s="12" t="s">
        <v>127</v>
      </c>
      <c r="C116" s="12" t="s">
        <v>41</v>
      </c>
      <c r="D116" s="12" t="s">
        <v>3001</v>
      </c>
      <c r="E116" s="12" t="s">
        <v>3002</v>
      </c>
      <c r="F116" s="5" t="s">
        <v>3091</v>
      </c>
    </row>
    <row r="117" customFormat="false" ht="15" hidden="false" customHeight="false" outlineLevel="0" collapsed="false">
      <c r="A117" s="12" t="s">
        <v>20</v>
      </c>
      <c r="B117" s="12" t="s">
        <v>127</v>
      </c>
      <c r="C117" s="12" t="s">
        <v>147</v>
      </c>
      <c r="D117" s="12" t="s">
        <v>3006</v>
      </c>
      <c r="E117" s="12" t="s">
        <v>3002</v>
      </c>
      <c r="F117" s="5" t="s">
        <v>3092</v>
      </c>
    </row>
    <row r="118" customFormat="false" ht="23.85" hidden="false" customHeight="false" outlineLevel="0" collapsed="false">
      <c r="A118" s="12" t="s">
        <v>20</v>
      </c>
      <c r="B118" s="12" t="s">
        <v>127</v>
      </c>
      <c r="C118" s="12" t="s">
        <v>859</v>
      </c>
      <c r="D118" s="12" t="s">
        <v>3001</v>
      </c>
      <c r="E118" s="12" t="s">
        <v>3002</v>
      </c>
      <c r="F118" s="5" t="s">
        <v>3124</v>
      </c>
    </row>
    <row r="119" customFormat="false" ht="15" hidden="false" customHeight="false" outlineLevel="0" collapsed="false">
      <c r="A119" s="12" t="s">
        <v>20</v>
      </c>
      <c r="B119" s="12" t="s">
        <v>127</v>
      </c>
      <c r="C119" s="12" t="s">
        <v>860</v>
      </c>
      <c r="D119" s="12" t="s">
        <v>3001</v>
      </c>
      <c r="E119" s="12" t="s">
        <v>2988</v>
      </c>
      <c r="F119" s="5" t="s">
        <v>3125</v>
      </c>
    </row>
    <row r="120" customFormat="false" ht="15" hidden="false" customHeight="false" outlineLevel="0" collapsed="false">
      <c r="A120" s="12" t="s">
        <v>20</v>
      </c>
      <c r="B120" s="12" t="s">
        <v>127</v>
      </c>
      <c r="C120" s="12" t="s">
        <v>861</v>
      </c>
      <c r="D120" s="12" t="s">
        <v>3001</v>
      </c>
      <c r="E120" s="12" t="s">
        <v>3019</v>
      </c>
      <c r="F120" s="5" t="s">
        <v>3126</v>
      </c>
    </row>
    <row r="121" customFormat="false" ht="15" hidden="false" customHeight="false" outlineLevel="0" collapsed="false">
      <c r="A121" s="12" t="s">
        <v>20</v>
      </c>
      <c r="B121" s="12" t="s">
        <v>127</v>
      </c>
      <c r="C121" s="12" t="s">
        <v>862</v>
      </c>
      <c r="D121" s="12" t="s">
        <v>3001</v>
      </c>
      <c r="E121" s="12" t="s">
        <v>3002</v>
      </c>
      <c r="F121" s="5" t="s">
        <v>3127</v>
      </c>
    </row>
    <row r="122" customFormat="false" ht="15" hidden="false" customHeight="false" outlineLevel="0" collapsed="false">
      <c r="A122" s="12" t="s">
        <v>20</v>
      </c>
      <c r="B122" s="12" t="s">
        <v>127</v>
      </c>
      <c r="C122" s="12" t="s">
        <v>863</v>
      </c>
      <c r="D122" s="12" t="s">
        <v>3001</v>
      </c>
      <c r="E122" s="12" t="s">
        <v>3002</v>
      </c>
      <c r="F122" s="5" t="s">
        <v>3128</v>
      </c>
    </row>
    <row r="123" customFormat="false" ht="15" hidden="false" customHeight="false" outlineLevel="0" collapsed="false">
      <c r="A123" s="12" t="s">
        <v>20</v>
      </c>
      <c r="B123" s="12" t="s">
        <v>127</v>
      </c>
      <c r="C123" s="12" t="s">
        <v>864</v>
      </c>
      <c r="D123" s="12" t="s">
        <v>3028</v>
      </c>
      <c r="E123" s="12" t="s">
        <v>2988</v>
      </c>
      <c r="F123" s="5" t="s">
        <v>3129</v>
      </c>
    </row>
    <row r="124" customFormat="false" ht="15" hidden="false" customHeight="false" outlineLevel="0" collapsed="false">
      <c r="A124" s="12" t="s">
        <v>20</v>
      </c>
      <c r="B124" s="12" t="s">
        <v>127</v>
      </c>
      <c r="C124" s="12" t="s">
        <v>865</v>
      </c>
      <c r="D124" s="12" t="s">
        <v>3028</v>
      </c>
      <c r="E124" s="12" t="s">
        <v>2988</v>
      </c>
      <c r="F124" s="5" t="s">
        <v>3130</v>
      </c>
    </row>
    <row r="125" customFormat="false" ht="15" hidden="false" customHeight="false" outlineLevel="0" collapsed="false">
      <c r="A125" s="12" t="s">
        <v>20</v>
      </c>
      <c r="B125" s="12" t="s">
        <v>127</v>
      </c>
      <c r="C125" s="12" t="s">
        <v>866</v>
      </c>
      <c r="D125" s="12" t="s">
        <v>3028</v>
      </c>
      <c r="E125" s="12" t="s">
        <v>3024</v>
      </c>
      <c r="F125" s="5" t="s">
        <v>3131</v>
      </c>
    </row>
    <row r="126" customFormat="false" ht="15" hidden="false" customHeight="false" outlineLevel="0" collapsed="false">
      <c r="A126" s="12" t="s">
        <v>20</v>
      </c>
      <c r="B126" s="12" t="s">
        <v>127</v>
      </c>
      <c r="C126" s="12" t="s">
        <v>867</v>
      </c>
      <c r="D126" s="12" t="s">
        <v>3028</v>
      </c>
      <c r="E126" s="12" t="s">
        <v>3002</v>
      </c>
      <c r="F126" s="5" t="s">
        <v>3132</v>
      </c>
    </row>
    <row r="127" customFormat="false" ht="15" hidden="false" customHeight="false" outlineLevel="0" collapsed="false">
      <c r="A127" s="12" t="s">
        <v>22</v>
      </c>
      <c r="B127" s="12" t="s">
        <v>3133</v>
      </c>
      <c r="C127" s="12" t="s">
        <v>1011</v>
      </c>
      <c r="D127" s="12" t="s">
        <v>3001</v>
      </c>
      <c r="E127" s="12" t="s">
        <v>3002</v>
      </c>
      <c r="F127" s="5" t="s">
        <v>3134</v>
      </c>
    </row>
    <row r="128" customFormat="false" ht="15" hidden="false" customHeight="false" outlineLevel="0" collapsed="false">
      <c r="A128" s="12" t="s">
        <v>22</v>
      </c>
      <c r="B128" s="12" t="s">
        <v>3133</v>
      </c>
      <c r="C128" s="12" t="s">
        <v>1012</v>
      </c>
      <c r="D128" s="12" t="s">
        <v>3001</v>
      </c>
      <c r="E128" s="12" t="s">
        <v>3019</v>
      </c>
      <c r="F128" s="5" t="s">
        <v>3135</v>
      </c>
    </row>
    <row r="129" customFormat="false" ht="15" hidden="false" customHeight="false" outlineLevel="0" collapsed="false">
      <c r="A129" s="12" t="s">
        <v>22</v>
      </c>
      <c r="B129" s="12" t="s">
        <v>3133</v>
      </c>
      <c r="C129" s="12" t="s">
        <v>41</v>
      </c>
      <c r="D129" s="12" t="s">
        <v>3001</v>
      </c>
      <c r="E129" s="12" t="s">
        <v>3002</v>
      </c>
      <c r="F129" s="5" t="s">
        <v>3091</v>
      </c>
    </row>
    <row r="130" customFormat="false" ht="15" hidden="false" customHeight="false" outlineLevel="0" collapsed="false">
      <c r="A130" s="12" t="s">
        <v>22</v>
      </c>
      <c r="B130" s="12" t="s">
        <v>3133</v>
      </c>
      <c r="C130" s="12" t="s">
        <v>859</v>
      </c>
      <c r="D130" s="12" t="s">
        <v>3001</v>
      </c>
      <c r="E130" s="12" t="s">
        <v>3002</v>
      </c>
      <c r="F130" s="5" t="s">
        <v>3136</v>
      </c>
    </row>
    <row r="131" customFormat="false" ht="15" hidden="false" customHeight="false" outlineLevel="0" collapsed="false">
      <c r="A131" s="12" t="s">
        <v>22</v>
      </c>
      <c r="B131" s="12" t="s">
        <v>3133</v>
      </c>
      <c r="C131" s="12" t="s">
        <v>43</v>
      </c>
      <c r="D131" s="12" t="s">
        <v>3001</v>
      </c>
      <c r="E131" s="12" t="s">
        <v>3002</v>
      </c>
      <c r="F131" s="5" t="s">
        <v>3137</v>
      </c>
    </row>
    <row r="132" customFormat="false" ht="15" hidden="false" customHeight="false" outlineLevel="0" collapsed="false">
      <c r="A132" s="12" t="s">
        <v>22</v>
      </c>
      <c r="B132" s="12" t="s">
        <v>3133</v>
      </c>
      <c r="C132" s="12" t="s">
        <v>1013</v>
      </c>
      <c r="D132" s="12" t="s">
        <v>3001</v>
      </c>
      <c r="E132" s="12" t="s">
        <v>3002</v>
      </c>
      <c r="F132" s="5" t="s">
        <v>3138</v>
      </c>
    </row>
    <row r="133" customFormat="false" ht="15" hidden="false" customHeight="false" outlineLevel="0" collapsed="false">
      <c r="A133" s="12" t="s">
        <v>22</v>
      </c>
      <c r="B133" s="12" t="s">
        <v>3133</v>
      </c>
      <c r="C133" s="12" t="s">
        <v>1014</v>
      </c>
      <c r="D133" s="12" t="s">
        <v>3001</v>
      </c>
      <c r="E133" s="12" t="s">
        <v>3002</v>
      </c>
      <c r="F133" s="5" t="s">
        <v>3139</v>
      </c>
    </row>
    <row r="134" customFormat="false" ht="15" hidden="false" customHeight="false" outlineLevel="0" collapsed="false">
      <c r="A134" s="12" t="s">
        <v>22</v>
      </c>
      <c r="B134" s="12" t="s">
        <v>3133</v>
      </c>
      <c r="C134" s="12" t="s">
        <v>1015</v>
      </c>
      <c r="D134" s="12" t="s">
        <v>3001</v>
      </c>
      <c r="E134" s="12" t="s">
        <v>3034</v>
      </c>
      <c r="F134" s="5" t="s">
        <v>3140</v>
      </c>
    </row>
    <row r="135" customFormat="false" ht="15" hidden="false" customHeight="false" outlineLevel="0" collapsed="false">
      <c r="A135" s="12" t="s">
        <v>22</v>
      </c>
      <c r="B135" s="12" t="s">
        <v>3133</v>
      </c>
      <c r="C135" s="12" t="s">
        <v>502</v>
      </c>
      <c r="D135" s="12" t="s">
        <v>3001</v>
      </c>
      <c r="E135" s="12" t="s">
        <v>3002</v>
      </c>
      <c r="F135" s="5" t="s">
        <v>3141</v>
      </c>
    </row>
    <row r="136" customFormat="false" ht="15" hidden="false" customHeight="false" outlineLevel="0" collapsed="false">
      <c r="A136" s="12" t="s">
        <v>22</v>
      </c>
      <c r="B136" s="12" t="s">
        <v>3133</v>
      </c>
      <c r="C136" s="12" t="s">
        <v>1016</v>
      </c>
      <c r="D136" s="12" t="s">
        <v>3001</v>
      </c>
      <c r="E136" s="12" t="s">
        <v>2988</v>
      </c>
      <c r="F136" s="5" t="s">
        <v>3142</v>
      </c>
    </row>
    <row r="137" customFormat="false" ht="15" hidden="false" customHeight="false" outlineLevel="0" collapsed="false">
      <c r="A137" s="12" t="s">
        <v>22</v>
      </c>
      <c r="B137" s="12" t="s">
        <v>3133</v>
      </c>
      <c r="C137" s="12" t="s">
        <v>1017</v>
      </c>
      <c r="D137" s="12" t="s">
        <v>3028</v>
      </c>
      <c r="E137" s="12" t="s">
        <v>3002</v>
      </c>
      <c r="F137" s="5" t="s">
        <v>3143</v>
      </c>
    </row>
    <row r="138" customFormat="false" ht="15" hidden="false" customHeight="false" outlineLevel="0" collapsed="false">
      <c r="A138" s="12" t="s">
        <v>22</v>
      </c>
      <c r="B138" s="12" t="s">
        <v>3133</v>
      </c>
      <c r="C138" s="12" t="s">
        <v>124</v>
      </c>
      <c r="D138" s="12" t="s">
        <v>3006</v>
      </c>
      <c r="E138" s="12" t="s">
        <v>3002</v>
      </c>
      <c r="F138" s="5" t="s">
        <v>3144</v>
      </c>
    </row>
    <row r="139" customFormat="false" ht="15" hidden="false" customHeight="false" outlineLevel="0" collapsed="false">
      <c r="A139" s="12" t="s">
        <v>22</v>
      </c>
      <c r="B139" s="12" t="s">
        <v>3133</v>
      </c>
      <c r="C139" s="12" t="s">
        <v>144</v>
      </c>
      <c r="D139" s="12" t="s">
        <v>3028</v>
      </c>
      <c r="E139" s="12" t="s">
        <v>2988</v>
      </c>
      <c r="F139" s="5" t="s">
        <v>3145</v>
      </c>
    </row>
    <row r="140" customFormat="false" ht="15" hidden="false" customHeight="false" outlineLevel="0" collapsed="false">
      <c r="A140" s="12" t="s">
        <v>24</v>
      </c>
      <c r="B140" s="12" t="s">
        <v>3146</v>
      </c>
      <c r="C140" s="12" t="s">
        <v>47</v>
      </c>
      <c r="D140" s="12" t="s">
        <v>3001</v>
      </c>
      <c r="E140" s="12" t="s">
        <v>3002</v>
      </c>
      <c r="F140" s="5" t="s">
        <v>3123</v>
      </c>
    </row>
    <row r="141" customFormat="false" ht="15" hidden="false" customHeight="false" outlineLevel="0" collapsed="false">
      <c r="A141" s="12" t="s">
        <v>24</v>
      </c>
      <c r="B141" s="12" t="s">
        <v>3146</v>
      </c>
      <c r="C141" s="12" t="s">
        <v>41</v>
      </c>
      <c r="D141" s="12" t="s">
        <v>3001</v>
      </c>
      <c r="E141" s="12" t="s">
        <v>3002</v>
      </c>
      <c r="F141" s="5" t="s">
        <v>3091</v>
      </c>
    </row>
    <row r="142" customFormat="false" ht="15" hidden="false" customHeight="false" outlineLevel="0" collapsed="false">
      <c r="A142" s="12" t="s">
        <v>24</v>
      </c>
      <c r="B142" s="12" t="s">
        <v>3146</v>
      </c>
      <c r="C142" s="12" t="s">
        <v>2435</v>
      </c>
      <c r="D142" s="12" t="s">
        <v>3001</v>
      </c>
      <c r="E142" s="12" t="s">
        <v>3002</v>
      </c>
      <c r="F142" s="5" t="s">
        <v>3147</v>
      </c>
    </row>
    <row r="143" customFormat="false" ht="15" hidden="false" customHeight="false" outlineLevel="0" collapsed="false">
      <c r="A143" s="12" t="s">
        <v>24</v>
      </c>
      <c r="B143" s="12" t="s">
        <v>3146</v>
      </c>
      <c r="C143" s="12" t="s">
        <v>154</v>
      </c>
      <c r="D143" s="12" t="s">
        <v>3001</v>
      </c>
      <c r="E143" s="12" t="s">
        <v>3002</v>
      </c>
      <c r="F143" s="5" t="s">
        <v>3148</v>
      </c>
    </row>
    <row r="144" customFormat="false" ht="15" hidden="false" customHeight="false" outlineLevel="0" collapsed="false">
      <c r="A144" s="12" t="s">
        <v>24</v>
      </c>
      <c r="B144" s="12" t="s">
        <v>3146</v>
      </c>
      <c r="C144" s="12" t="s">
        <v>2436</v>
      </c>
      <c r="D144" s="12" t="s">
        <v>3001</v>
      </c>
      <c r="E144" s="12" t="s">
        <v>3019</v>
      </c>
      <c r="F144" s="5" t="s">
        <v>3149</v>
      </c>
    </row>
    <row r="145" customFormat="false" ht="15" hidden="false" customHeight="false" outlineLevel="0" collapsed="false">
      <c r="A145" s="12" t="s">
        <v>24</v>
      </c>
      <c r="B145" s="12" t="s">
        <v>3146</v>
      </c>
      <c r="C145" s="12" t="s">
        <v>2437</v>
      </c>
      <c r="D145" s="12" t="s">
        <v>3001</v>
      </c>
      <c r="E145" s="12" t="s">
        <v>3019</v>
      </c>
      <c r="F145" s="5" t="s">
        <v>3150</v>
      </c>
    </row>
    <row r="146" customFormat="false" ht="15" hidden="false" customHeight="false" outlineLevel="0" collapsed="false">
      <c r="A146" s="12" t="s">
        <v>24</v>
      </c>
      <c r="B146" s="12" t="s">
        <v>3146</v>
      </c>
      <c r="C146" s="12" t="s">
        <v>2438</v>
      </c>
      <c r="D146" s="12" t="s">
        <v>3001</v>
      </c>
      <c r="E146" s="12" t="s">
        <v>3019</v>
      </c>
      <c r="F146" s="5" t="s">
        <v>3151</v>
      </c>
    </row>
    <row r="147" customFormat="false" ht="15" hidden="false" customHeight="false" outlineLevel="0" collapsed="false">
      <c r="A147" s="12" t="s">
        <v>24</v>
      </c>
      <c r="B147" s="12" t="s">
        <v>3146</v>
      </c>
      <c r="C147" s="12" t="s">
        <v>2439</v>
      </c>
      <c r="D147" s="12" t="s">
        <v>3001</v>
      </c>
      <c r="E147" s="12" t="s">
        <v>3002</v>
      </c>
      <c r="F147" s="5" t="s">
        <v>3152</v>
      </c>
    </row>
    <row r="148" customFormat="false" ht="15" hidden="false" customHeight="false" outlineLevel="0" collapsed="false">
      <c r="A148" s="12" t="s">
        <v>24</v>
      </c>
      <c r="B148" s="12" t="s">
        <v>3146</v>
      </c>
      <c r="C148" s="12" t="s">
        <v>2440</v>
      </c>
      <c r="D148" s="12" t="s">
        <v>3001</v>
      </c>
      <c r="E148" s="12" t="s">
        <v>3024</v>
      </c>
      <c r="F148" s="5" t="s">
        <v>3153</v>
      </c>
    </row>
    <row r="149" customFormat="false" ht="15" hidden="false" customHeight="false" outlineLevel="0" collapsed="false">
      <c r="A149" s="12" t="s">
        <v>24</v>
      </c>
      <c r="B149" s="12" t="s">
        <v>3146</v>
      </c>
      <c r="C149" s="12" t="s">
        <v>2441</v>
      </c>
      <c r="D149" s="12" t="s">
        <v>3028</v>
      </c>
      <c r="E149" s="12" t="s">
        <v>2988</v>
      </c>
      <c r="F149" s="5" t="s">
        <v>3154</v>
      </c>
    </row>
    <row r="150" customFormat="false" ht="15" hidden="false" customHeight="false" outlineLevel="0" collapsed="false">
      <c r="A150" s="12" t="s">
        <v>24</v>
      </c>
      <c r="B150" s="12" t="s">
        <v>3146</v>
      </c>
      <c r="C150" s="12" t="s">
        <v>2442</v>
      </c>
      <c r="D150" s="12" t="s">
        <v>3028</v>
      </c>
      <c r="E150" s="12" t="s">
        <v>3050</v>
      </c>
      <c r="F150" s="5" t="s">
        <v>3155</v>
      </c>
    </row>
    <row r="151" customFormat="false" ht="15" hidden="false" customHeight="false" outlineLevel="0" collapsed="false">
      <c r="A151" s="12" t="s">
        <v>24</v>
      </c>
      <c r="B151" s="12" t="s">
        <v>3146</v>
      </c>
      <c r="C151" s="12" t="s">
        <v>153</v>
      </c>
      <c r="D151" s="12" t="s">
        <v>3028</v>
      </c>
      <c r="E151" s="12" t="s">
        <v>3002</v>
      </c>
      <c r="F151" s="5" t="s">
        <v>3156</v>
      </c>
    </row>
    <row r="152" customFormat="false" ht="15" hidden="false" customHeight="false" outlineLevel="0" collapsed="false">
      <c r="A152" s="12" t="s">
        <v>24</v>
      </c>
      <c r="B152" s="12" t="s">
        <v>3146</v>
      </c>
      <c r="C152" s="12" t="s">
        <v>145</v>
      </c>
      <c r="D152" s="12" t="s">
        <v>3028</v>
      </c>
      <c r="E152" s="12" t="s">
        <v>3002</v>
      </c>
      <c r="F152" s="5" t="s">
        <v>3157</v>
      </c>
    </row>
    <row r="153" customFormat="false" ht="15" hidden="false" customHeight="false" outlineLevel="0" collapsed="false">
      <c r="A153" s="12" t="s">
        <v>26</v>
      </c>
      <c r="B153" s="12" t="s">
        <v>3158</v>
      </c>
      <c r="C153" s="12" t="s">
        <v>2568</v>
      </c>
      <c r="D153" s="12" t="s">
        <v>3001</v>
      </c>
      <c r="E153" s="12" t="s">
        <v>3002</v>
      </c>
      <c r="F153" s="5" t="s">
        <v>3123</v>
      </c>
    </row>
    <row r="154" customFormat="false" ht="15" hidden="false" customHeight="false" outlineLevel="0" collapsed="false">
      <c r="A154" s="12" t="s">
        <v>26</v>
      </c>
      <c r="B154" s="12" t="s">
        <v>3158</v>
      </c>
      <c r="C154" s="12" t="s">
        <v>41</v>
      </c>
      <c r="D154" s="12" t="s">
        <v>3001</v>
      </c>
      <c r="E154" s="12" t="s">
        <v>3002</v>
      </c>
      <c r="F154" s="5" t="s">
        <v>3091</v>
      </c>
    </row>
    <row r="155" customFormat="false" ht="15" hidden="false" customHeight="false" outlineLevel="0" collapsed="false">
      <c r="A155" s="12" t="s">
        <v>26</v>
      </c>
      <c r="B155" s="12" t="s">
        <v>3158</v>
      </c>
      <c r="C155" s="12" t="s">
        <v>47</v>
      </c>
      <c r="D155" s="12" t="s">
        <v>3001</v>
      </c>
      <c r="E155" s="12" t="s">
        <v>3002</v>
      </c>
      <c r="F155" s="5" t="s">
        <v>3159</v>
      </c>
    </row>
    <row r="156" customFormat="false" ht="15" hidden="false" customHeight="false" outlineLevel="0" collapsed="false">
      <c r="A156" s="12" t="s">
        <v>26</v>
      </c>
      <c r="B156" s="12" t="s">
        <v>3158</v>
      </c>
      <c r="C156" s="12" t="s">
        <v>2569</v>
      </c>
      <c r="D156" s="12" t="s">
        <v>3001</v>
      </c>
      <c r="E156" s="12" t="s">
        <v>3019</v>
      </c>
      <c r="F156" s="5" t="s">
        <v>3160</v>
      </c>
    </row>
    <row r="157" customFormat="false" ht="15" hidden="false" customHeight="false" outlineLevel="0" collapsed="false">
      <c r="A157" s="12" t="s">
        <v>26</v>
      </c>
      <c r="B157" s="12" t="s">
        <v>3158</v>
      </c>
      <c r="C157" s="12" t="s">
        <v>2570</v>
      </c>
      <c r="D157" s="12" t="s">
        <v>3001</v>
      </c>
      <c r="E157" s="12" t="s">
        <v>3002</v>
      </c>
      <c r="F157" s="5" t="s">
        <v>3161</v>
      </c>
    </row>
    <row r="158" customFormat="false" ht="15" hidden="false" customHeight="false" outlineLevel="0" collapsed="false">
      <c r="A158" s="12" t="s">
        <v>26</v>
      </c>
      <c r="B158" s="12" t="s">
        <v>3158</v>
      </c>
      <c r="C158" s="12" t="s">
        <v>1016</v>
      </c>
      <c r="D158" s="12" t="s">
        <v>3001</v>
      </c>
      <c r="E158" s="12" t="s">
        <v>2988</v>
      </c>
      <c r="F158" s="5" t="s">
        <v>3162</v>
      </c>
    </row>
    <row r="159" customFormat="false" ht="15" hidden="false" customHeight="false" outlineLevel="0" collapsed="false">
      <c r="A159" s="12" t="s">
        <v>26</v>
      </c>
      <c r="B159" s="12" t="s">
        <v>3158</v>
      </c>
      <c r="C159" s="12" t="s">
        <v>2571</v>
      </c>
      <c r="D159" s="12" t="s">
        <v>3001</v>
      </c>
      <c r="E159" s="12" t="s">
        <v>3019</v>
      </c>
      <c r="F159" s="5" t="s">
        <v>3163</v>
      </c>
    </row>
    <row r="160" customFormat="false" ht="15" hidden="false" customHeight="false" outlineLevel="0" collapsed="false">
      <c r="A160" s="12" t="s">
        <v>26</v>
      </c>
      <c r="B160" s="12" t="s">
        <v>3158</v>
      </c>
      <c r="C160" s="12" t="s">
        <v>148</v>
      </c>
      <c r="D160" s="12" t="s">
        <v>3006</v>
      </c>
      <c r="E160" s="12" t="s">
        <v>3002</v>
      </c>
      <c r="F160" s="5" t="s">
        <v>3164</v>
      </c>
    </row>
    <row r="161" customFormat="false" ht="15" hidden="false" customHeight="false" outlineLevel="0" collapsed="false">
      <c r="A161" s="12" t="s">
        <v>26</v>
      </c>
      <c r="B161" s="12" t="s">
        <v>3158</v>
      </c>
      <c r="C161" s="12" t="s">
        <v>2572</v>
      </c>
      <c r="D161" s="12" t="s">
        <v>3006</v>
      </c>
      <c r="E161" s="12" t="s">
        <v>3017</v>
      </c>
      <c r="F161" s="5" t="s">
        <v>3165</v>
      </c>
    </row>
    <row r="162" customFormat="false" ht="15" hidden="false" customHeight="false" outlineLevel="0" collapsed="false">
      <c r="A162" s="12" t="s">
        <v>26</v>
      </c>
      <c r="B162" s="12" t="s">
        <v>3158</v>
      </c>
      <c r="C162" s="12" t="s">
        <v>2573</v>
      </c>
      <c r="D162" s="12" t="s">
        <v>3028</v>
      </c>
      <c r="E162" s="12" t="s">
        <v>3019</v>
      </c>
      <c r="F162" s="5" t="s">
        <v>3166</v>
      </c>
    </row>
    <row r="163" customFormat="false" ht="15" hidden="false" customHeight="false" outlineLevel="0" collapsed="false">
      <c r="A163" s="12" t="s">
        <v>26</v>
      </c>
      <c r="B163" s="12" t="s">
        <v>3158</v>
      </c>
      <c r="C163" s="12" t="s">
        <v>153</v>
      </c>
      <c r="D163" s="12" t="s">
        <v>3028</v>
      </c>
      <c r="E163" s="12" t="s">
        <v>3002</v>
      </c>
      <c r="F163" s="5" t="s">
        <v>3167</v>
      </c>
    </row>
    <row r="164" customFormat="false" ht="15" hidden="false" customHeight="false" outlineLevel="0" collapsed="false">
      <c r="A164" s="12" t="s">
        <v>26</v>
      </c>
      <c r="B164" s="12" t="s">
        <v>3158</v>
      </c>
      <c r="C164" s="12" t="s">
        <v>2574</v>
      </c>
      <c r="D164" s="12" t="s">
        <v>3028</v>
      </c>
      <c r="E164" s="12" t="s">
        <v>3017</v>
      </c>
      <c r="F164" s="5" t="s">
        <v>3168</v>
      </c>
    </row>
    <row r="165" customFormat="false" ht="15" hidden="false" customHeight="false" outlineLevel="0" collapsed="false">
      <c r="A165" s="12" t="s">
        <v>26</v>
      </c>
      <c r="B165" s="12" t="s">
        <v>3158</v>
      </c>
      <c r="C165" s="12" t="s">
        <v>2575</v>
      </c>
      <c r="D165" s="12" t="s">
        <v>3028</v>
      </c>
      <c r="E165" s="12" t="s">
        <v>3017</v>
      </c>
      <c r="F165" s="5" t="s">
        <v>3169</v>
      </c>
    </row>
    <row r="166" customFormat="false" ht="15" hidden="false" customHeight="false" outlineLevel="0" collapsed="false">
      <c r="A166" s="12" t="s">
        <v>26</v>
      </c>
      <c r="B166" s="12" t="s">
        <v>3158</v>
      </c>
      <c r="C166" s="12" t="s">
        <v>2576</v>
      </c>
      <c r="D166" s="12" t="s">
        <v>3028</v>
      </c>
      <c r="E166" s="12" t="s">
        <v>3002</v>
      </c>
      <c r="F166" s="5" t="s">
        <v>3170</v>
      </c>
    </row>
    <row r="167" customFormat="false" ht="15" hidden="false" customHeight="false" outlineLevel="0" collapsed="false">
      <c r="A167" s="12" t="s">
        <v>28</v>
      </c>
      <c r="B167" s="12" t="s">
        <v>3171</v>
      </c>
      <c r="C167" s="12" t="s">
        <v>2707</v>
      </c>
      <c r="D167" s="12" t="s">
        <v>3001</v>
      </c>
      <c r="E167" s="12" t="s">
        <v>3002</v>
      </c>
      <c r="F167" s="5" t="s">
        <v>3123</v>
      </c>
    </row>
    <row r="168" customFormat="false" ht="15" hidden="false" customHeight="false" outlineLevel="0" collapsed="false">
      <c r="A168" s="12" t="s">
        <v>28</v>
      </c>
      <c r="B168" s="12" t="s">
        <v>3171</v>
      </c>
      <c r="C168" s="12" t="s">
        <v>41</v>
      </c>
      <c r="D168" s="12" t="s">
        <v>3001</v>
      </c>
      <c r="E168" s="12" t="s">
        <v>3002</v>
      </c>
      <c r="F168" s="5" t="s">
        <v>3091</v>
      </c>
    </row>
    <row r="169" customFormat="false" ht="15" hidden="false" customHeight="false" outlineLevel="0" collapsed="false">
      <c r="A169" s="12" t="s">
        <v>28</v>
      </c>
      <c r="B169" s="12" t="s">
        <v>3171</v>
      </c>
      <c r="C169" s="12" t="s">
        <v>2708</v>
      </c>
      <c r="D169" s="12" t="s">
        <v>3001</v>
      </c>
      <c r="E169" s="12" t="s">
        <v>3002</v>
      </c>
      <c r="F169" s="5" t="s">
        <v>3172</v>
      </c>
    </row>
    <row r="170" customFormat="false" ht="15" hidden="false" customHeight="false" outlineLevel="0" collapsed="false">
      <c r="A170" s="12" t="s">
        <v>28</v>
      </c>
      <c r="B170" s="12" t="s">
        <v>3171</v>
      </c>
      <c r="C170" s="12" t="s">
        <v>2709</v>
      </c>
      <c r="D170" s="12" t="s">
        <v>3001</v>
      </c>
      <c r="E170" s="12" t="s">
        <v>3002</v>
      </c>
      <c r="F170" s="5" t="s">
        <v>3173</v>
      </c>
    </row>
    <row r="171" customFormat="false" ht="15" hidden="false" customHeight="false" outlineLevel="0" collapsed="false">
      <c r="A171" s="12" t="s">
        <v>28</v>
      </c>
      <c r="B171" s="12" t="s">
        <v>3171</v>
      </c>
      <c r="C171" s="12" t="s">
        <v>2710</v>
      </c>
      <c r="D171" s="12" t="s">
        <v>3001</v>
      </c>
      <c r="E171" s="12" t="s">
        <v>3002</v>
      </c>
      <c r="F171" s="5" t="s">
        <v>3174</v>
      </c>
    </row>
    <row r="172" customFormat="false" ht="15" hidden="false" customHeight="false" outlineLevel="0" collapsed="false">
      <c r="A172" s="12" t="s">
        <v>28</v>
      </c>
      <c r="B172" s="12" t="s">
        <v>3171</v>
      </c>
      <c r="C172" s="12" t="s">
        <v>2711</v>
      </c>
      <c r="D172" s="12" t="s">
        <v>3001</v>
      </c>
      <c r="E172" s="12" t="s">
        <v>3017</v>
      </c>
      <c r="F172" s="5" t="s">
        <v>3175</v>
      </c>
    </row>
    <row r="173" customFormat="false" ht="15" hidden="false" customHeight="false" outlineLevel="0" collapsed="false">
      <c r="A173" s="12" t="s">
        <v>28</v>
      </c>
      <c r="B173" s="12" t="s">
        <v>3171</v>
      </c>
      <c r="C173" s="12" t="s">
        <v>2712</v>
      </c>
      <c r="D173" s="12" t="s">
        <v>3001</v>
      </c>
      <c r="E173" s="12" t="s">
        <v>3017</v>
      </c>
      <c r="F173" s="5" t="s">
        <v>3176</v>
      </c>
    </row>
    <row r="174" customFormat="false" ht="15" hidden="false" customHeight="false" outlineLevel="0" collapsed="false">
      <c r="A174" s="12" t="s">
        <v>28</v>
      </c>
      <c r="B174" s="12" t="s">
        <v>3171</v>
      </c>
      <c r="C174" s="12" t="s">
        <v>2713</v>
      </c>
      <c r="D174" s="12" t="s">
        <v>3001</v>
      </c>
      <c r="E174" s="12" t="s">
        <v>2988</v>
      </c>
      <c r="F174" s="5" t="s">
        <v>3177</v>
      </c>
    </row>
    <row r="175" customFormat="false" ht="15" hidden="false" customHeight="false" outlineLevel="0" collapsed="false">
      <c r="A175" s="12" t="s">
        <v>28</v>
      </c>
      <c r="B175" s="12" t="s">
        <v>3171</v>
      </c>
      <c r="C175" s="12" t="s">
        <v>2714</v>
      </c>
      <c r="D175" s="12" t="s">
        <v>3001</v>
      </c>
      <c r="E175" s="12" t="s">
        <v>3002</v>
      </c>
      <c r="F175" s="5" t="s">
        <v>3093</v>
      </c>
    </row>
    <row r="176" customFormat="false" ht="15" hidden="false" customHeight="false" outlineLevel="0" collapsed="false">
      <c r="A176" s="12" t="s">
        <v>28</v>
      </c>
      <c r="B176" s="12" t="s">
        <v>3171</v>
      </c>
      <c r="C176" s="12" t="s">
        <v>153</v>
      </c>
      <c r="D176" s="12" t="s">
        <v>3001</v>
      </c>
      <c r="E176" s="12" t="s">
        <v>3002</v>
      </c>
      <c r="F176" s="5" t="s">
        <v>3178</v>
      </c>
    </row>
    <row r="177" customFormat="false" ht="15" hidden="false" customHeight="false" outlineLevel="0" collapsed="false">
      <c r="A177" s="12" t="s">
        <v>28</v>
      </c>
      <c r="B177" s="12" t="s">
        <v>3171</v>
      </c>
      <c r="C177" s="12" t="s">
        <v>2715</v>
      </c>
      <c r="D177" s="12" t="s">
        <v>3001</v>
      </c>
      <c r="E177" s="12" t="s">
        <v>3019</v>
      </c>
      <c r="F177" s="5" t="s">
        <v>3179</v>
      </c>
    </row>
    <row r="178" customFormat="false" ht="15" hidden="false" customHeight="false" outlineLevel="0" collapsed="false">
      <c r="A178" s="12" t="s">
        <v>28</v>
      </c>
      <c r="B178" s="12" t="s">
        <v>3171</v>
      </c>
      <c r="C178" s="12" t="s">
        <v>2716</v>
      </c>
      <c r="D178" s="12" t="s">
        <v>3001</v>
      </c>
      <c r="E178" s="12" t="s">
        <v>3019</v>
      </c>
      <c r="F178" s="5" t="s">
        <v>3180</v>
      </c>
    </row>
    <row r="179" customFormat="false" ht="15" hidden="false" customHeight="false" outlineLevel="0" collapsed="false">
      <c r="A179" s="12" t="s">
        <v>28</v>
      </c>
      <c r="B179" s="12" t="s">
        <v>3171</v>
      </c>
      <c r="C179" s="12" t="s">
        <v>2717</v>
      </c>
      <c r="D179" s="12" t="s">
        <v>3001</v>
      </c>
      <c r="E179" s="12" t="s">
        <v>3002</v>
      </c>
      <c r="F179" s="5" t="s">
        <v>3181</v>
      </c>
    </row>
    <row r="180" customFormat="false" ht="15" hidden="false" customHeight="false" outlineLevel="0" collapsed="false">
      <c r="A180" s="12" t="s">
        <v>28</v>
      </c>
      <c r="B180" s="12" t="s">
        <v>3171</v>
      </c>
      <c r="C180" s="12" t="s">
        <v>2718</v>
      </c>
      <c r="D180" s="12" t="s">
        <v>3006</v>
      </c>
      <c r="E180" s="12" t="s">
        <v>3002</v>
      </c>
      <c r="F180" s="5" t="s">
        <v>3092</v>
      </c>
    </row>
    <row r="181" customFormat="false" ht="15" hidden="false" customHeight="false" outlineLevel="0" collapsed="false">
      <c r="A181" s="12" t="s">
        <v>28</v>
      </c>
      <c r="B181" s="12" t="s">
        <v>3171</v>
      </c>
      <c r="C181" s="12" t="s">
        <v>2719</v>
      </c>
      <c r="D181" s="12" t="s">
        <v>3028</v>
      </c>
      <c r="E181" s="12" t="s">
        <v>3017</v>
      </c>
      <c r="F181" s="5" t="s">
        <v>3182</v>
      </c>
    </row>
    <row r="182" customFormat="false" ht="15" hidden="false" customHeight="false" outlineLevel="0" collapsed="false">
      <c r="A182" s="12" t="s">
        <v>28</v>
      </c>
      <c r="B182" s="12" t="s">
        <v>3171</v>
      </c>
      <c r="C182" s="12" t="s">
        <v>2720</v>
      </c>
      <c r="D182" s="12" t="s">
        <v>3028</v>
      </c>
      <c r="E182" s="12" t="s">
        <v>3002</v>
      </c>
      <c r="F182" s="5" t="s">
        <v>3183</v>
      </c>
    </row>
    <row r="183" customFormat="false" ht="15" hidden="false" customHeight="false" outlineLevel="0" collapsed="false">
      <c r="A183" s="12" t="s">
        <v>28</v>
      </c>
      <c r="B183" s="12" t="s">
        <v>3171</v>
      </c>
      <c r="C183" s="12" t="s">
        <v>2721</v>
      </c>
      <c r="D183" s="12" t="s">
        <v>3028</v>
      </c>
      <c r="E183" s="12" t="s">
        <v>2988</v>
      </c>
      <c r="F183" s="5" t="s">
        <v>3184</v>
      </c>
    </row>
    <row r="184" customFormat="false" ht="15" hidden="false" customHeight="false" outlineLevel="0" collapsed="false">
      <c r="A184" s="12" t="s">
        <v>28</v>
      </c>
      <c r="B184" s="12" t="s">
        <v>3171</v>
      </c>
      <c r="C184" s="12" t="s">
        <v>2722</v>
      </c>
      <c r="D184" s="12" t="s">
        <v>3028</v>
      </c>
      <c r="E184" s="12" t="s">
        <v>3017</v>
      </c>
      <c r="F184" s="5" t="s">
        <v>3185</v>
      </c>
    </row>
    <row r="185" customFormat="false" ht="15" hidden="false" customHeight="false" outlineLevel="0" collapsed="false">
      <c r="A185" s="12" t="s">
        <v>28</v>
      </c>
      <c r="B185" s="12" t="s">
        <v>3171</v>
      </c>
      <c r="C185" s="12" t="s">
        <v>2723</v>
      </c>
      <c r="D185" s="12" t="s">
        <v>3028</v>
      </c>
      <c r="E185" s="12" t="s">
        <v>3002</v>
      </c>
      <c r="F185" s="5" t="s">
        <v>3186</v>
      </c>
    </row>
    <row r="186" customFormat="false" ht="15" hidden="false" customHeight="false" outlineLevel="0" collapsed="false">
      <c r="A186" s="12" t="s">
        <v>30</v>
      </c>
      <c r="B186" s="12" t="s">
        <v>3187</v>
      </c>
      <c r="C186" s="12" t="s">
        <v>2835</v>
      </c>
      <c r="D186" s="12" t="s">
        <v>3001</v>
      </c>
      <c r="E186" s="12" t="s">
        <v>3002</v>
      </c>
      <c r="F186" s="5" t="s">
        <v>3123</v>
      </c>
    </row>
    <row r="187" customFormat="false" ht="15" hidden="false" customHeight="false" outlineLevel="0" collapsed="false">
      <c r="A187" s="12" t="s">
        <v>30</v>
      </c>
      <c r="B187" s="12" t="s">
        <v>3187</v>
      </c>
      <c r="C187" s="12" t="s">
        <v>41</v>
      </c>
      <c r="D187" s="12" t="s">
        <v>3001</v>
      </c>
      <c r="E187" s="12" t="s">
        <v>3002</v>
      </c>
      <c r="F187" s="5" t="s">
        <v>3091</v>
      </c>
    </row>
    <row r="188" customFormat="false" ht="15" hidden="false" customHeight="false" outlineLevel="0" collapsed="false">
      <c r="A188" s="12" t="s">
        <v>30</v>
      </c>
      <c r="B188" s="12" t="s">
        <v>3187</v>
      </c>
      <c r="C188" s="12" t="s">
        <v>2710</v>
      </c>
      <c r="D188" s="12" t="s">
        <v>3001</v>
      </c>
      <c r="E188" s="12" t="s">
        <v>3002</v>
      </c>
      <c r="F188" s="5" t="s">
        <v>3188</v>
      </c>
    </row>
    <row r="189" customFormat="false" ht="15" hidden="false" customHeight="false" outlineLevel="0" collapsed="false">
      <c r="A189" s="12" t="s">
        <v>30</v>
      </c>
      <c r="B189" s="12" t="s">
        <v>3187</v>
      </c>
      <c r="C189" s="12" t="s">
        <v>2836</v>
      </c>
      <c r="D189" s="12" t="s">
        <v>3001</v>
      </c>
      <c r="E189" s="12" t="s">
        <v>3002</v>
      </c>
      <c r="F189" s="5" t="s">
        <v>3189</v>
      </c>
    </row>
    <row r="190" customFormat="false" ht="15" hidden="false" customHeight="false" outlineLevel="0" collapsed="false">
      <c r="A190" s="12" t="s">
        <v>30</v>
      </c>
      <c r="B190" s="12" t="s">
        <v>3187</v>
      </c>
      <c r="C190" s="12" t="s">
        <v>2715</v>
      </c>
      <c r="D190" s="12" t="s">
        <v>3001</v>
      </c>
      <c r="E190" s="12" t="s">
        <v>3019</v>
      </c>
      <c r="F190" s="5" t="s">
        <v>3190</v>
      </c>
    </row>
    <row r="191" customFormat="false" ht="15" hidden="false" customHeight="false" outlineLevel="0" collapsed="false">
      <c r="A191" s="12" t="s">
        <v>30</v>
      </c>
      <c r="B191" s="12" t="s">
        <v>3187</v>
      </c>
      <c r="C191" s="12" t="s">
        <v>2837</v>
      </c>
      <c r="D191" s="12" t="s">
        <v>3001</v>
      </c>
      <c r="E191" s="12" t="s">
        <v>3002</v>
      </c>
      <c r="F191" s="5" t="s">
        <v>3093</v>
      </c>
    </row>
    <row r="192" customFormat="false" ht="15" hidden="false" customHeight="false" outlineLevel="0" collapsed="false">
      <c r="A192" s="12" t="s">
        <v>30</v>
      </c>
      <c r="B192" s="12" t="s">
        <v>3187</v>
      </c>
      <c r="C192" s="12" t="s">
        <v>153</v>
      </c>
      <c r="D192" s="12" t="s">
        <v>3001</v>
      </c>
      <c r="E192" s="12" t="s">
        <v>3002</v>
      </c>
      <c r="F192" s="5" t="s">
        <v>3191</v>
      </c>
    </row>
    <row r="193" customFormat="false" ht="15" hidden="false" customHeight="false" outlineLevel="0" collapsed="false">
      <c r="A193" s="12" t="s">
        <v>30</v>
      </c>
      <c r="B193" s="12" t="s">
        <v>3187</v>
      </c>
      <c r="C193" s="12" t="s">
        <v>2838</v>
      </c>
      <c r="D193" s="12" t="s">
        <v>3001</v>
      </c>
      <c r="E193" s="12" t="s">
        <v>2988</v>
      </c>
      <c r="F193" s="5" t="s">
        <v>3192</v>
      </c>
    </row>
    <row r="194" customFormat="false" ht="15" hidden="false" customHeight="false" outlineLevel="0" collapsed="false">
      <c r="A194" s="12" t="s">
        <v>30</v>
      </c>
      <c r="B194" s="12" t="s">
        <v>3187</v>
      </c>
      <c r="C194" s="12" t="s">
        <v>2839</v>
      </c>
      <c r="D194" s="12" t="s">
        <v>3001</v>
      </c>
      <c r="E194" s="12" t="s">
        <v>2988</v>
      </c>
      <c r="F194" s="5" t="s">
        <v>3193</v>
      </c>
    </row>
    <row r="195" customFormat="false" ht="15" hidden="false" customHeight="false" outlineLevel="0" collapsed="false">
      <c r="A195" s="12" t="s">
        <v>30</v>
      </c>
      <c r="B195" s="12" t="s">
        <v>3187</v>
      </c>
      <c r="C195" s="12" t="s">
        <v>2840</v>
      </c>
      <c r="D195" s="12" t="s">
        <v>3001</v>
      </c>
      <c r="E195" s="12" t="s">
        <v>3050</v>
      </c>
      <c r="F195" s="5" t="s">
        <v>3194</v>
      </c>
    </row>
    <row r="196" customFormat="false" ht="15" hidden="false" customHeight="false" outlineLevel="0" collapsed="false">
      <c r="A196" s="12" t="s">
        <v>30</v>
      </c>
      <c r="B196" s="12" t="s">
        <v>3187</v>
      </c>
      <c r="C196" s="12" t="s">
        <v>2841</v>
      </c>
      <c r="D196" s="12" t="s">
        <v>3001</v>
      </c>
      <c r="E196" s="12" t="s">
        <v>3019</v>
      </c>
      <c r="F196" s="5" t="s">
        <v>3195</v>
      </c>
    </row>
    <row r="197" customFormat="false" ht="15" hidden="false" customHeight="false" outlineLevel="0" collapsed="false">
      <c r="A197" s="12" t="s">
        <v>30</v>
      </c>
      <c r="B197" s="12" t="s">
        <v>3187</v>
      </c>
      <c r="C197" s="12" t="s">
        <v>2842</v>
      </c>
      <c r="D197" s="12" t="s">
        <v>3001</v>
      </c>
      <c r="E197" s="12" t="s">
        <v>3002</v>
      </c>
      <c r="F197" s="5" t="s">
        <v>3196</v>
      </c>
    </row>
    <row r="198" customFormat="false" ht="15" hidden="false" customHeight="false" outlineLevel="0" collapsed="false">
      <c r="A198" s="12" t="s">
        <v>30</v>
      </c>
      <c r="B198" s="12" t="s">
        <v>3187</v>
      </c>
      <c r="C198" s="12" t="s">
        <v>2843</v>
      </c>
      <c r="D198" s="12" t="s">
        <v>3006</v>
      </c>
      <c r="E198" s="12" t="s">
        <v>3002</v>
      </c>
      <c r="F198" s="5" t="s">
        <v>3092</v>
      </c>
    </row>
    <row r="199" customFormat="false" ht="15" hidden="false" customHeight="false" outlineLevel="0" collapsed="false">
      <c r="A199" s="12" t="s">
        <v>30</v>
      </c>
      <c r="B199" s="12" t="s">
        <v>3187</v>
      </c>
      <c r="C199" s="12" t="s">
        <v>2844</v>
      </c>
      <c r="D199" s="12" t="s">
        <v>3028</v>
      </c>
      <c r="E199" s="12" t="s">
        <v>2988</v>
      </c>
      <c r="F199" s="5" t="s">
        <v>3197</v>
      </c>
    </row>
    <row r="200" customFormat="false" ht="15" hidden="false" customHeight="false" outlineLevel="0" collapsed="false">
      <c r="A200" s="12" t="s">
        <v>30</v>
      </c>
      <c r="B200" s="12" t="s">
        <v>3187</v>
      </c>
      <c r="C200" s="12" t="s">
        <v>2845</v>
      </c>
      <c r="D200" s="12" t="s">
        <v>3028</v>
      </c>
      <c r="E200" s="12" t="s">
        <v>3002</v>
      </c>
      <c r="F200" s="5" t="s">
        <v>3198</v>
      </c>
    </row>
    <row r="201" customFormat="false" ht="15" hidden="false" customHeight="false" outlineLevel="0" collapsed="false">
      <c r="A201" s="12" t="s">
        <v>30</v>
      </c>
      <c r="B201" s="12" t="s">
        <v>3187</v>
      </c>
      <c r="C201" s="12" t="s">
        <v>2846</v>
      </c>
      <c r="D201" s="12" t="s">
        <v>3028</v>
      </c>
      <c r="E201" s="12" t="s">
        <v>3002</v>
      </c>
      <c r="F201" s="5" t="s">
        <v>3199</v>
      </c>
    </row>
    <row r="202" customFormat="false" ht="15" hidden="false" customHeight="false" outlineLevel="0" collapsed="false">
      <c r="A202" s="12" t="s">
        <v>30</v>
      </c>
      <c r="B202" s="12" t="s">
        <v>3187</v>
      </c>
      <c r="C202" s="12" t="s">
        <v>2847</v>
      </c>
      <c r="D202" s="12" t="s">
        <v>3028</v>
      </c>
      <c r="E202" s="12" t="s">
        <v>3017</v>
      </c>
      <c r="F202" s="5" t="s">
        <v>3200</v>
      </c>
    </row>
    <row r="203" customFormat="false" ht="15" hidden="false" customHeight="false" outlineLevel="0" collapsed="false">
      <c r="A203" s="12" t="s">
        <v>32</v>
      </c>
      <c r="B203" s="12" t="s">
        <v>3201</v>
      </c>
      <c r="C203" s="12" t="s">
        <v>2899</v>
      </c>
      <c r="D203" s="12" t="s">
        <v>3001</v>
      </c>
      <c r="E203" s="12" t="s">
        <v>3019</v>
      </c>
      <c r="F203" s="5" t="s">
        <v>3202</v>
      </c>
    </row>
    <row r="204" customFormat="false" ht="15" hidden="false" customHeight="false" outlineLevel="0" collapsed="false">
      <c r="A204" s="12" t="s">
        <v>32</v>
      </c>
      <c r="B204" s="12" t="s">
        <v>3201</v>
      </c>
      <c r="C204" s="12" t="s">
        <v>41</v>
      </c>
      <c r="D204" s="12" t="s">
        <v>3001</v>
      </c>
      <c r="E204" s="12" t="s">
        <v>3002</v>
      </c>
      <c r="F204" s="5" t="s">
        <v>3091</v>
      </c>
    </row>
    <row r="205" customFormat="false" ht="15" hidden="false" customHeight="false" outlineLevel="0" collapsed="false">
      <c r="A205" s="12" t="s">
        <v>32</v>
      </c>
      <c r="B205" s="12" t="s">
        <v>3201</v>
      </c>
      <c r="C205" s="12" t="s">
        <v>153</v>
      </c>
      <c r="D205" s="12" t="s">
        <v>3001</v>
      </c>
      <c r="E205" s="12" t="s">
        <v>3002</v>
      </c>
      <c r="F205" s="5" t="s">
        <v>3203</v>
      </c>
    </row>
    <row r="206" customFormat="false" ht="15" hidden="false" customHeight="false" outlineLevel="0" collapsed="false">
      <c r="A206" s="12" t="s">
        <v>32</v>
      </c>
      <c r="B206" s="12" t="s">
        <v>3201</v>
      </c>
      <c r="C206" s="12" t="s">
        <v>163</v>
      </c>
      <c r="D206" s="12" t="s">
        <v>3001</v>
      </c>
      <c r="E206" s="12" t="s">
        <v>3024</v>
      </c>
      <c r="F206" s="5" t="s">
        <v>3204</v>
      </c>
    </row>
    <row r="207" customFormat="false" ht="15" hidden="false" customHeight="false" outlineLevel="0" collapsed="false">
      <c r="A207" s="12" t="s">
        <v>32</v>
      </c>
      <c r="B207" s="12" t="s">
        <v>3201</v>
      </c>
      <c r="C207" s="12" t="s">
        <v>2900</v>
      </c>
      <c r="D207" s="12" t="s">
        <v>3001</v>
      </c>
      <c r="E207" s="12" t="s">
        <v>2988</v>
      </c>
      <c r="F207" s="5" t="s">
        <v>3205</v>
      </c>
    </row>
    <row r="208" customFormat="false" ht="15" hidden="false" customHeight="false" outlineLevel="0" collapsed="false">
      <c r="A208" s="12" t="s">
        <v>32</v>
      </c>
      <c r="B208" s="12" t="s">
        <v>3201</v>
      </c>
      <c r="C208" s="12" t="s">
        <v>169</v>
      </c>
      <c r="D208" s="12" t="s">
        <v>3001</v>
      </c>
      <c r="E208" s="12" t="s">
        <v>2988</v>
      </c>
      <c r="F208" s="5" t="s">
        <v>3206</v>
      </c>
    </row>
    <row r="209" customFormat="false" ht="15" hidden="false" customHeight="false" outlineLevel="0" collapsed="false">
      <c r="A209" s="12" t="s">
        <v>32</v>
      </c>
      <c r="B209" s="12" t="s">
        <v>3201</v>
      </c>
      <c r="C209" s="12" t="s">
        <v>129</v>
      </c>
      <c r="D209" s="12" t="s">
        <v>3001</v>
      </c>
      <c r="E209" s="12" t="s">
        <v>2988</v>
      </c>
      <c r="F209" s="5" t="s">
        <v>3207</v>
      </c>
    </row>
    <row r="210" customFormat="false" ht="15" hidden="false" customHeight="false" outlineLevel="0" collapsed="false">
      <c r="A210" s="12" t="s">
        <v>32</v>
      </c>
      <c r="B210" s="12" t="s">
        <v>3201</v>
      </c>
      <c r="C210" s="12" t="s">
        <v>130</v>
      </c>
      <c r="D210" s="12" t="s">
        <v>3001</v>
      </c>
      <c r="E210" s="12" t="s">
        <v>3024</v>
      </c>
      <c r="F210" s="5" t="s">
        <v>3208</v>
      </c>
    </row>
    <row r="211" customFormat="false" ht="15" hidden="false" customHeight="false" outlineLevel="0" collapsed="false">
      <c r="A211" s="12" t="s">
        <v>32</v>
      </c>
      <c r="B211" s="12" t="s">
        <v>3201</v>
      </c>
      <c r="C211" s="12" t="s">
        <v>181</v>
      </c>
      <c r="D211" s="12" t="s">
        <v>3001</v>
      </c>
      <c r="E211" s="12" t="s">
        <v>3050</v>
      </c>
      <c r="F211" s="5" t="s">
        <v>3209</v>
      </c>
    </row>
    <row r="212" customFormat="false" ht="15" hidden="false" customHeight="false" outlineLevel="0" collapsed="false">
      <c r="A212" s="12" t="s">
        <v>32</v>
      </c>
      <c r="B212" s="12" t="s">
        <v>3201</v>
      </c>
      <c r="C212" s="12" t="s">
        <v>192</v>
      </c>
      <c r="D212" s="12" t="s">
        <v>3001</v>
      </c>
      <c r="E212" s="12" t="s">
        <v>3002</v>
      </c>
      <c r="F212" s="5" t="s">
        <v>3210</v>
      </c>
    </row>
    <row r="213" customFormat="false" ht="15" hidden="false" customHeight="false" outlineLevel="0" collapsed="false">
      <c r="A213" s="12" t="s">
        <v>32</v>
      </c>
      <c r="B213" s="12" t="s">
        <v>3201</v>
      </c>
      <c r="C213" s="12" t="s">
        <v>193</v>
      </c>
      <c r="D213" s="12" t="s">
        <v>3001</v>
      </c>
      <c r="E213" s="12" t="s">
        <v>3002</v>
      </c>
      <c r="F213" s="5" t="s">
        <v>3210</v>
      </c>
    </row>
    <row r="214" customFormat="false" ht="15" hidden="false" customHeight="false" outlineLevel="0" collapsed="false">
      <c r="A214" s="12" t="s">
        <v>32</v>
      </c>
      <c r="B214" s="12" t="s">
        <v>3201</v>
      </c>
      <c r="C214" s="12" t="s">
        <v>194</v>
      </c>
      <c r="D214" s="12" t="s">
        <v>3001</v>
      </c>
      <c r="E214" s="12" t="s">
        <v>3002</v>
      </c>
      <c r="F214" s="5" t="s">
        <v>3210</v>
      </c>
    </row>
    <row r="215" customFormat="false" ht="15" hidden="false" customHeight="false" outlineLevel="0" collapsed="false">
      <c r="A215" s="12" t="s">
        <v>32</v>
      </c>
      <c r="B215" s="12" t="s">
        <v>3201</v>
      </c>
      <c r="C215" s="12" t="s">
        <v>195</v>
      </c>
      <c r="D215" s="12" t="s">
        <v>3001</v>
      </c>
      <c r="E215" s="12" t="s">
        <v>3002</v>
      </c>
      <c r="F215" s="5" t="s">
        <v>3210</v>
      </c>
    </row>
    <row r="216" customFormat="false" ht="15" hidden="false" customHeight="false" outlineLevel="0" collapsed="false">
      <c r="A216" s="12" t="s">
        <v>32</v>
      </c>
      <c r="B216" s="12" t="s">
        <v>3201</v>
      </c>
      <c r="C216" s="12" t="s">
        <v>866</v>
      </c>
      <c r="D216" s="12" t="s">
        <v>3028</v>
      </c>
      <c r="E216" s="12" t="s">
        <v>3024</v>
      </c>
      <c r="F216" s="5" t="s">
        <v>3211</v>
      </c>
    </row>
    <row r="217" customFormat="false" ht="15" hidden="false" customHeight="false" outlineLevel="0" collapsed="false">
      <c r="A217" s="12" t="s">
        <v>32</v>
      </c>
      <c r="B217" s="12" t="s">
        <v>3201</v>
      </c>
      <c r="C217" s="12" t="s">
        <v>2901</v>
      </c>
      <c r="D217" s="12" t="s">
        <v>3028</v>
      </c>
      <c r="E217" s="12" t="s">
        <v>3002</v>
      </c>
      <c r="F217" s="5" t="s">
        <v>3212</v>
      </c>
    </row>
    <row r="218" customFormat="false" ht="15" hidden="false" customHeight="false" outlineLevel="0" collapsed="false">
      <c r="A218" s="12" t="s">
        <v>34</v>
      </c>
      <c r="B218" s="12" t="s">
        <v>3213</v>
      </c>
      <c r="C218" s="12" t="s">
        <v>45</v>
      </c>
      <c r="D218" s="12" t="s">
        <v>3001</v>
      </c>
      <c r="E218" s="12" t="s">
        <v>3002</v>
      </c>
      <c r="F218" s="5" t="s">
        <v>3214</v>
      </c>
    </row>
    <row r="219" customFormat="false" ht="15" hidden="false" customHeight="false" outlineLevel="0" collapsed="false">
      <c r="A219" s="12" t="s">
        <v>34</v>
      </c>
      <c r="B219" s="12" t="s">
        <v>3213</v>
      </c>
      <c r="C219" s="12" t="s">
        <v>148</v>
      </c>
      <c r="D219" s="12" t="s">
        <v>3001</v>
      </c>
      <c r="E219" s="12" t="s">
        <v>3002</v>
      </c>
      <c r="F219" s="5" t="s">
        <v>3215</v>
      </c>
    </row>
    <row r="220" customFormat="false" ht="15" hidden="false" customHeight="false" outlineLevel="0" collapsed="false">
      <c r="A220" s="12" t="s">
        <v>34</v>
      </c>
      <c r="B220" s="12" t="s">
        <v>3213</v>
      </c>
      <c r="C220" s="12" t="s">
        <v>2905</v>
      </c>
      <c r="D220" s="12" t="s">
        <v>3001</v>
      </c>
      <c r="E220" s="12" t="s">
        <v>3002</v>
      </c>
      <c r="F220" s="5" t="s">
        <v>3216</v>
      </c>
    </row>
    <row r="221" customFormat="false" ht="15" hidden="false" customHeight="false" outlineLevel="0" collapsed="false">
      <c r="A221" s="12" t="s">
        <v>34</v>
      </c>
      <c r="B221" s="12" t="s">
        <v>3213</v>
      </c>
      <c r="C221" s="12" t="s">
        <v>2906</v>
      </c>
      <c r="D221" s="12" t="s">
        <v>3001</v>
      </c>
      <c r="E221" s="12" t="s">
        <v>3002</v>
      </c>
      <c r="F221" s="5" t="s">
        <v>3217</v>
      </c>
    </row>
    <row r="222" customFormat="false" ht="15" hidden="false" customHeight="false" outlineLevel="0" collapsed="false">
      <c r="A222" s="12" t="s">
        <v>34</v>
      </c>
      <c r="B222" s="12" t="s">
        <v>3213</v>
      </c>
      <c r="C222" s="12" t="s">
        <v>2907</v>
      </c>
      <c r="D222" s="12" t="s">
        <v>3001</v>
      </c>
      <c r="E222" s="12" t="s">
        <v>3002</v>
      </c>
      <c r="F222" s="5" t="s">
        <v>3218</v>
      </c>
    </row>
    <row r="223" customFormat="false" ht="15" hidden="false" customHeight="false" outlineLevel="0" collapsed="false">
      <c r="A223" s="12" t="s">
        <v>34</v>
      </c>
      <c r="B223" s="12" t="s">
        <v>3213</v>
      </c>
      <c r="C223" s="12" t="s">
        <v>2908</v>
      </c>
      <c r="D223" s="12" t="s">
        <v>3001</v>
      </c>
      <c r="E223" s="12" t="s">
        <v>3002</v>
      </c>
      <c r="F223" s="5" t="s">
        <v>3219</v>
      </c>
    </row>
    <row r="224" customFormat="false" ht="15" hidden="false" customHeight="false" outlineLevel="0" collapsed="false">
      <c r="A224" s="12" t="s">
        <v>34</v>
      </c>
      <c r="B224" s="12" t="s">
        <v>3213</v>
      </c>
      <c r="C224" s="12" t="s">
        <v>2572</v>
      </c>
      <c r="D224" s="12" t="s">
        <v>3001</v>
      </c>
      <c r="E224" s="12" t="s">
        <v>3017</v>
      </c>
      <c r="F224" s="5" t="s">
        <v>3220</v>
      </c>
    </row>
    <row r="225" customFormat="false" ht="15" hidden="false" customHeight="false" outlineLevel="0" collapsed="false">
      <c r="A225" s="12" t="s">
        <v>34</v>
      </c>
      <c r="B225" s="12" t="s">
        <v>3213</v>
      </c>
      <c r="C225" s="12" t="s">
        <v>125</v>
      </c>
      <c r="D225" s="12" t="s">
        <v>3028</v>
      </c>
      <c r="E225" s="12" t="s">
        <v>3017</v>
      </c>
      <c r="F225" s="5" t="s">
        <v>3221</v>
      </c>
    </row>
    <row r="226" customFormat="false" ht="15" hidden="false" customHeight="false" outlineLevel="0" collapsed="false">
      <c r="A226" s="12" t="s">
        <v>34</v>
      </c>
      <c r="B226" s="12" t="s">
        <v>3213</v>
      </c>
      <c r="C226" s="12" t="s">
        <v>2909</v>
      </c>
      <c r="D226" s="12" t="s">
        <v>3028</v>
      </c>
      <c r="E226" s="12" t="s">
        <v>2988</v>
      </c>
      <c r="F226" s="5" t="s">
        <v>3222</v>
      </c>
    </row>
    <row r="227" customFormat="false" ht="15" hidden="false" customHeight="false" outlineLevel="0" collapsed="false">
      <c r="A227" s="12" t="s">
        <v>34</v>
      </c>
      <c r="B227" s="12" t="s">
        <v>3213</v>
      </c>
      <c r="C227" s="12" t="s">
        <v>2910</v>
      </c>
      <c r="D227" s="12" t="s">
        <v>3028</v>
      </c>
      <c r="E227" s="12" t="s">
        <v>2988</v>
      </c>
      <c r="F227" s="5" t="s">
        <v>3223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2026-09-11T20:24:54Z</dcterms:created>
  <dc:creator>openpyxl</dc:creator>
  <dc:description/>
  <dc:language>en-US</dc:language>
  <cp:lastModifiedBy/>
  <dcterms:modified xsi:type="dcterms:W3CDTF">2026-09-11T20:24:55Z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